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vin\Desktop\WEB\web\doc-2016_OK\"/>
    </mc:Choice>
  </mc:AlternateContent>
  <workbookProtection workbookAlgorithmName="SHA-512" workbookHashValue="p2RUpj+J4iEnuF/Lo5et6jfH6AR57i29eoLpOqtCIjtqvJsf+cCRiKd6Kwv0/6z5gvmjPAPi60tXMBL6JPCaoA==" workbookSaltValue="mRf2rVLN4Y2nXF44uYvtfQ==" workbookSpinCount="100000" lockStructure="1"/>
  <bookViews>
    <workbookView showSheetTabs="0" xWindow="0" yWindow="0" windowWidth="28800" windowHeight="12435" tabRatio="673"/>
  </bookViews>
  <sheets>
    <sheet name="MOD1" sheetId="1" r:id="rId1"/>
    <sheet name="MOD2" sheetId="3" state="hidden" r:id="rId2"/>
    <sheet name="MOD3" sheetId="4" state="hidden" r:id="rId3"/>
    <sheet name="MOD4_1" sheetId="5" state="hidden" r:id="rId4"/>
    <sheet name="MOD4_2" sheetId="12" state="hidden" r:id="rId5"/>
    <sheet name="MOD4_3" sheetId="13" state="hidden" r:id="rId6"/>
    <sheet name="MOD4_4" sheetId="14" state="hidden" r:id="rId7"/>
    <sheet name="MOD4_5" sheetId="15" state="hidden" r:id="rId8"/>
    <sheet name="MOD4_6" sheetId="7" state="hidden" r:id="rId9"/>
    <sheet name="MOD6" sheetId="9" state="hidden" r:id="rId10"/>
    <sheet name="MOD7" sheetId="8" state="hidden" r:id="rId11"/>
    <sheet name="MOD8" sheetId="10" state="hidden" r:id="rId12"/>
    <sheet name="MOD4_6_1" sheetId="16" state="hidden" r:id="rId13"/>
    <sheet name="MOD4_6_2" sheetId="17" state="hidden" r:id="rId14"/>
    <sheet name="MOD4_6_3" sheetId="18" state="hidden" r:id="rId15"/>
    <sheet name="MOD4_6_4" sheetId="19" state="hidden" r:id="rId16"/>
    <sheet name="MOD4_6_5" sheetId="20" state="hidden" r:id="rId17"/>
    <sheet name="MOD4_6_6" sheetId="21" state="hidden" r:id="rId18"/>
    <sheet name="MOD4_6_7" sheetId="22" state="hidden" r:id="rId19"/>
    <sheet name="MOD4_6_8" sheetId="23" state="hidden" r:id="rId20"/>
    <sheet name="LISTAS" sheetId="11" r:id="rId21"/>
  </sheets>
  <functionGroups builtInGroupCount="18"/>
  <definedNames>
    <definedName name="_xlnm._FilterDatabase" localSheetId="20" hidden="1">LISTAS!$N$1:$R$1864</definedName>
    <definedName name="_xlnm.Print_Area" localSheetId="10">'MOD7'!$B$2:$AJ$63</definedName>
    <definedName name="_xlnm.Print_Area" localSheetId="11">'MOD8'!$B$2:$AP$219</definedName>
    <definedName name="_xlnm.Print_Titles" localSheetId="11">'MOD8'!$2:$4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0" i="8" l="1"/>
  <c r="B40" i="3"/>
  <c r="F119" i="11" l="1"/>
  <c r="F124" i="11"/>
  <c r="F129" i="11"/>
  <c r="F134" i="11"/>
  <c r="F139" i="11"/>
  <c r="F144" i="11"/>
  <c r="F150" i="11"/>
  <c r="F156" i="11"/>
  <c r="F162" i="11"/>
  <c r="F163" i="11"/>
  <c r="E32" i="7" l="1"/>
  <c r="E29" i="7"/>
  <c r="E26" i="7"/>
  <c r="E23" i="7"/>
  <c r="E20" i="7"/>
  <c r="D103" i="14" l="1"/>
  <c r="C19" i="10" l="1"/>
  <c r="Q30" i="3"/>
  <c r="B30" i="3" s="1"/>
  <c r="Q28" i="3"/>
  <c r="B28" i="3" s="1"/>
  <c r="Q26" i="3"/>
  <c r="I17" i="8" s="1"/>
  <c r="B38" i="3" l="1"/>
  <c r="B26" i="3"/>
  <c r="C5" i="10" s="1"/>
  <c r="C3" i="10" l="1"/>
  <c r="I19" i="8" l="1"/>
  <c r="I18" i="8"/>
  <c r="D73" i="13"/>
  <c r="AD43" i="15"/>
  <c r="D43" i="15"/>
  <c r="AD43" i="23"/>
  <c r="D43" i="23"/>
  <c r="AD43" i="22"/>
  <c r="D43" i="22"/>
  <c r="AD43" i="21"/>
  <c r="D43" i="21"/>
  <c r="AD43" i="20"/>
  <c r="D43" i="20"/>
  <c r="AD43" i="19"/>
  <c r="D43" i="19"/>
  <c r="AD43" i="18"/>
  <c r="D43" i="18"/>
  <c r="AD43" i="17"/>
  <c r="D43" i="17"/>
  <c r="AD43" i="16"/>
  <c r="D43" i="16"/>
  <c r="AD43" i="12"/>
  <c r="D43" i="12"/>
  <c r="D58" i="5"/>
  <c r="AW15" i="1"/>
  <c r="D205" i="11" l="1"/>
  <c r="D204" i="11"/>
  <c r="D203" i="11"/>
  <c r="D202" i="11"/>
  <c r="D201" i="11"/>
  <c r="D200" i="11"/>
  <c r="D199" i="11"/>
  <c r="D198" i="11"/>
  <c r="D197" i="11"/>
  <c r="D196" i="11"/>
  <c r="D195" i="11"/>
  <c r="D194" i="11"/>
  <c r="D193" i="11"/>
  <c r="D192" i="11"/>
  <c r="D191" i="11"/>
  <c r="D190" i="11"/>
  <c r="D189" i="11"/>
  <c r="D188" i="11"/>
  <c r="D187" i="11"/>
  <c r="D186" i="11"/>
  <c r="D185" i="11"/>
  <c r="D184" i="11"/>
  <c r="D183" i="11"/>
  <c r="D182" i="11"/>
  <c r="D181" i="11"/>
  <c r="D180" i="11"/>
  <c r="D179" i="11"/>
  <c r="D178" i="11"/>
  <c r="D177" i="11"/>
  <c r="D176" i="11"/>
  <c r="D175" i="11"/>
  <c r="D174" i="11"/>
  <c r="D173" i="11"/>
  <c r="D172" i="11"/>
  <c r="D171" i="11"/>
  <c r="D170" i="11"/>
  <c r="D169" i="11"/>
  <c r="D168" i="11"/>
  <c r="D167" i="11"/>
  <c r="D166" i="11"/>
  <c r="F166" i="11" s="1"/>
  <c r="D108" i="11"/>
  <c r="D107" i="11"/>
  <c r="D106" i="11"/>
  <c r="D105" i="11"/>
  <c r="D104" i="11"/>
  <c r="AW41" i="7"/>
  <c r="AW35" i="7"/>
  <c r="AC23" i="23"/>
  <c r="V23" i="23"/>
  <c r="O23" i="23"/>
  <c r="H23" i="23"/>
  <c r="AJ13" i="23"/>
  <c r="AC13" i="23"/>
  <c r="V13" i="23"/>
  <c r="O13" i="23"/>
  <c r="H13" i="23"/>
  <c r="C13" i="23"/>
  <c r="AC23" i="22"/>
  <c r="V23" i="22"/>
  <c r="O23" i="22"/>
  <c r="H23" i="22"/>
  <c r="AJ13" i="22"/>
  <c r="AC13" i="22"/>
  <c r="V13" i="22"/>
  <c r="O13" i="22"/>
  <c r="H13" i="22"/>
  <c r="C13" i="22"/>
  <c r="AC23" i="21"/>
  <c r="V23" i="21"/>
  <c r="O23" i="21"/>
  <c r="H23" i="21"/>
  <c r="AJ13" i="21"/>
  <c r="AC13" i="21"/>
  <c r="V13" i="21"/>
  <c r="O13" i="21"/>
  <c r="H13" i="21"/>
  <c r="C13" i="21"/>
  <c r="AC23" i="20"/>
  <c r="V23" i="20"/>
  <c r="O23" i="20"/>
  <c r="H23" i="20"/>
  <c r="AJ13" i="20"/>
  <c r="AC13" i="20"/>
  <c r="V13" i="20"/>
  <c r="O13" i="20"/>
  <c r="H13" i="20"/>
  <c r="C13" i="20"/>
  <c r="C9" i="20"/>
  <c r="AC23" i="19"/>
  <c r="V23" i="19"/>
  <c r="O23" i="19"/>
  <c r="H23" i="19"/>
  <c r="AJ13" i="19"/>
  <c r="AC13" i="19"/>
  <c r="V13" i="19"/>
  <c r="O13" i="19"/>
  <c r="H13" i="19"/>
  <c r="C13" i="19"/>
  <c r="C9" i="19"/>
  <c r="AC23" i="18"/>
  <c r="V23" i="18"/>
  <c r="O23" i="18"/>
  <c r="H23" i="18"/>
  <c r="AJ13" i="18"/>
  <c r="AC13" i="18"/>
  <c r="V13" i="18"/>
  <c r="O13" i="18"/>
  <c r="H13" i="18"/>
  <c r="C13" i="18"/>
  <c r="C9" i="18"/>
  <c r="AC23" i="17"/>
  <c r="V23" i="17"/>
  <c r="O23" i="17"/>
  <c r="H23" i="17"/>
  <c r="AJ13" i="17"/>
  <c r="AC13" i="17"/>
  <c r="V13" i="17"/>
  <c r="O13" i="17"/>
  <c r="H13" i="17"/>
  <c r="C13" i="17"/>
  <c r="C9" i="17"/>
  <c r="AQ41" i="7"/>
  <c r="AQ38" i="7"/>
  <c r="AW38" i="7" s="1"/>
  <c r="AQ35" i="7"/>
  <c r="AQ32" i="7"/>
  <c r="AW32" i="7" s="1"/>
  <c r="AQ29" i="7"/>
  <c r="AW29" i="7" s="1"/>
  <c r="AQ26" i="7"/>
  <c r="AW26" i="7" s="1"/>
  <c r="AQ23" i="7"/>
  <c r="AW23" i="7" s="1"/>
  <c r="AQ20" i="7"/>
  <c r="AW20" i="7" s="1"/>
  <c r="B49" i="23"/>
  <c r="AM43" i="23"/>
  <c r="AY2" i="23"/>
  <c r="B49" i="22"/>
  <c r="AM43" i="22"/>
  <c r="AY2" i="22"/>
  <c r="B49" i="21"/>
  <c r="AM43" i="21"/>
  <c r="AY2" i="21"/>
  <c r="B49" i="20"/>
  <c r="AM43" i="20"/>
  <c r="AY2" i="20"/>
  <c r="B49" i="19"/>
  <c r="AM43" i="19"/>
  <c r="AY2" i="19"/>
  <c r="B49" i="18"/>
  <c r="AM43" i="18"/>
  <c r="AY2" i="18"/>
  <c r="B49" i="17"/>
  <c r="AM43" i="17"/>
  <c r="AY2" i="17"/>
  <c r="AM58" i="5"/>
  <c r="AM43" i="12"/>
  <c r="AM73" i="13"/>
  <c r="AM103" i="14"/>
  <c r="AM43" i="15"/>
  <c r="C9" i="16"/>
  <c r="AC23" i="16"/>
  <c r="V23" i="16"/>
  <c r="O23" i="16"/>
  <c r="H23" i="16"/>
  <c r="AJ13" i="16"/>
  <c r="AC13" i="16"/>
  <c r="V13" i="16"/>
  <c r="O13" i="16"/>
  <c r="H13" i="16"/>
  <c r="C13" i="16"/>
  <c r="AM43" i="16"/>
  <c r="B49" i="16"/>
  <c r="AY2" i="16"/>
  <c r="I23" i="8"/>
  <c r="I22" i="8"/>
  <c r="I21" i="8"/>
  <c r="S12" i="8"/>
  <c r="AM148" i="10" l="1"/>
  <c r="F167" i="11"/>
  <c r="AM184" i="10"/>
  <c r="F187" i="11"/>
  <c r="AM149" i="10"/>
  <c r="F168" i="11"/>
  <c r="AM185" i="10"/>
  <c r="F188" i="11"/>
  <c r="AM150" i="10"/>
  <c r="F169" i="11"/>
  <c r="AM186" i="10"/>
  <c r="F189" i="11"/>
  <c r="F170" i="11"/>
  <c r="C152" i="10"/>
  <c r="C188" i="10"/>
  <c r="F190" i="11"/>
  <c r="AM156" i="10"/>
  <c r="F171" i="11"/>
  <c r="AM192" i="10"/>
  <c r="F191" i="11"/>
  <c r="AM157" i="10"/>
  <c r="F172" i="11"/>
  <c r="AM193" i="10"/>
  <c r="F192" i="11"/>
  <c r="AM158" i="10"/>
  <c r="F173" i="11"/>
  <c r="AM194" i="10"/>
  <c r="F193" i="11"/>
  <c r="AM159" i="10"/>
  <c r="F174" i="11"/>
  <c r="AM195" i="10"/>
  <c r="F194" i="11"/>
  <c r="AM160" i="10"/>
  <c r="C161" i="10"/>
  <c r="F175" i="11"/>
  <c r="C197" i="10"/>
  <c r="F195" i="11"/>
  <c r="AM165" i="10"/>
  <c r="F176" i="11"/>
  <c r="AM201" i="10"/>
  <c r="F196" i="11"/>
  <c r="AM166" i="10"/>
  <c r="F177" i="11"/>
  <c r="AM202" i="10"/>
  <c r="F197" i="11"/>
  <c r="AM167" i="10"/>
  <c r="F178" i="11"/>
  <c r="AM203" i="10"/>
  <c r="F198" i="11"/>
  <c r="AM168" i="10"/>
  <c r="F179" i="11"/>
  <c r="AM204" i="10"/>
  <c r="F199" i="11"/>
  <c r="C170" i="10"/>
  <c r="F180" i="11"/>
  <c r="F200" i="11"/>
  <c r="C206" i="10"/>
  <c r="AM137" i="10"/>
  <c r="F104" i="11"/>
  <c r="AM174" i="10"/>
  <c r="F181" i="11"/>
  <c r="AM210" i="10"/>
  <c r="F201" i="11"/>
  <c r="AM138" i="10"/>
  <c r="F105" i="11"/>
  <c r="AM175" i="10"/>
  <c r="F182" i="11"/>
  <c r="AM211" i="10"/>
  <c r="F202" i="11"/>
  <c r="AM139" i="10"/>
  <c r="F106" i="11"/>
  <c r="AM176" i="10"/>
  <c r="F183" i="11"/>
  <c r="AM212" i="10"/>
  <c r="F203" i="11"/>
  <c r="AM140" i="10"/>
  <c r="F107" i="11"/>
  <c r="AM177" i="10"/>
  <c r="F184" i="11"/>
  <c r="AM213" i="10"/>
  <c r="F204" i="11"/>
  <c r="AM183" i="10"/>
  <c r="F186" i="11"/>
  <c r="C142" i="10"/>
  <c r="F108" i="11"/>
  <c r="C179" i="10"/>
  <c r="F185" i="11"/>
  <c r="AM214" i="10"/>
  <c r="F205" i="11"/>
  <c r="C215" i="10"/>
  <c r="AJ43" i="4"/>
  <c r="AM147" i="10"/>
  <c r="T43" i="4"/>
  <c r="D45" i="3"/>
  <c r="D43" i="1"/>
  <c r="AC23" i="15"/>
  <c r="V23" i="15"/>
  <c r="O23" i="15"/>
  <c r="H23" i="15"/>
  <c r="AJ13" i="15"/>
  <c r="AC13" i="15"/>
  <c r="V13" i="15"/>
  <c r="O13" i="15"/>
  <c r="H13" i="15"/>
  <c r="C13" i="15"/>
  <c r="AC98" i="14"/>
  <c r="V98" i="14"/>
  <c r="O98" i="14"/>
  <c r="H98" i="14"/>
  <c r="AJ88" i="14"/>
  <c r="AC88" i="14"/>
  <c r="V88" i="14"/>
  <c r="O88" i="14"/>
  <c r="H88" i="14"/>
  <c r="C88" i="14"/>
  <c r="AC83" i="14"/>
  <c r="V83" i="14"/>
  <c r="O83" i="14"/>
  <c r="H83" i="14"/>
  <c r="AJ73" i="14"/>
  <c r="AC73" i="14"/>
  <c r="V73" i="14"/>
  <c r="O73" i="14"/>
  <c r="H73" i="14"/>
  <c r="C73" i="14"/>
  <c r="AC68" i="14"/>
  <c r="V68" i="14"/>
  <c r="O68" i="14"/>
  <c r="H68" i="14"/>
  <c r="AJ58" i="14"/>
  <c r="AC58" i="14"/>
  <c r="V58" i="14"/>
  <c r="O58" i="14"/>
  <c r="H58" i="14"/>
  <c r="C58" i="14"/>
  <c r="AC53" i="14"/>
  <c r="V53" i="14"/>
  <c r="O53" i="14"/>
  <c r="H53" i="14"/>
  <c r="AJ43" i="14"/>
  <c r="AC43" i="14"/>
  <c r="V43" i="14"/>
  <c r="O43" i="14"/>
  <c r="H43" i="14"/>
  <c r="C43" i="14"/>
  <c r="AC38" i="14"/>
  <c r="V38" i="14"/>
  <c r="O38" i="14"/>
  <c r="H38" i="14"/>
  <c r="AJ28" i="14"/>
  <c r="AC28" i="14"/>
  <c r="V28" i="14"/>
  <c r="O28" i="14"/>
  <c r="H28" i="14"/>
  <c r="C28" i="14"/>
  <c r="AC23" i="14"/>
  <c r="V23" i="14"/>
  <c r="O23" i="14"/>
  <c r="H23" i="14"/>
  <c r="AJ13" i="14"/>
  <c r="AC13" i="14"/>
  <c r="V13" i="14"/>
  <c r="O13" i="14"/>
  <c r="H13" i="14"/>
  <c r="C13" i="14"/>
  <c r="AC68" i="13"/>
  <c r="V68" i="13"/>
  <c r="O68" i="13"/>
  <c r="H68" i="13"/>
  <c r="AJ58" i="13"/>
  <c r="AC58" i="13"/>
  <c r="V58" i="13"/>
  <c r="O58" i="13"/>
  <c r="H58" i="13"/>
  <c r="C58" i="13"/>
  <c r="AC53" i="13"/>
  <c r="V53" i="13"/>
  <c r="O53" i="13"/>
  <c r="H53" i="13"/>
  <c r="AJ43" i="13"/>
  <c r="AC43" i="13"/>
  <c r="V43" i="13"/>
  <c r="O43" i="13"/>
  <c r="H43" i="13"/>
  <c r="C43" i="13"/>
  <c r="AC38" i="13"/>
  <c r="V38" i="13"/>
  <c r="O38" i="13"/>
  <c r="H38" i="13"/>
  <c r="AJ28" i="13"/>
  <c r="AC28" i="13"/>
  <c r="V28" i="13"/>
  <c r="O28" i="13"/>
  <c r="H28" i="13"/>
  <c r="C28" i="13"/>
  <c r="AC23" i="13"/>
  <c r="V23" i="13"/>
  <c r="O23" i="13"/>
  <c r="H23" i="13"/>
  <c r="AJ13" i="13"/>
  <c r="AC13" i="13"/>
  <c r="V13" i="13"/>
  <c r="O13" i="13"/>
  <c r="H13" i="13"/>
  <c r="C13" i="13"/>
  <c r="AC23" i="12"/>
  <c r="V23" i="12"/>
  <c r="O23" i="12"/>
  <c r="H23" i="12"/>
  <c r="AJ13" i="12"/>
  <c r="AC13" i="12"/>
  <c r="V13" i="12"/>
  <c r="O13" i="12"/>
  <c r="H13" i="12"/>
  <c r="C13" i="12"/>
  <c r="AC53" i="5"/>
  <c r="V53" i="5"/>
  <c r="O53" i="5"/>
  <c r="H53" i="5"/>
  <c r="AJ43" i="5"/>
  <c r="AC43" i="5"/>
  <c r="V43" i="5"/>
  <c r="O43" i="5"/>
  <c r="H43" i="5"/>
  <c r="C43" i="5"/>
  <c r="C28" i="5"/>
  <c r="AJ28" i="5"/>
  <c r="AC38" i="5"/>
  <c r="V38" i="5"/>
  <c r="O38" i="5"/>
  <c r="H38" i="5"/>
  <c r="AC28" i="5"/>
  <c r="V28" i="5"/>
  <c r="O28" i="5"/>
  <c r="H28" i="5"/>
  <c r="H13" i="5"/>
  <c r="O13" i="5"/>
  <c r="AC23" i="5"/>
  <c r="V23" i="5"/>
  <c r="O23" i="5"/>
  <c r="H23" i="5"/>
  <c r="AJ13" i="5"/>
  <c r="AC13" i="5"/>
  <c r="V13" i="5"/>
  <c r="C13" i="5"/>
  <c r="D102" i="11"/>
  <c r="D97" i="11"/>
  <c r="D101" i="11"/>
  <c r="D100" i="11"/>
  <c r="D99" i="11"/>
  <c r="D98" i="11"/>
  <c r="D96" i="11"/>
  <c r="D95" i="11"/>
  <c r="D94" i="11"/>
  <c r="D93" i="11"/>
  <c r="D92" i="11"/>
  <c r="D91" i="11"/>
  <c r="D90" i="11"/>
  <c r="D89" i="11"/>
  <c r="D88" i="11"/>
  <c r="D87" i="11"/>
  <c r="D86" i="11"/>
  <c r="D85" i="11"/>
  <c r="D84" i="11"/>
  <c r="D83" i="11"/>
  <c r="D82" i="11"/>
  <c r="D81" i="11"/>
  <c r="D80" i="11"/>
  <c r="D79" i="11"/>
  <c r="D78" i="11"/>
  <c r="D77" i="11"/>
  <c r="D76" i="11"/>
  <c r="D75" i="11"/>
  <c r="D74" i="11"/>
  <c r="D73" i="11"/>
  <c r="F73" i="11" s="1"/>
  <c r="D71" i="11"/>
  <c r="D70" i="11"/>
  <c r="D69" i="11"/>
  <c r="D68" i="11"/>
  <c r="D67" i="11"/>
  <c r="D66" i="11"/>
  <c r="D65" i="11"/>
  <c r="D64" i="11"/>
  <c r="D63" i="11"/>
  <c r="D62" i="11"/>
  <c r="D44" i="11"/>
  <c r="D43" i="11"/>
  <c r="D42" i="11"/>
  <c r="D41" i="11"/>
  <c r="D40" i="11"/>
  <c r="P40" i="8"/>
  <c r="P41" i="8" s="1"/>
  <c r="D61" i="11"/>
  <c r="D60" i="11"/>
  <c r="D59" i="11"/>
  <c r="D58" i="11"/>
  <c r="D57" i="11"/>
  <c r="D56" i="11"/>
  <c r="D55" i="11"/>
  <c r="D54" i="11"/>
  <c r="D53" i="11"/>
  <c r="D52" i="11"/>
  <c r="D50" i="11"/>
  <c r="D49" i="11"/>
  <c r="D48" i="11"/>
  <c r="D47" i="11"/>
  <c r="D46" i="11"/>
  <c r="D39" i="11"/>
  <c r="D38" i="11"/>
  <c r="D37" i="11"/>
  <c r="D36" i="11"/>
  <c r="D35" i="11"/>
  <c r="D34" i="11"/>
  <c r="D33" i="11"/>
  <c r="D32" i="11"/>
  <c r="D31" i="11"/>
  <c r="D30" i="11"/>
  <c r="B49" i="15"/>
  <c r="AY2" i="15"/>
  <c r="B109" i="14"/>
  <c r="AY2" i="14"/>
  <c r="B79" i="13"/>
  <c r="AY2" i="13"/>
  <c r="B49" i="12"/>
  <c r="AY2" i="12"/>
  <c r="D157" i="11"/>
  <c r="D151" i="11"/>
  <c r="D145" i="11"/>
  <c r="D161" i="11"/>
  <c r="F161" i="11" s="1"/>
  <c r="D160" i="11"/>
  <c r="F160" i="11" s="1"/>
  <c r="D159" i="11"/>
  <c r="F159" i="11" s="1"/>
  <c r="D158" i="11"/>
  <c r="D155" i="11"/>
  <c r="F155" i="11" s="1"/>
  <c r="D154" i="11"/>
  <c r="F154" i="11" s="1"/>
  <c r="D153" i="11"/>
  <c r="F153" i="11" s="1"/>
  <c r="D152" i="11"/>
  <c r="F152" i="11" s="1"/>
  <c r="D149" i="11"/>
  <c r="F149" i="11" s="1"/>
  <c r="D148" i="11"/>
  <c r="F148" i="11" s="1"/>
  <c r="D147" i="11"/>
  <c r="F147" i="11" s="1"/>
  <c r="D146" i="11"/>
  <c r="D143" i="11"/>
  <c r="F143" i="11" s="1"/>
  <c r="D142" i="11"/>
  <c r="F142" i="11" s="1"/>
  <c r="D141" i="11"/>
  <c r="F141" i="11" s="1"/>
  <c r="D140" i="11"/>
  <c r="D135" i="11"/>
  <c r="D138" i="11"/>
  <c r="F138" i="11" s="1"/>
  <c r="D137" i="11"/>
  <c r="F137" i="11" s="1"/>
  <c r="D136" i="11"/>
  <c r="F136" i="11" s="1"/>
  <c r="D133" i="11"/>
  <c r="F133" i="11" s="1"/>
  <c r="D132" i="11"/>
  <c r="F132" i="11" s="1"/>
  <c r="D131" i="11"/>
  <c r="F131" i="11" s="1"/>
  <c r="D130" i="11"/>
  <c r="D128" i="11"/>
  <c r="F128" i="11" s="1"/>
  <c r="D127" i="11"/>
  <c r="F127" i="11" s="1"/>
  <c r="D126" i="11"/>
  <c r="F126" i="11" s="1"/>
  <c r="D125" i="11"/>
  <c r="F125" i="11" s="1"/>
  <c r="D123" i="11"/>
  <c r="F123" i="11" s="1"/>
  <c r="D122" i="11"/>
  <c r="F122" i="11" s="1"/>
  <c r="D121" i="11"/>
  <c r="F121" i="11" s="1"/>
  <c r="D120" i="11"/>
  <c r="D118" i="11"/>
  <c r="F118" i="11" s="1"/>
  <c r="D117" i="11"/>
  <c r="F117" i="11" s="1"/>
  <c r="D116" i="11"/>
  <c r="F116" i="11" s="1"/>
  <c r="D115" i="11"/>
  <c r="F115" i="11" s="1"/>
  <c r="D114" i="11"/>
  <c r="F114" i="11" s="1"/>
  <c r="D113" i="11"/>
  <c r="F113" i="11" s="1"/>
  <c r="D112" i="11"/>
  <c r="F112" i="11" s="1"/>
  <c r="D111" i="11"/>
  <c r="F111" i="11" s="1"/>
  <c r="D17" i="11"/>
  <c r="M1" i="11"/>
  <c r="M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286" i="11"/>
  <c r="M287" i="1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M300" i="11"/>
  <c r="M301" i="11"/>
  <c r="M302" i="11"/>
  <c r="M303" i="11"/>
  <c r="M304" i="11"/>
  <c r="M305" i="11"/>
  <c r="M306" i="11"/>
  <c r="M307" i="11"/>
  <c r="M308" i="11"/>
  <c r="M309" i="11"/>
  <c r="M310" i="11"/>
  <c r="M311" i="11"/>
  <c r="M312" i="11"/>
  <c r="M313" i="11"/>
  <c r="M314" i="11"/>
  <c r="M315" i="11"/>
  <c r="M316" i="11"/>
  <c r="M317" i="11"/>
  <c r="M318" i="11"/>
  <c r="M319" i="11"/>
  <c r="M320" i="11"/>
  <c r="M321" i="11"/>
  <c r="M322" i="11"/>
  <c r="M323" i="11"/>
  <c r="M324" i="11"/>
  <c r="M325" i="11"/>
  <c r="M326" i="11"/>
  <c r="M327" i="11"/>
  <c r="M328" i="11"/>
  <c r="M329" i="11"/>
  <c r="M330" i="11"/>
  <c r="M331" i="11"/>
  <c r="M332" i="11"/>
  <c r="M333" i="11"/>
  <c r="M334" i="11"/>
  <c r="M335" i="11"/>
  <c r="M336" i="11"/>
  <c r="M337" i="11"/>
  <c r="M338" i="11"/>
  <c r="M339" i="11"/>
  <c r="M340" i="11"/>
  <c r="M341" i="11"/>
  <c r="M342" i="11"/>
  <c r="M343" i="11"/>
  <c r="M344" i="11"/>
  <c r="M345" i="11"/>
  <c r="M346" i="11"/>
  <c r="M347" i="11"/>
  <c r="M348" i="11"/>
  <c r="M349" i="11"/>
  <c r="M350" i="11"/>
  <c r="M351" i="11"/>
  <c r="M352" i="11"/>
  <c r="M353" i="11"/>
  <c r="M354" i="11"/>
  <c r="M355" i="11"/>
  <c r="M356" i="11"/>
  <c r="M357" i="11"/>
  <c r="M358" i="11"/>
  <c r="M359" i="11"/>
  <c r="M360" i="11"/>
  <c r="M361" i="11"/>
  <c r="M362" i="11"/>
  <c r="M363" i="11"/>
  <c r="M364" i="11"/>
  <c r="M365" i="11"/>
  <c r="M366" i="11"/>
  <c r="M367" i="11"/>
  <c r="M368" i="11"/>
  <c r="M369" i="11"/>
  <c r="M370" i="11"/>
  <c r="M371" i="11"/>
  <c r="M372" i="11"/>
  <c r="M373" i="11"/>
  <c r="M374" i="11"/>
  <c r="M375" i="11"/>
  <c r="M376" i="11"/>
  <c r="M377" i="11"/>
  <c r="M378" i="11"/>
  <c r="M379" i="11"/>
  <c r="M380" i="11"/>
  <c r="M381" i="11"/>
  <c r="M382" i="11"/>
  <c r="M383" i="11"/>
  <c r="M384" i="11"/>
  <c r="M385" i="11"/>
  <c r="M386" i="11"/>
  <c r="M387" i="11"/>
  <c r="M388" i="11"/>
  <c r="M389" i="11"/>
  <c r="M390" i="11"/>
  <c r="M391" i="11"/>
  <c r="M392" i="11"/>
  <c r="M393" i="11"/>
  <c r="M394" i="11"/>
  <c r="M395" i="11"/>
  <c r="M396" i="11"/>
  <c r="M397" i="11"/>
  <c r="M398" i="11"/>
  <c r="M399" i="11"/>
  <c r="M400" i="11"/>
  <c r="M401" i="11"/>
  <c r="M402" i="11"/>
  <c r="M403" i="11"/>
  <c r="M404" i="11"/>
  <c r="M405" i="11"/>
  <c r="M406" i="11"/>
  <c r="M407" i="11"/>
  <c r="M408" i="11"/>
  <c r="M409" i="11"/>
  <c r="M410" i="11"/>
  <c r="M411" i="11"/>
  <c r="M412" i="11"/>
  <c r="M413" i="11"/>
  <c r="M414" i="11"/>
  <c r="M415" i="11"/>
  <c r="M416" i="11"/>
  <c r="M417" i="11"/>
  <c r="M418" i="11"/>
  <c r="M419" i="11"/>
  <c r="M420" i="11"/>
  <c r="M421" i="11"/>
  <c r="M422" i="11"/>
  <c r="M423" i="11"/>
  <c r="M424" i="11"/>
  <c r="M425" i="11"/>
  <c r="M426" i="11"/>
  <c r="M427" i="11"/>
  <c r="M428" i="11"/>
  <c r="M429" i="11"/>
  <c r="M430" i="11"/>
  <c r="M431" i="11"/>
  <c r="M432" i="11"/>
  <c r="M433" i="11"/>
  <c r="M434" i="11"/>
  <c r="M435" i="11"/>
  <c r="M436" i="11"/>
  <c r="M437" i="11"/>
  <c r="M438" i="11"/>
  <c r="M439" i="11"/>
  <c r="M440" i="11"/>
  <c r="M441" i="11"/>
  <c r="M442" i="11"/>
  <c r="M443" i="11"/>
  <c r="M444" i="11"/>
  <c r="M445" i="11"/>
  <c r="M446" i="11"/>
  <c r="M447" i="11"/>
  <c r="M448" i="11"/>
  <c r="M449" i="11"/>
  <c r="M450" i="11"/>
  <c r="M451" i="11"/>
  <c r="M452" i="11"/>
  <c r="M453" i="11"/>
  <c r="M454" i="11"/>
  <c r="M455" i="11"/>
  <c r="M456" i="11"/>
  <c r="M457" i="11"/>
  <c r="M458" i="11"/>
  <c r="M459" i="11"/>
  <c r="M460" i="11"/>
  <c r="M461" i="11"/>
  <c r="M462" i="11"/>
  <c r="M463" i="11"/>
  <c r="M464" i="11"/>
  <c r="M465" i="11"/>
  <c r="M466" i="11"/>
  <c r="M467" i="11"/>
  <c r="M468" i="11"/>
  <c r="M469" i="11"/>
  <c r="M470" i="11"/>
  <c r="M471" i="11"/>
  <c r="M472" i="11"/>
  <c r="M473" i="11"/>
  <c r="M474" i="11"/>
  <c r="M475" i="11"/>
  <c r="M476" i="11"/>
  <c r="M477" i="11"/>
  <c r="M478" i="11"/>
  <c r="M479" i="11"/>
  <c r="M480" i="11"/>
  <c r="M481" i="11"/>
  <c r="M482" i="11"/>
  <c r="M483" i="11"/>
  <c r="M484" i="11"/>
  <c r="M485" i="11"/>
  <c r="M486" i="11"/>
  <c r="M487" i="11"/>
  <c r="M488" i="11"/>
  <c r="M489" i="11"/>
  <c r="M490" i="11"/>
  <c r="M491" i="11"/>
  <c r="M492" i="11"/>
  <c r="M493" i="11"/>
  <c r="M494" i="11"/>
  <c r="M495" i="11"/>
  <c r="M496" i="11"/>
  <c r="M497" i="11"/>
  <c r="M498" i="11"/>
  <c r="M499" i="11"/>
  <c r="M500" i="11"/>
  <c r="M501" i="11"/>
  <c r="M502" i="11"/>
  <c r="M503" i="11"/>
  <c r="M504" i="11"/>
  <c r="M505" i="11"/>
  <c r="M506" i="11"/>
  <c r="M507" i="11"/>
  <c r="M508" i="11"/>
  <c r="M509" i="11"/>
  <c r="M510" i="11"/>
  <c r="M511" i="11"/>
  <c r="M512" i="11"/>
  <c r="M513" i="11"/>
  <c r="M514" i="11"/>
  <c r="M515" i="11"/>
  <c r="M516" i="11"/>
  <c r="M517" i="11"/>
  <c r="M518" i="11"/>
  <c r="M519" i="11"/>
  <c r="M520" i="11"/>
  <c r="M521" i="11"/>
  <c r="M522" i="11"/>
  <c r="M523" i="11"/>
  <c r="M524" i="11"/>
  <c r="M525" i="11"/>
  <c r="M526" i="11"/>
  <c r="M527" i="11"/>
  <c r="M528" i="11"/>
  <c r="M529" i="11"/>
  <c r="M530" i="11"/>
  <c r="M531" i="11"/>
  <c r="M532" i="11"/>
  <c r="M533" i="11"/>
  <c r="M534" i="11"/>
  <c r="M535" i="11"/>
  <c r="M536" i="11"/>
  <c r="M537" i="11"/>
  <c r="M538" i="11"/>
  <c r="M539" i="11"/>
  <c r="M540" i="11"/>
  <c r="M541" i="11"/>
  <c r="M542" i="11"/>
  <c r="M543" i="11"/>
  <c r="M544" i="11"/>
  <c r="M545" i="11"/>
  <c r="M546" i="11"/>
  <c r="M547" i="11"/>
  <c r="M548" i="11"/>
  <c r="M549" i="11"/>
  <c r="M550" i="11"/>
  <c r="M551" i="11"/>
  <c r="M552" i="11"/>
  <c r="M553" i="11"/>
  <c r="M554" i="11"/>
  <c r="M555" i="11"/>
  <c r="M556" i="11"/>
  <c r="M557" i="11"/>
  <c r="M558" i="11"/>
  <c r="M559" i="11"/>
  <c r="M560" i="11"/>
  <c r="M561" i="11"/>
  <c r="M562" i="11"/>
  <c r="M563" i="11"/>
  <c r="M564" i="11"/>
  <c r="M565" i="11"/>
  <c r="M566" i="11"/>
  <c r="M567" i="11"/>
  <c r="M568" i="11"/>
  <c r="M569" i="11"/>
  <c r="M570" i="11"/>
  <c r="M571" i="11"/>
  <c r="M572" i="11"/>
  <c r="M573" i="11"/>
  <c r="M574" i="11"/>
  <c r="M575" i="11"/>
  <c r="M576" i="11"/>
  <c r="M577" i="11"/>
  <c r="M578" i="11"/>
  <c r="M579" i="11"/>
  <c r="M580" i="11"/>
  <c r="M581" i="11"/>
  <c r="M582" i="11"/>
  <c r="M583" i="11"/>
  <c r="M584" i="11"/>
  <c r="M585" i="11"/>
  <c r="M586" i="11"/>
  <c r="M587" i="11"/>
  <c r="M588" i="11"/>
  <c r="M589" i="11"/>
  <c r="M590" i="11"/>
  <c r="M591" i="11"/>
  <c r="M592" i="11"/>
  <c r="M593" i="11"/>
  <c r="M594" i="11"/>
  <c r="M595" i="11"/>
  <c r="M596" i="11"/>
  <c r="M597" i="11"/>
  <c r="M598" i="11"/>
  <c r="M599" i="11"/>
  <c r="M600" i="11"/>
  <c r="M601" i="11"/>
  <c r="M602" i="11"/>
  <c r="M603" i="11"/>
  <c r="M604" i="11"/>
  <c r="M605" i="11"/>
  <c r="M606" i="11"/>
  <c r="M607" i="11"/>
  <c r="M608" i="11"/>
  <c r="M609" i="11"/>
  <c r="M610" i="11"/>
  <c r="M611" i="11"/>
  <c r="M612" i="11"/>
  <c r="M613" i="11"/>
  <c r="M614" i="11"/>
  <c r="M615" i="11"/>
  <c r="M616" i="11"/>
  <c r="M617" i="11"/>
  <c r="M618" i="11"/>
  <c r="M619" i="11"/>
  <c r="M620" i="11"/>
  <c r="M621" i="11"/>
  <c r="M622" i="11"/>
  <c r="M623" i="11"/>
  <c r="M624" i="11"/>
  <c r="M625" i="11"/>
  <c r="M626" i="11"/>
  <c r="M627" i="11"/>
  <c r="M628" i="11"/>
  <c r="M629" i="11"/>
  <c r="M630" i="11"/>
  <c r="M631" i="11"/>
  <c r="M632" i="11"/>
  <c r="M633" i="11"/>
  <c r="M634" i="11"/>
  <c r="M635" i="11"/>
  <c r="M636" i="11"/>
  <c r="M637" i="11"/>
  <c r="M638" i="11"/>
  <c r="M639" i="11"/>
  <c r="M640" i="11"/>
  <c r="M641" i="11"/>
  <c r="M642" i="11"/>
  <c r="M643" i="11"/>
  <c r="M644" i="11"/>
  <c r="M645" i="11"/>
  <c r="M646" i="11"/>
  <c r="M647" i="11"/>
  <c r="M648" i="11"/>
  <c r="M649" i="11"/>
  <c r="M650" i="11"/>
  <c r="M651" i="11"/>
  <c r="M652" i="11"/>
  <c r="M653" i="11"/>
  <c r="M654" i="11"/>
  <c r="M655" i="11"/>
  <c r="M656" i="11"/>
  <c r="M657" i="11"/>
  <c r="M658" i="11"/>
  <c r="M659" i="11"/>
  <c r="M660" i="11"/>
  <c r="M661" i="11"/>
  <c r="M662" i="11"/>
  <c r="M663" i="11"/>
  <c r="M664" i="11"/>
  <c r="M665" i="11"/>
  <c r="M666" i="11"/>
  <c r="M667" i="11"/>
  <c r="M668" i="11"/>
  <c r="M669" i="11"/>
  <c r="M670" i="11"/>
  <c r="M671" i="11"/>
  <c r="M672" i="11"/>
  <c r="M673" i="11"/>
  <c r="M674" i="11"/>
  <c r="M675" i="11"/>
  <c r="M676" i="11"/>
  <c r="M677" i="11"/>
  <c r="M678" i="11"/>
  <c r="M679" i="11"/>
  <c r="M680" i="11"/>
  <c r="M681" i="11"/>
  <c r="M682" i="11"/>
  <c r="M683" i="11"/>
  <c r="M684" i="11"/>
  <c r="M685" i="11"/>
  <c r="M686" i="11"/>
  <c r="M687" i="11"/>
  <c r="M688" i="11"/>
  <c r="M689" i="11"/>
  <c r="M690" i="11"/>
  <c r="M691" i="11"/>
  <c r="M692" i="11"/>
  <c r="M693" i="11"/>
  <c r="M694" i="11"/>
  <c r="M695" i="11"/>
  <c r="M696" i="11"/>
  <c r="M697" i="11"/>
  <c r="M698" i="11"/>
  <c r="M699" i="11"/>
  <c r="M700" i="11"/>
  <c r="M701" i="11"/>
  <c r="M702" i="11"/>
  <c r="M703" i="11"/>
  <c r="M704" i="11"/>
  <c r="M705" i="11"/>
  <c r="M706" i="11"/>
  <c r="M707" i="11"/>
  <c r="M708" i="11"/>
  <c r="M709" i="11"/>
  <c r="M710" i="11"/>
  <c r="M711" i="11"/>
  <c r="M712" i="11"/>
  <c r="M713" i="11"/>
  <c r="M714" i="11"/>
  <c r="M715" i="11"/>
  <c r="M716" i="11"/>
  <c r="M717" i="11"/>
  <c r="M718" i="11"/>
  <c r="M719" i="11"/>
  <c r="M720" i="11"/>
  <c r="M721" i="11"/>
  <c r="M722" i="11"/>
  <c r="M723" i="11"/>
  <c r="M724" i="11"/>
  <c r="M725" i="11"/>
  <c r="M726" i="11"/>
  <c r="M727" i="11"/>
  <c r="M728" i="11"/>
  <c r="M729" i="11"/>
  <c r="M730" i="11"/>
  <c r="M731" i="11"/>
  <c r="M732" i="11"/>
  <c r="M733" i="11"/>
  <c r="M734" i="11"/>
  <c r="M735" i="11"/>
  <c r="M736" i="11"/>
  <c r="M737" i="11"/>
  <c r="M738" i="11"/>
  <c r="M739" i="11"/>
  <c r="M740" i="11"/>
  <c r="M741" i="11"/>
  <c r="M742" i="11"/>
  <c r="M743" i="11"/>
  <c r="M744" i="11"/>
  <c r="M745" i="11"/>
  <c r="M746" i="11"/>
  <c r="M747" i="11"/>
  <c r="M748" i="11"/>
  <c r="M749" i="11"/>
  <c r="M750" i="11"/>
  <c r="M751" i="11"/>
  <c r="M752" i="11"/>
  <c r="M753" i="11"/>
  <c r="M754" i="11"/>
  <c r="M755" i="11"/>
  <c r="M756" i="11"/>
  <c r="M757" i="11"/>
  <c r="M758" i="11"/>
  <c r="M759" i="11"/>
  <c r="M760" i="11"/>
  <c r="M761" i="11"/>
  <c r="M762" i="11"/>
  <c r="M763" i="11"/>
  <c r="M764" i="11"/>
  <c r="M765" i="11"/>
  <c r="M766" i="11"/>
  <c r="M767" i="11"/>
  <c r="M768" i="11"/>
  <c r="M769" i="11"/>
  <c r="M770" i="11"/>
  <c r="M771" i="11"/>
  <c r="M772" i="11"/>
  <c r="M773" i="11"/>
  <c r="M774" i="11"/>
  <c r="M775" i="11"/>
  <c r="M776" i="11"/>
  <c r="M777" i="11"/>
  <c r="M778" i="11"/>
  <c r="M779" i="11"/>
  <c r="M780" i="11"/>
  <c r="M781" i="11"/>
  <c r="M782" i="11"/>
  <c r="M783" i="11"/>
  <c r="M784" i="11"/>
  <c r="M785" i="11"/>
  <c r="M786" i="11"/>
  <c r="M787" i="11"/>
  <c r="M788" i="11"/>
  <c r="M789" i="11"/>
  <c r="M790" i="11"/>
  <c r="M791" i="11"/>
  <c r="M792" i="11"/>
  <c r="M793" i="11"/>
  <c r="M794" i="11"/>
  <c r="M795" i="11"/>
  <c r="M796" i="11"/>
  <c r="M797" i="11"/>
  <c r="M798" i="11"/>
  <c r="M799" i="11"/>
  <c r="M800" i="11"/>
  <c r="M801" i="11"/>
  <c r="M802" i="11"/>
  <c r="M803" i="11"/>
  <c r="M804" i="11"/>
  <c r="M805" i="11"/>
  <c r="M806" i="11"/>
  <c r="M807" i="11"/>
  <c r="M808" i="11"/>
  <c r="M809" i="11"/>
  <c r="M810" i="11"/>
  <c r="M811" i="11"/>
  <c r="M812" i="11"/>
  <c r="M813" i="11"/>
  <c r="M814" i="11"/>
  <c r="M815" i="11"/>
  <c r="M816" i="11"/>
  <c r="M817" i="11"/>
  <c r="M818" i="11"/>
  <c r="M819" i="11"/>
  <c r="M820" i="11"/>
  <c r="M821" i="11"/>
  <c r="M822" i="11"/>
  <c r="M823" i="11"/>
  <c r="M824" i="11"/>
  <c r="M825" i="11"/>
  <c r="M826" i="11"/>
  <c r="M827" i="11"/>
  <c r="M828" i="11"/>
  <c r="M829" i="11"/>
  <c r="M830" i="11"/>
  <c r="M831" i="11"/>
  <c r="M832" i="11"/>
  <c r="M833" i="11"/>
  <c r="M834" i="11"/>
  <c r="M835" i="11"/>
  <c r="M836" i="11"/>
  <c r="M837" i="11"/>
  <c r="M838" i="11"/>
  <c r="M839" i="11"/>
  <c r="M840" i="11"/>
  <c r="M841" i="11"/>
  <c r="M842" i="11"/>
  <c r="M843" i="11"/>
  <c r="M844" i="11"/>
  <c r="M845" i="11"/>
  <c r="M846" i="11"/>
  <c r="M847" i="11"/>
  <c r="M848" i="11"/>
  <c r="M849" i="11"/>
  <c r="M850" i="11"/>
  <c r="M851" i="11"/>
  <c r="M852" i="11"/>
  <c r="M853" i="11"/>
  <c r="M854" i="11"/>
  <c r="M855" i="11"/>
  <c r="M856" i="11"/>
  <c r="M857" i="11"/>
  <c r="M858" i="11"/>
  <c r="M859" i="11"/>
  <c r="M860" i="11"/>
  <c r="M861" i="11"/>
  <c r="M862" i="11"/>
  <c r="M863" i="11"/>
  <c r="M864" i="11"/>
  <c r="M865" i="11"/>
  <c r="M866" i="11"/>
  <c r="M867" i="11"/>
  <c r="M868" i="11"/>
  <c r="M869" i="11"/>
  <c r="M870" i="11"/>
  <c r="M871" i="11"/>
  <c r="M872" i="11"/>
  <c r="M873" i="11"/>
  <c r="M874" i="11"/>
  <c r="M875" i="11"/>
  <c r="M876" i="11"/>
  <c r="M877" i="11"/>
  <c r="M878" i="11"/>
  <c r="M879" i="11"/>
  <c r="M880" i="11"/>
  <c r="M881" i="11"/>
  <c r="M882" i="11"/>
  <c r="M883" i="11"/>
  <c r="M884" i="11"/>
  <c r="M885" i="11"/>
  <c r="M886" i="11"/>
  <c r="M887" i="11"/>
  <c r="M888" i="11"/>
  <c r="M889" i="11"/>
  <c r="M890" i="11"/>
  <c r="M891" i="11"/>
  <c r="M892" i="11"/>
  <c r="M893" i="11"/>
  <c r="M894" i="11"/>
  <c r="M895" i="11"/>
  <c r="M896" i="11"/>
  <c r="M897" i="11"/>
  <c r="M898" i="11"/>
  <c r="M899" i="11"/>
  <c r="M900" i="11"/>
  <c r="M901" i="11"/>
  <c r="M902" i="11"/>
  <c r="M903" i="11"/>
  <c r="M904" i="11"/>
  <c r="M905" i="11"/>
  <c r="M906" i="11"/>
  <c r="M907" i="11"/>
  <c r="M908" i="11"/>
  <c r="M909" i="11"/>
  <c r="M910" i="11"/>
  <c r="M911" i="11"/>
  <c r="M912" i="11"/>
  <c r="M913" i="11"/>
  <c r="M914" i="11"/>
  <c r="M915" i="11"/>
  <c r="M916" i="11"/>
  <c r="M917" i="11"/>
  <c r="M918" i="11"/>
  <c r="M919" i="11"/>
  <c r="M920" i="11"/>
  <c r="M921" i="11"/>
  <c r="M922" i="11"/>
  <c r="M923" i="11"/>
  <c r="M924" i="11"/>
  <c r="M925" i="11"/>
  <c r="M926" i="11"/>
  <c r="M927" i="11"/>
  <c r="M928" i="11"/>
  <c r="M929" i="11"/>
  <c r="M930" i="11"/>
  <c r="M931" i="11"/>
  <c r="M932" i="11"/>
  <c r="M933" i="11"/>
  <c r="M934" i="11"/>
  <c r="M935" i="11"/>
  <c r="M936" i="11"/>
  <c r="M937" i="11"/>
  <c r="M938" i="11"/>
  <c r="M939" i="11"/>
  <c r="M940" i="11"/>
  <c r="M941" i="11"/>
  <c r="M942" i="11"/>
  <c r="M943" i="11"/>
  <c r="M944" i="11"/>
  <c r="M945" i="11"/>
  <c r="M946" i="11"/>
  <c r="M947" i="11"/>
  <c r="M948" i="11"/>
  <c r="M949" i="11"/>
  <c r="M950" i="11"/>
  <c r="M951" i="11"/>
  <c r="M952" i="11"/>
  <c r="M953" i="11"/>
  <c r="M954" i="11"/>
  <c r="M955" i="11"/>
  <c r="M956" i="11"/>
  <c r="M957" i="11"/>
  <c r="M958" i="11"/>
  <c r="M959" i="11"/>
  <c r="M960" i="11"/>
  <c r="M961" i="11"/>
  <c r="M962" i="11"/>
  <c r="M963" i="11"/>
  <c r="M964" i="11"/>
  <c r="M965" i="11"/>
  <c r="M966" i="11"/>
  <c r="M967" i="11"/>
  <c r="M968" i="11"/>
  <c r="M969" i="11"/>
  <c r="M970" i="11"/>
  <c r="M971" i="11"/>
  <c r="M972" i="11"/>
  <c r="M973" i="11"/>
  <c r="M974" i="11"/>
  <c r="M975" i="11"/>
  <c r="M976" i="11"/>
  <c r="M977" i="11"/>
  <c r="M978" i="11"/>
  <c r="M979" i="11"/>
  <c r="M980" i="11"/>
  <c r="M981" i="11"/>
  <c r="M982" i="11"/>
  <c r="M983" i="11"/>
  <c r="M984" i="11"/>
  <c r="M985" i="11"/>
  <c r="M986" i="11"/>
  <c r="M987" i="11"/>
  <c r="M988" i="11"/>
  <c r="M989" i="11"/>
  <c r="M990" i="11"/>
  <c r="M991" i="11"/>
  <c r="M992" i="11"/>
  <c r="M993" i="11"/>
  <c r="M994" i="11"/>
  <c r="M995" i="11"/>
  <c r="M996" i="11"/>
  <c r="M997" i="11"/>
  <c r="M998" i="11"/>
  <c r="M999" i="11"/>
  <c r="M1000" i="11"/>
  <c r="M1001" i="11"/>
  <c r="M1002" i="11"/>
  <c r="M1003" i="11"/>
  <c r="M1004" i="11"/>
  <c r="M1005" i="11"/>
  <c r="M1006" i="11"/>
  <c r="M1007" i="11"/>
  <c r="M1008" i="11"/>
  <c r="M1009" i="11"/>
  <c r="M1010" i="11"/>
  <c r="M1011" i="11"/>
  <c r="M1012" i="11"/>
  <c r="M1013" i="11"/>
  <c r="M1014" i="11"/>
  <c r="M1015" i="11"/>
  <c r="M1016" i="11"/>
  <c r="M1017" i="11"/>
  <c r="M1018" i="11"/>
  <c r="M1019" i="11"/>
  <c r="M1020" i="11"/>
  <c r="M1021" i="11"/>
  <c r="M1022" i="11"/>
  <c r="M1023" i="11"/>
  <c r="M1024" i="11"/>
  <c r="M1025" i="11"/>
  <c r="M1026" i="11"/>
  <c r="M1027" i="11"/>
  <c r="M1028" i="11"/>
  <c r="M1029" i="11"/>
  <c r="M1030" i="11"/>
  <c r="M1031" i="11"/>
  <c r="M1032" i="11"/>
  <c r="M1033" i="11"/>
  <c r="M1034" i="11"/>
  <c r="M1035" i="11"/>
  <c r="M1036" i="11"/>
  <c r="M1037" i="11"/>
  <c r="M1038" i="11"/>
  <c r="M1039" i="11"/>
  <c r="M1040" i="11"/>
  <c r="M1041" i="11"/>
  <c r="M1042" i="11"/>
  <c r="M1043" i="11"/>
  <c r="M1044" i="11"/>
  <c r="M1045" i="11"/>
  <c r="M1046" i="11"/>
  <c r="M1047" i="11"/>
  <c r="M1048" i="11"/>
  <c r="M1049" i="11"/>
  <c r="M1050" i="11"/>
  <c r="M1051" i="11"/>
  <c r="M1052" i="11"/>
  <c r="M1053" i="11"/>
  <c r="M1054" i="11"/>
  <c r="M1055" i="11"/>
  <c r="M1056" i="11"/>
  <c r="M1057" i="11"/>
  <c r="M1058" i="11"/>
  <c r="M1059" i="11"/>
  <c r="M1060" i="11"/>
  <c r="M1061" i="11"/>
  <c r="M1062" i="11"/>
  <c r="M1063" i="11"/>
  <c r="M1064" i="11"/>
  <c r="M1065" i="11"/>
  <c r="M1066" i="11"/>
  <c r="M1067" i="11"/>
  <c r="M1068" i="11"/>
  <c r="M1069" i="11"/>
  <c r="M1070" i="11"/>
  <c r="M1071" i="11"/>
  <c r="M1072" i="11"/>
  <c r="M1073" i="11"/>
  <c r="M1074" i="11"/>
  <c r="M1075" i="11"/>
  <c r="M1076" i="11"/>
  <c r="M1077" i="11"/>
  <c r="M1078" i="11"/>
  <c r="M1079" i="11"/>
  <c r="M1080" i="11"/>
  <c r="M1081" i="11"/>
  <c r="M1082" i="11"/>
  <c r="M1083" i="11"/>
  <c r="M1084" i="11"/>
  <c r="M1085" i="11"/>
  <c r="M1086" i="11"/>
  <c r="M1087" i="11"/>
  <c r="M1088" i="11"/>
  <c r="M1089" i="11"/>
  <c r="M1090" i="11"/>
  <c r="M1091" i="11"/>
  <c r="M1092" i="11"/>
  <c r="M1093" i="11"/>
  <c r="M1094" i="11"/>
  <c r="M1095" i="11"/>
  <c r="M1096" i="11"/>
  <c r="M1097" i="11"/>
  <c r="M1098" i="11"/>
  <c r="M1099" i="11"/>
  <c r="M1100" i="11"/>
  <c r="M1101" i="11"/>
  <c r="M1102" i="11"/>
  <c r="M1103" i="11"/>
  <c r="M1104" i="11"/>
  <c r="M1105" i="11"/>
  <c r="M1106" i="11"/>
  <c r="M1107" i="11"/>
  <c r="M1108" i="11"/>
  <c r="M1109" i="11"/>
  <c r="M1110" i="11"/>
  <c r="M1111" i="11"/>
  <c r="M1112" i="11"/>
  <c r="M1113" i="11"/>
  <c r="M1114" i="11"/>
  <c r="M1115" i="11"/>
  <c r="M1116" i="11"/>
  <c r="M1117" i="11"/>
  <c r="M1118" i="11"/>
  <c r="M1119" i="11"/>
  <c r="M1120" i="11"/>
  <c r="M1121" i="11"/>
  <c r="M1122" i="11"/>
  <c r="M1123" i="11"/>
  <c r="M1124" i="11"/>
  <c r="M1125" i="11"/>
  <c r="M1126" i="11"/>
  <c r="M1127" i="11"/>
  <c r="M1128" i="11"/>
  <c r="M1129" i="11"/>
  <c r="M1130" i="11"/>
  <c r="M1131" i="11"/>
  <c r="M1132" i="11"/>
  <c r="M1133" i="11"/>
  <c r="M1134" i="11"/>
  <c r="M1135" i="11"/>
  <c r="M1136" i="11"/>
  <c r="M1137" i="11"/>
  <c r="M1138" i="11"/>
  <c r="M1139" i="11"/>
  <c r="M1140" i="11"/>
  <c r="M1141" i="11"/>
  <c r="M1142" i="11"/>
  <c r="M1143" i="11"/>
  <c r="M1144" i="11"/>
  <c r="M1145" i="11"/>
  <c r="M1146" i="11"/>
  <c r="M1147" i="11"/>
  <c r="M1148" i="11"/>
  <c r="M1149" i="11"/>
  <c r="M1150" i="11"/>
  <c r="M1151" i="11"/>
  <c r="M1152" i="11"/>
  <c r="M1153" i="11"/>
  <c r="M1154" i="11"/>
  <c r="M1155" i="11"/>
  <c r="M1156" i="11"/>
  <c r="M1157" i="11"/>
  <c r="M1158" i="11"/>
  <c r="M1159" i="11"/>
  <c r="M1160" i="11"/>
  <c r="M1161" i="11"/>
  <c r="M1162" i="11"/>
  <c r="M1163" i="11"/>
  <c r="M1164" i="11"/>
  <c r="M1165" i="11"/>
  <c r="M1166" i="11"/>
  <c r="M1167" i="11"/>
  <c r="M1168" i="11"/>
  <c r="M1169" i="11"/>
  <c r="M1170" i="11"/>
  <c r="M1171" i="11"/>
  <c r="M1172" i="11"/>
  <c r="M1173" i="11"/>
  <c r="M1174" i="11"/>
  <c r="M1175" i="11"/>
  <c r="M1176" i="11"/>
  <c r="M1177" i="11"/>
  <c r="M1178" i="11"/>
  <c r="M1179" i="11"/>
  <c r="M1180" i="11"/>
  <c r="M1181" i="11"/>
  <c r="M1182" i="11"/>
  <c r="M1183" i="11"/>
  <c r="M1184" i="11"/>
  <c r="M1185" i="11"/>
  <c r="M1186" i="11"/>
  <c r="M1187" i="11"/>
  <c r="M1188" i="11"/>
  <c r="M1189" i="11"/>
  <c r="M1190" i="11"/>
  <c r="M1191" i="11"/>
  <c r="M1192" i="11"/>
  <c r="M1193" i="11"/>
  <c r="M1194" i="11"/>
  <c r="M1195" i="11"/>
  <c r="M1196" i="11"/>
  <c r="M1197" i="11"/>
  <c r="M1198" i="11"/>
  <c r="M1199" i="11"/>
  <c r="M1200" i="11"/>
  <c r="M1201" i="11"/>
  <c r="M1202" i="11"/>
  <c r="M1203" i="11"/>
  <c r="M1204" i="11"/>
  <c r="M1205" i="11"/>
  <c r="M1206" i="11"/>
  <c r="M1207" i="11"/>
  <c r="M1208" i="11"/>
  <c r="M1209" i="11"/>
  <c r="M1210" i="11"/>
  <c r="M1211" i="11"/>
  <c r="M1212" i="11"/>
  <c r="M1213" i="11"/>
  <c r="M1214" i="11"/>
  <c r="M1215" i="11"/>
  <c r="M1216" i="11"/>
  <c r="M1217" i="11"/>
  <c r="M1218" i="11"/>
  <c r="M1219" i="11"/>
  <c r="M1220" i="11"/>
  <c r="M1221" i="11"/>
  <c r="M1222" i="11"/>
  <c r="M1223" i="11"/>
  <c r="M1224" i="11"/>
  <c r="M1225" i="11"/>
  <c r="M1226" i="11"/>
  <c r="M1227" i="11"/>
  <c r="M1228" i="11"/>
  <c r="M1229" i="11"/>
  <c r="M1230" i="11"/>
  <c r="M1231" i="11"/>
  <c r="M1232" i="11"/>
  <c r="M1233" i="11"/>
  <c r="M1234" i="11"/>
  <c r="M1235" i="11"/>
  <c r="M1236" i="11"/>
  <c r="M1237" i="11"/>
  <c r="M1238" i="11"/>
  <c r="M1239" i="11"/>
  <c r="M1240" i="11"/>
  <c r="M1241" i="11"/>
  <c r="M1242" i="11"/>
  <c r="M1243" i="11"/>
  <c r="M1244" i="11"/>
  <c r="M1245" i="11"/>
  <c r="M1246" i="11"/>
  <c r="M1247" i="11"/>
  <c r="M1248" i="11"/>
  <c r="M1249" i="11"/>
  <c r="M1250" i="11"/>
  <c r="M1251" i="11"/>
  <c r="M1252" i="11"/>
  <c r="M1253" i="11"/>
  <c r="M1254" i="11"/>
  <c r="M1255" i="11"/>
  <c r="M1256" i="11"/>
  <c r="M1257" i="11"/>
  <c r="M1258" i="11"/>
  <c r="M1259" i="11"/>
  <c r="M1260" i="11"/>
  <c r="M1261" i="11"/>
  <c r="M1262" i="11"/>
  <c r="M1263" i="11"/>
  <c r="M1264" i="11"/>
  <c r="M1265" i="11"/>
  <c r="M1266" i="11"/>
  <c r="M1267" i="11"/>
  <c r="M1268" i="11"/>
  <c r="M1269" i="11"/>
  <c r="M1270" i="11"/>
  <c r="M1271" i="11"/>
  <c r="M1272" i="11"/>
  <c r="M1273" i="11"/>
  <c r="M1274" i="11"/>
  <c r="M1275" i="11"/>
  <c r="M1276" i="11"/>
  <c r="M1277" i="11"/>
  <c r="M1278" i="11"/>
  <c r="M1279" i="11"/>
  <c r="M1280" i="11"/>
  <c r="M1281" i="11"/>
  <c r="M1282" i="11"/>
  <c r="M1283" i="11"/>
  <c r="M1284" i="11"/>
  <c r="M1285" i="11"/>
  <c r="M1286" i="11"/>
  <c r="M1287" i="11"/>
  <c r="M1288" i="11"/>
  <c r="M1289" i="11"/>
  <c r="M1290" i="11"/>
  <c r="M1291" i="11"/>
  <c r="M1292" i="11"/>
  <c r="M1293" i="11"/>
  <c r="M1294" i="11"/>
  <c r="M1295" i="11"/>
  <c r="M1296" i="11"/>
  <c r="M1297" i="11"/>
  <c r="M1298" i="11"/>
  <c r="M1299" i="11"/>
  <c r="M1300" i="11"/>
  <c r="M1301" i="11"/>
  <c r="M1302" i="11"/>
  <c r="M1303" i="11"/>
  <c r="M1304" i="11"/>
  <c r="M1305" i="11"/>
  <c r="M1306" i="11"/>
  <c r="M1307" i="11"/>
  <c r="M1308" i="11"/>
  <c r="M1309" i="11"/>
  <c r="M1310" i="11"/>
  <c r="M1311" i="11"/>
  <c r="M1312" i="11"/>
  <c r="M1313" i="11"/>
  <c r="M1314" i="11"/>
  <c r="M1315" i="11"/>
  <c r="M1316" i="11"/>
  <c r="M1317" i="11"/>
  <c r="M1318" i="11"/>
  <c r="M1319" i="11"/>
  <c r="M1320" i="11"/>
  <c r="M1321" i="11"/>
  <c r="M1322" i="11"/>
  <c r="M1323" i="11"/>
  <c r="M1324" i="11"/>
  <c r="M1325" i="11"/>
  <c r="M1326" i="11"/>
  <c r="M1327" i="11"/>
  <c r="M1328" i="11"/>
  <c r="M1329" i="11"/>
  <c r="M1330" i="11"/>
  <c r="M1331" i="11"/>
  <c r="M1332" i="11"/>
  <c r="M1333" i="11"/>
  <c r="M1334" i="11"/>
  <c r="M1335" i="11"/>
  <c r="M1336" i="11"/>
  <c r="M1337" i="11"/>
  <c r="M1338" i="11"/>
  <c r="M1339" i="11"/>
  <c r="M1340" i="11"/>
  <c r="M1341" i="11"/>
  <c r="M1342" i="11"/>
  <c r="M1343" i="11"/>
  <c r="M1344" i="11"/>
  <c r="M1345" i="11"/>
  <c r="M1346" i="11"/>
  <c r="M1347" i="11"/>
  <c r="M1348" i="11"/>
  <c r="M1349" i="11"/>
  <c r="M1350" i="11"/>
  <c r="M1351" i="11"/>
  <c r="M1352" i="11"/>
  <c r="M1353" i="11"/>
  <c r="M1354" i="11"/>
  <c r="M1355" i="11"/>
  <c r="M1356" i="11"/>
  <c r="M1357" i="11"/>
  <c r="M1358" i="11"/>
  <c r="M1359" i="11"/>
  <c r="M1360" i="11"/>
  <c r="M1361" i="11"/>
  <c r="M1362" i="11"/>
  <c r="M1363" i="11"/>
  <c r="M1364" i="11"/>
  <c r="M1365" i="11"/>
  <c r="M1366" i="11"/>
  <c r="M1367" i="11"/>
  <c r="M1368" i="11"/>
  <c r="M1369" i="11"/>
  <c r="M1370" i="11"/>
  <c r="M1371" i="11"/>
  <c r="M1372" i="11"/>
  <c r="M1373" i="11"/>
  <c r="M1374" i="11"/>
  <c r="M1375" i="11"/>
  <c r="M1376" i="11"/>
  <c r="M1377" i="11"/>
  <c r="M1378" i="11"/>
  <c r="M1379" i="11"/>
  <c r="M1380" i="11"/>
  <c r="M1381" i="11"/>
  <c r="M1382" i="11"/>
  <c r="M1383" i="11"/>
  <c r="M1384" i="11"/>
  <c r="M1385" i="11"/>
  <c r="M1386" i="11"/>
  <c r="M1387" i="11"/>
  <c r="M1388" i="11"/>
  <c r="M1389" i="11"/>
  <c r="M1390" i="11"/>
  <c r="M1391" i="11"/>
  <c r="M1392" i="11"/>
  <c r="M1393" i="11"/>
  <c r="M1394" i="11"/>
  <c r="M1395" i="11"/>
  <c r="M1396" i="11"/>
  <c r="M1397" i="11"/>
  <c r="M1398" i="11"/>
  <c r="M1399" i="11"/>
  <c r="M1400" i="11"/>
  <c r="M1401" i="11"/>
  <c r="M1402" i="11"/>
  <c r="M1403" i="11"/>
  <c r="M1404" i="11"/>
  <c r="M1405" i="11"/>
  <c r="M1406" i="11"/>
  <c r="M1407" i="11"/>
  <c r="M1408" i="11"/>
  <c r="M1409" i="11"/>
  <c r="M1410" i="11"/>
  <c r="M1411" i="11"/>
  <c r="M1412" i="11"/>
  <c r="M1413" i="11"/>
  <c r="M1414" i="11"/>
  <c r="M1415" i="11"/>
  <c r="M1416" i="11"/>
  <c r="M1417" i="11"/>
  <c r="M1418" i="11"/>
  <c r="M1419" i="11"/>
  <c r="M1420" i="11"/>
  <c r="M1421" i="11"/>
  <c r="M1422" i="11"/>
  <c r="M1423" i="11"/>
  <c r="M1424" i="11"/>
  <c r="M1425" i="11"/>
  <c r="M1426" i="11"/>
  <c r="M1427" i="11"/>
  <c r="M1428" i="11"/>
  <c r="M1429" i="11"/>
  <c r="M1430" i="11"/>
  <c r="M1431" i="11"/>
  <c r="M1432" i="11"/>
  <c r="M1433" i="11"/>
  <c r="M1434" i="11"/>
  <c r="M1435" i="11"/>
  <c r="M1436" i="11"/>
  <c r="M1437" i="11"/>
  <c r="M1438" i="11"/>
  <c r="M1439" i="11"/>
  <c r="M1440" i="11"/>
  <c r="M1441" i="11"/>
  <c r="M1442" i="11"/>
  <c r="M1443" i="11"/>
  <c r="M1444" i="11"/>
  <c r="M1445" i="11"/>
  <c r="M1446" i="11"/>
  <c r="M1447" i="11"/>
  <c r="M1448" i="11"/>
  <c r="M1449" i="11"/>
  <c r="M1450" i="11"/>
  <c r="M1451" i="11"/>
  <c r="M1452" i="11"/>
  <c r="M1453" i="11"/>
  <c r="M1454" i="11"/>
  <c r="M1455" i="11"/>
  <c r="M1456" i="11"/>
  <c r="M1457" i="11"/>
  <c r="M1458" i="11"/>
  <c r="M1459" i="11"/>
  <c r="M1460" i="11"/>
  <c r="M1461" i="11"/>
  <c r="M1462" i="11"/>
  <c r="M1463" i="11"/>
  <c r="M1464" i="11"/>
  <c r="M1465" i="11"/>
  <c r="M1466" i="11"/>
  <c r="M1467" i="11"/>
  <c r="M1468" i="11"/>
  <c r="M1469" i="11"/>
  <c r="M1470" i="11"/>
  <c r="M1471" i="11"/>
  <c r="M1472" i="11"/>
  <c r="M1473" i="11"/>
  <c r="M1474" i="11"/>
  <c r="M1475" i="11"/>
  <c r="M1476" i="11"/>
  <c r="M1477" i="11"/>
  <c r="M1478" i="11"/>
  <c r="M1479" i="11"/>
  <c r="M1480" i="11"/>
  <c r="M1481" i="11"/>
  <c r="M1482" i="11"/>
  <c r="M1483" i="11"/>
  <c r="M1484" i="11"/>
  <c r="M1485" i="11"/>
  <c r="M1486" i="11"/>
  <c r="M1487" i="11"/>
  <c r="M1488" i="11"/>
  <c r="M1489" i="11"/>
  <c r="M1490" i="11"/>
  <c r="M1491" i="11"/>
  <c r="M1492" i="11"/>
  <c r="M1493" i="11"/>
  <c r="M1494" i="11"/>
  <c r="M1495" i="11"/>
  <c r="M1496" i="11"/>
  <c r="M1497" i="11"/>
  <c r="M1498" i="11"/>
  <c r="M1499" i="11"/>
  <c r="M1500" i="11"/>
  <c r="M1501" i="11"/>
  <c r="M1502" i="11"/>
  <c r="M1503" i="11"/>
  <c r="M1504" i="11"/>
  <c r="M1505" i="11"/>
  <c r="M1506" i="11"/>
  <c r="M1507" i="11"/>
  <c r="M1508" i="11"/>
  <c r="M1509" i="11"/>
  <c r="M1510" i="11"/>
  <c r="M1511" i="11"/>
  <c r="M1512" i="11"/>
  <c r="M1513" i="11"/>
  <c r="M1514" i="11"/>
  <c r="M1515" i="11"/>
  <c r="M1516" i="11"/>
  <c r="M1517" i="11"/>
  <c r="M1518" i="11"/>
  <c r="M1519" i="11"/>
  <c r="M1520" i="11"/>
  <c r="M1521" i="11"/>
  <c r="M1522" i="11"/>
  <c r="M1523" i="11"/>
  <c r="M1524" i="11"/>
  <c r="M1525" i="11"/>
  <c r="M1526" i="11"/>
  <c r="M1527" i="11"/>
  <c r="M1528" i="11"/>
  <c r="M1529" i="11"/>
  <c r="M1530" i="11"/>
  <c r="M1531" i="11"/>
  <c r="M1532" i="11"/>
  <c r="M1533" i="11"/>
  <c r="M1534" i="11"/>
  <c r="M1535" i="11"/>
  <c r="M1536" i="11"/>
  <c r="M1537" i="11"/>
  <c r="M1538" i="11"/>
  <c r="M1539" i="11"/>
  <c r="M1540" i="11"/>
  <c r="M1541" i="11"/>
  <c r="M1542" i="11"/>
  <c r="M1543" i="11"/>
  <c r="M1544" i="11"/>
  <c r="M1545" i="11"/>
  <c r="M1546" i="11"/>
  <c r="M1547" i="11"/>
  <c r="M1548" i="11"/>
  <c r="M1549" i="11"/>
  <c r="M1550" i="11"/>
  <c r="M1551" i="11"/>
  <c r="M1552" i="11"/>
  <c r="M1553" i="11"/>
  <c r="M1554" i="11"/>
  <c r="M1555" i="11"/>
  <c r="M1556" i="11"/>
  <c r="M1557" i="11"/>
  <c r="M1558" i="11"/>
  <c r="M1559" i="11"/>
  <c r="M1560" i="11"/>
  <c r="M1561" i="11"/>
  <c r="M1562" i="11"/>
  <c r="M1563" i="11"/>
  <c r="M1564" i="11"/>
  <c r="M1565" i="11"/>
  <c r="M1566" i="11"/>
  <c r="M1567" i="11"/>
  <c r="M1568" i="11"/>
  <c r="M1569" i="11"/>
  <c r="M1570" i="11"/>
  <c r="M1571" i="11"/>
  <c r="M1572" i="11"/>
  <c r="M1573" i="11"/>
  <c r="M1574" i="11"/>
  <c r="M1575" i="11"/>
  <c r="M1576" i="11"/>
  <c r="M1577" i="11"/>
  <c r="M1578" i="11"/>
  <c r="M1579" i="11"/>
  <c r="M1580" i="11"/>
  <c r="M1581" i="11"/>
  <c r="M1582" i="11"/>
  <c r="M1583" i="11"/>
  <c r="M1584" i="11"/>
  <c r="M1585" i="11"/>
  <c r="M1586" i="11"/>
  <c r="M1587" i="11"/>
  <c r="M1588" i="11"/>
  <c r="M1589" i="11"/>
  <c r="M1590" i="11"/>
  <c r="M1591" i="11"/>
  <c r="M1592" i="11"/>
  <c r="M1593" i="11"/>
  <c r="M1594" i="11"/>
  <c r="M1595" i="11"/>
  <c r="M1596" i="11"/>
  <c r="M1597" i="11"/>
  <c r="M1598" i="11"/>
  <c r="M1599" i="11"/>
  <c r="M1600" i="11"/>
  <c r="M1601" i="11"/>
  <c r="M1602" i="11"/>
  <c r="M1603" i="11"/>
  <c r="M1604" i="11"/>
  <c r="M1605" i="11"/>
  <c r="M1606" i="11"/>
  <c r="M1607" i="11"/>
  <c r="M1608" i="11"/>
  <c r="M1609" i="11"/>
  <c r="M1610" i="11"/>
  <c r="M1611" i="11"/>
  <c r="M1612" i="11"/>
  <c r="M1613" i="11"/>
  <c r="M1614" i="11"/>
  <c r="M1615" i="11"/>
  <c r="M1616" i="11"/>
  <c r="M1617" i="11"/>
  <c r="M1618" i="11"/>
  <c r="M1619" i="11"/>
  <c r="M1620" i="11"/>
  <c r="M1621" i="11"/>
  <c r="M1622" i="11"/>
  <c r="M1623" i="11"/>
  <c r="M1624" i="11"/>
  <c r="M1625" i="11"/>
  <c r="M1626" i="11"/>
  <c r="M1627" i="11"/>
  <c r="M1628" i="11"/>
  <c r="M1629" i="11"/>
  <c r="M1630" i="11"/>
  <c r="M1631" i="11"/>
  <c r="M1632" i="11"/>
  <c r="M1633" i="11"/>
  <c r="M1634" i="11"/>
  <c r="M1635" i="11"/>
  <c r="M1636" i="11"/>
  <c r="M1637" i="11"/>
  <c r="M1638" i="11"/>
  <c r="M1639" i="11"/>
  <c r="M1640" i="11"/>
  <c r="M1641" i="11"/>
  <c r="M1642" i="11"/>
  <c r="M1643" i="11"/>
  <c r="M1644" i="11"/>
  <c r="M1645" i="11"/>
  <c r="M1646" i="11"/>
  <c r="M1647" i="11"/>
  <c r="M1648" i="11"/>
  <c r="M1649" i="11"/>
  <c r="M1650" i="11"/>
  <c r="M1651" i="11"/>
  <c r="M1652" i="11"/>
  <c r="M1653" i="11"/>
  <c r="M1654" i="11"/>
  <c r="M1655" i="11"/>
  <c r="M1656" i="11"/>
  <c r="M1657" i="11"/>
  <c r="M1658" i="11"/>
  <c r="M1659" i="11"/>
  <c r="M1660" i="11"/>
  <c r="M1661" i="11"/>
  <c r="M1662" i="11"/>
  <c r="M1663" i="11"/>
  <c r="M1664" i="11"/>
  <c r="M1665" i="11"/>
  <c r="M1666" i="11"/>
  <c r="M1667" i="11"/>
  <c r="M1668" i="11"/>
  <c r="M1669" i="11"/>
  <c r="M1670" i="11"/>
  <c r="M1671" i="11"/>
  <c r="M1672" i="11"/>
  <c r="M1673" i="11"/>
  <c r="M1674" i="11"/>
  <c r="M1675" i="11"/>
  <c r="M1676" i="11"/>
  <c r="M1677" i="11"/>
  <c r="M1678" i="11"/>
  <c r="M1679" i="11"/>
  <c r="M1680" i="11"/>
  <c r="M1681" i="11"/>
  <c r="M1682" i="11"/>
  <c r="M1683" i="11"/>
  <c r="M1684" i="11"/>
  <c r="M1685" i="11"/>
  <c r="M1686" i="11"/>
  <c r="M1687" i="11"/>
  <c r="M1688" i="11"/>
  <c r="M1689" i="11"/>
  <c r="M1690" i="11"/>
  <c r="M1691" i="11"/>
  <c r="M1692" i="11"/>
  <c r="M1693" i="11"/>
  <c r="M1694" i="11"/>
  <c r="M1695" i="11"/>
  <c r="M1696" i="11"/>
  <c r="M1697" i="11"/>
  <c r="M1698" i="11"/>
  <c r="M1699" i="11"/>
  <c r="M1700" i="11"/>
  <c r="M1701" i="11"/>
  <c r="M1702" i="11"/>
  <c r="M1703" i="11"/>
  <c r="M1704" i="11"/>
  <c r="M1705" i="11"/>
  <c r="M1706" i="11"/>
  <c r="M1707" i="11"/>
  <c r="M1708" i="11"/>
  <c r="M1709" i="11"/>
  <c r="M1710" i="11"/>
  <c r="M1711" i="11"/>
  <c r="M1712" i="11"/>
  <c r="M1713" i="11"/>
  <c r="M1714" i="11"/>
  <c r="M1715" i="11"/>
  <c r="M1716" i="11"/>
  <c r="M1717" i="11"/>
  <c r="M1718" i="11"/>
  <c r="M1719" i="11"/>
  <c r="M1720" i="11"/>
  <c r="M1721" i="11"/>
  <c r="M1722" i="11"/>
  <c r="M1723" i="11"/>
  <c r="M1724" i="11"/>
  <c r="M1725" i="11"/>
  <c r="M1726" i="11"/>
  <c r="M1727" i="11"/>
  <c r="M1728" i="11"/>
  <c r="M1729" i="11"/>
  <c r="M1730" i="11"/>
  <c r="M1731" i="11"/>
  <c r="M1732" i="11"/>
  <c r="M1733" i="11"/>
  <c r="M1734" i="11"/>
  <c r="M1735" i="11"/>
  <c r="M1736" i="11"/>
  <c r="M1737" i="11"/>
  <c r="M1738" i="11"/>
  <c r="M1739" i="11"/>
  <c r="M1740" i="11"/>
  <c r="M1741" i="11"/>
  <c r="M1742" i="11"/>
  <c r="M1743" i="11"/>
  <c r="M1744" i="11"/>
  <c r="M1745" i="11"/>
  <c r="M1746" i="11"/>
  <c r="M1747" i="11"/>
  <c r="M1748" i="11"/>
  <c r="M1749" i="11"/>
  <c r="M1750" i="11"/>
  <c r="M1751" i="11"/>
  <c r="M1752" i="11"/>
  <c r="M1753" i="11"/>
  <c r="M1754" i="11"/>
  <c r="M1755" i="11"/>
  <c r="M1756" i="11"/>
  <c r="M1757" i="11"/>
  <c r="M1758" i="11"/>
  <c r="M1759" i="11"/>
  <c r="M1760" i="11"/>
  <c r="M1761" i="11"/>
  <c r="M1762" i="11"/>
  <c r="M1763" i="11"/>
  <c r="M1764" i="11"/>
  <c r="M1765" i="11"/>
  <c r="M1766" i="11"/>
  <c r="M1767" i="11"/>
  <c r="M1768" i="11"/>
  <c r="M1769" i="11"/>
  <c r="M1770" i="11"/>
  <c r="M1771" i="11"/>
  <c r="M1772" i="11"/>
  <c r="M1773" i="11"/>
  <c r="M1774" i="11"/>
  <c r="M1775" i="11"/>
  <c r="M1776" i="11"/>
  <c r="M1777" i="11"/>
  <c r="M1778" i="11"/>
  <c r="M1779" i="11"/>
  <c r="M1780" i="11"/>
  <c r="M1781" i="11"/>
  <c r="M1782" i="11"/>
  <c r="M1783" i="11"/>
  <c r="M1784" i="11"/>
  <c r="M1785" i="11"/>
  <c r="M1786" i="11"/>
  <c r="M1787" i="11"/>
  <c r="M1788" i="11"/>
  <c r="M1789" i="11"/>
  <c r="M1790" i="11"/>
  <c r="M1791" i="11"/>
  <c r="M1792" i="11"/>
  <c r="M1793" i="11"/>
  <c r="M1794" i="11"/>
  <c r="M1795" i="11"/>
  <c r="M1796" i="11"/>
  <c r="M1797" i="11"/>
  <c r="M1798" i="11"/>
  <c r="M1799" i="11"/>
  <c r="M1800" i="11"/>
  <c r="M1801" i="11"/>
  <c r="M1802" i="11"/>
  <c r="M1803" i="11"/>
  <c r="M1804" i="11"/>
  <c r="M1805" i="11"/>
  <c r="M1806" i="11"/>
  <c r="M1807" i="11"/>
  <c r="M1808" i="11"/>
  <c r="M1809" i="11"/>
  <c r="M1810" i="11"/>
  <c r="M1811" i="11"/>
  <c r="M1812" i="11"/>
  <c r="M1813" i="11"/>
  <c r="M1814" i="11"/>
  <c r="M1815" i="11"/>
  <c r="M1816" i="11"/>
  <c r="M1817" i="11"/>
  <c r="M1818" i="11"/>
  <c r="M1819" i="11"/>
  <c r="M1820" i="11"/>
  <c r="M1821" i="11"/>
  <c r="M1822" i="11"/>
  <c r="M1823" i="11"/>
  <c r="M1824" i="11"/>
  <c r="M1825" i="11"/>
  <c r="M1826" i="11"/>
  <c r="M1827" i="11"/>
  <c r="M1828" i="11"/>
  <c r="M1829" i="11"/>
  <c r="M1830" i="11"/>
  <c r="M1831" i="11"/>
  <c r="M1832" i="11"/>
  <c r="M1833" i="11"/>
  <c r="M1834" i="11"/>
  <c r="M1835" i="11"/>
  <c r="M1836" i="11"/>
  <c r="M1837" i="11"/>
  <c r="M1838" i="11"/>
  <c r="M1839" i="11"/>
  <c r="M1840" i="11"/>
  <c r="M1841" i="11"/>
  <c r="M1842" i="11"/>
  <c r="M1843" i="11"/>
  <c r="M1844" i="11"/>
  <c r="M1845" i="11"/>
  <c r="M1846" i="11"/>
  <c r="M1847" i="11"/>
  <c r="M1848" i="11"/>
  <c r="M1849" i="11"/>
  <c r="M1850" i="11"/>
  <c r="M1851" i="11"/>
  <c r="M1852" i="11"/>
  <c r="M1853" i="11"/>
  <c r="M1854" i="11"/>
  <c r="M1855" i="11"/>
  <c r="M1856" i="11"/>
  <c r="M1857" i="11"/>
  <c r="M1858" i="11"/>
  <c r="M1859" i="11"/>
  <c r="M1860" i="11"/>
  <c r="M1861" i="11"/>
  <c r="M1862" i="11"/>
  <c r="M1863" i="11"/>
  <c r="M1864" i="11"/>
  <c r="M2" i="11"/>
  <c r="D25" i="11"/>
  <c r="D24" i="11"/>
  <c r="D22" i="11"/>
  <c r="D21" i="11"/>
  <c r="D19" i="11"/>
  <c r="D18" i="11"/>
  <c r="D28" i="11" l="1"/>
  <c r="AM24" i="10"/>
  <c r="F33" i="11"/>
  <c r="AM56" i="10"/>
  <c r="F53" i="11"/>
  <c r="AM79" i="10"/>
  <c r="F67" i="11"/>
  <c r="AM112" i="10"/>
  <c r="F88" i="11"/>
  <c r="C20" i="7"/>
  <c r="F120" i="11"/>
  <c r="C35" i="7"/>
  <c r="F146" i="11"/>
  <c r="AM57" i="10"/>
  <c r="F54" i="11"/>
  <c r="AM80" i="10"/>
  <c r="F68" i="11"/>
  <c r="AM113" i="10"/>
  <c r="F89" i="11"/>
  <c r="AM58" i="10"/>
  <c r="F55" i="11"/>
  <c r="AM81" i="10"/>
  <c r="F69" i="11"/>
  <c r="AM114" i="10"/>
  <c r="F90" i="11"/>
  <c r="F56" i="11"/>
  <c r="C60" i="10"/>
  <c r="AM82" i="10"/>
  <c r="F70" i="11"/>
  <c r="AM115" i="10"/>
  <c r="F91" i="11"/>
  <c r="AM21" i="10"/>
  <c r="F30" i="11"/>
  <c r="AM63" i="10"/>
  <c r="F57" i="11"/>
  <c r="F71" i="11"/>
  <c r="C84" i="10"/>
  <c r="F92" i="11"/>
  <c r="C117" i="10"/>
  <c r="AM22" i="10"/>
  <c r="F31" i="11"/>
  <c r="AM64" i="10"/>
  <c r="F58" i="11"/>
  <c r="AM120" i="10"/>
  <c r="F93" i="11"/>
  <c r="AM23" i="10"/>
  <c r="F32" i="11"/>
  <c r="AM65" i="10"/>
  <c r="F59" i="11"/>
  <c r="AM89" i="10"/>
  <c r="F74" i="11"/>
  <c r="AM121" i="10"/>
  <c r="F94" i="11"/>
  <c r="AM90" i="10"/>
  <c r="F75" i="11"/>
  <c r="AM122" i="10"/>
  <c r="F95" i="11"/>
  <c r="F34" i="11"/>
  <c r="C26" i="10"/>
  <c r="C68" i="10"/>
  <c r="F61" i="11"/>
  <c r="AM91" i="10"/>
  <c r="F76" i="11"/>
  <c r="AM123" i="10"/>
  <c r="F96" i="11"/>
  <c r="AM30" i="10"/>
  <c r="F36" i="11"/>
  <c r="AM37" i="10"/>
  <c r="F40" i="11"/>
  <c r="AM96" i="10"/>
  <c r="F78" i="11"/>
  <c r="AM129" i="10"/>
  <c r="F99" i="11"/>
  <c r="AM66" i="10"/>
  <c r="F60" i="11"/>
  <c r="C26" i="7"/>
  <c r="F130" i="11"/>
  <c r="C41" i="7"/>
  <c r="F158" i="11"/>
  <c r="AM29" i="10"/>
  <c r="F35" i="11"/>
  <c r="C93" i="10"/>
  <c r="F77" i="11"/>
  <c r="AM128" i="10"/>
  <c r="F98" i="11"/>
  <c r="AM31" i="10"/>
  <c r="F37" i="11"/>
  <c r="AM38" i="10"/>
  <c r="F41" i="11"/>
  <c r="AM97" i="10"/>
  <c r="F79" i="11"/>
  <c r="AM130" i="10"/>
  <c r="F100" i="11"/>
  <c r="AM32" i="10"/>
  <c r="F38" i="11"/>
  <c r="AM39" i="10"/>
  <c r="F42" i="11"/>
  <c r="AM98" i="10"/>
  <c r="F80" i="11"/>
  <c r="AM131" i="10"/>
  <c r="F101" i="11"/>
  <c r="AI22" i="11"/>
  <c r="C190" i="10" s="1"/>
  <c r="F145" i="11"/>
  <c r="F39" i="11"/>
  <c r="C34" i="10"/>
  <c r="AM40" i="10"/>
  <c r="F43" i="11"/>
  <c r="AM99" i="10"/>
  <c r="F81" i="11"/>
  <c r="C125" i="10"/>
  <c r="F97" i="11"/>
  <c r="AI23" i="11"/>
  <c r="C9" i="22" s="1"/>
  <c r="F151" i="11"/>
  <c r="AM46" i="10"/>
  <c r="F46" i="11"/>
  <c r="C42" i="10"/>
  <c r="F44" i="11"/>
  <c r="C101" i="10"/>
  <c r="F82" i="11"/>
  <c r="C133" i="10"/>
  <c r="F102" i="11"/>
  <c r="AI24" i="11"/>
  <c r="C9" i="23" s="1"/>
  <c r="F157" i="11"/>
  <c r="AM47" i="10"/>
  <c r="F47" i="11"/>
  <c r="AM71" i="10"/>
  <c r="F62" i="11"/>
  <c r="AM104" i="10"/>
  <c r="F83" i="11"/>
  <c r="C29" i="7"/>
  <c r="F135" i="11"/>
  <c r="AM48" i="10"/>
  <c r="F48" i="11"/>
  <c r="AM72" i="10"/>
  <c r="F63" i="11"/>
  <c r="AM105" i="10"/>
  <c r="F84" i="11"/>
  <c r="C32" i="7"/>
  <c r="F140" i="11"/>
  <c r="AM49" i="10"/>
  <c r="F49" i="11"/>
  <c r="AM73" i="10"/>
  <c r="F64" i="11"/>
  <c r="AM106" i="10"/>
  <c r="F85" i="11"/>
  <c r="C51" i="10"/>
  <c r="F50" i="11"/>
  <c r="AM74" i="10"/>
  <c r="F65" i="11"/>
  <c r="AM107" i="10"/>
  <c r="F86" i="11"/>
  <c r="AM55" i="10"/>
  <c r="F52" i="11"/>
  <c r="C76" i="10"/>
  <c r="F66" i="11"/>
  <c r="C109" i="10"/>
  <c r="F87" i="11"/>
  <c r="C9" i="21"/>
  <c r="D103" i="11"/>
  <c r="C23" i="7"/>
  <c r="C38" i="7"/>
  <c r="AG35" i="8"/>
  <c r="AG36" i="8" s="1"/>
  <c r="AM88" i="10"/>
  <c r="D165" i="11"/>
  <c r="D164" i="11"/>
  <c r="AJ27" i="4"/>
  <c r="D43" i="4"/>
  <c r="AP45" i="3"/>
  <c r="T27" i="4"/>
  <c r="D27" i="4"/>
  <c r="D211" i="11"/>
  <c r="P30" i="8"/>
  <c r="D51" i="11"/>
  <c r="F51" i="11" s="1"/>
  <c r="AG30" i="8"/>
  <c r="AG31" i="8" s="1"/>
  <c r="P35" i="8"/>
  <c r="P36" i="8" s="1"/>
  <c r="AG40" i="8"/>
  <c r="AG41" i="8" s="1"/>
  <c r="D109" i="11"/>
  <c r="F109" i="11" s="1"/>
  <c r="D45" i="11"/>
  <c r="D72" i="11"/>
  <c r="F72" i="11" s="1"/>
  <c r="C208" i="10" l="1"/>
  <c r="C199" i="10"/>
  <c r="AV43" i="4"/>
  <c r="F164" i="11"/>
  <c r="A2" i="8"/>
  <c r="P46" i="8" s="1"/>
  <c r="D213" i="11" s="1"/>
  <c r="F165" i="11"/>
  <c r="AD103" i="14"/>
  <c r="F103" i="11"/>
  <c r="AD58" i="5"/>
  <c r="F45" i="11"/>
  <c r="P31" i="8"/>
  <c r="D207" i="11" s="1"/>
  <c r="P43" i="4"/>
  <c r="AD73" i="13"/>
  <c r="AV27" i="4"/>
  <c r="C44" i="7"/>
  <c r="AS43" i="15"/>
  <c r="AF43" i="4"/>
  <c r="AS43" i="12"/>
  <c r="AF27" i="4"/>
  <c r="AG58" i="5"/>
  <c r="P27" i="4"/>
  <c r="D110" i="11"/>
  <c r="F110" i="11" s="1"/>
  <c r="D209" i="11"/>
  <c r="D210" i="11"/>
  <c r="D208" i="11"/>
  <c r="AG43" i="15"/>
  <c r="AG43" i="12"/>
  <c r="AQ58" i="11"/>
  <c r="AS73" i="13"/>
  <c r="AG73" i="13"/>
  <c r="AG103" i="14"/>
  <c r="AS103" i="14"/>
  <c r="AS58" i="5"/>
  <c r="D7" i="11"/>
  <c r="D6" i="11"/>
  <c r="D5" i="11"/>
  <c r="D4" i="11"/>
  <c r="D3" i="11"/>
  <c r="D2" i="11"/>
  <c r="D11" i="11"/>
  <c r="D10" i="11"/>
  <c r="D9" i="11"/>
  <c r="BL1" i="11" l="1"/>
  <c r="BI1" i="11"/>
  <c r="BZ1" i="11"/>
  <c r="BH1" i="11"/>
  <c r="BY1" i="11"/>
  <c r="BW1" i="11"/>
  <c r="BV1" i="11"/>
  <c r="BU1" i="11"/>
  <c r="BT1" i="11"/>
  <c r="BS1" i="11"/>
  <c r="BQ1" i="11"/>
  <c r="BX1" i="11"/>
  <c r="BR1" i="11"/>
  <c r="BP1" i="11"/>
  <c r="BN1" i="11"/>
  <c r="BK1" i="11"/>
  <c r="BO1" i="11"/>
  <c r="BJ1" i="11"/>
  <c r="BM1" i="11"/>
  <c r="T6" i="11"/>
  <c r="T38" i="11"/>
  <c r="T42" i="11"/>
  <c r="T46" i="11"/>
  <c r="T62" i="11"/>
  <c r="T66" i="11"/>
  <c r="T70" i="11"/>
  <c r="T74" i="11"/>
  <c r="T78" i="11"/>
  <c r="T82" i="11"/>
  <c r="T86" i="11"/>
  <c r="T90" i="11"/>
  <c r="T94" i="11"/>
  <c r="T98" i="11"/>
  <c r="T102" i="11"/>
  <c r="T110" i="11"/>
  <c r="T114" i="11"/>
  <c r="T118" i="11"/>
  <c r="T122" i="11"/>
  <c r="T138" i="11"/>
  <c r="T162" i="11"/>
  <c r="T166" i="11"/>
  <c r="T170" i="11"/>
  <c r="T174" i="11"/>
  <c r="T178" i="11"/>
  <c r="T182" i="11"/>
  <c r="T186" i="11"/>
  <c r="T190" i="11"/>
  <c r="T194" i="11"/>
  <c r="T198" i="11"/>
  <c r="T202" i="11"/>
  <c r="T206" i="11"/>
  <c r="T210" i="11"/>
  <c r="T214" i="11"/>
  <c r="T218" i="11"/>
  <c r="T222" i="11"/>
  <c r="T3" i="11"/>
  <c r="T7" i="11"/>
  <c r="T39" i="11"/>
  <c r="T43" i="11"/>
  <c r="T47" i="11"/>
  <c r="T4" i="11"/>
  <c r="T8" i="11"/>
  <c r="T40" i="11"/>
  <c r="T44" i="11"/>
  <c r="T48" i="11"/>
  <c r="T49" i="11" s="1"/>
  <c r="T50" i="11" s="1"/>
  <c r="T51" i="11" s="1"/>
  <c r="T52" i="11" s="1"/>
  <c r="T53" i="11" s="1"/>
  <c r="T54" i="11" s="1"/>
  <c r="T55" i="11" s="1"/>
  <c r="T56" i="11" s="1"/>
  <c r="T57" i="11" s="1"/>
  <c r="T58" i="11" s="1"/>
  <c r="T60" i="11"/>
  <c r="T64" i="11"/>
  <c r="T68" i="11"/>
  <c r="T72" i="11"/>
  <c r="T76" i="11"/>
  <c r="T80" i="11"/>
  <c r="T84" i="11"/>
  <c r="T88" i="11"/>
  <c r="T92" i="11"/>
  <c r="T96" i="11"/>
  <c r="T100" i="11"/>
  <c r="T104" i="11"/>
  <c r="T112" i="11"/>
  <c r="T116" i="11"/>
  <c r="T120" i="11"/>
  <c r="T140" i="11"/>
  <c r="T160" i="11"/>
  <c r="T164" i="11"/>
  <c r="T168" i="11"/>
  <c r="T172" i="11"/>
  <c r="T176" i="11"/>
  <c r="T180" i="11"/>
  <c r="T184" i="11"/>
  <c r="T188" i="11"/>
  <c r="T192" i="11"/>
  <c r="T196" i="11"/>
  <c r="T200" i="11"/>
  <c r="T204" i="11"/>
  <c r="T208" i="11"/>
  <c r="T212" i="11"/>
  <c r="T216" i="11"/>
  <c r="T220" i="11"/>
  <c r="T65" i="11"/>
  <c r="T73" i="11"/>
  <c r="T81" i="11"/>
  <c r="T89" i="11"/>
  <c r="T97" i="11"/>
  <c r="T105" i="11"/>
  <c r="T106" i="11" s="1"/>
  <c r="T107" i="11" s="1"/>
  <c r="T108" i="11" s="1"/>
  <c r="T109" i="11" s="1"/>
  <c r="T113" i="11"/>
  <c r="T121" i="11"/>
  <c r="T161" i="11"/>
  <c r="T169" i="11"/>
  <c r="T177" i="11"/>
  <c r="T185" i="11"/>
  <c r="T193" i="11"/>
  <c r="T201" i="11"/>
  <c r="T209" i="11"/>
  <c r="T217" i="11"/>
  <c r="T5" i="11"/>
  <c r="T59" i="11"/>
  <c r="T67" i="11"/>
  <c r="T75" i="11"/>
  <c r="T83" i="11"/>
  <c r="T91" i="11"/>
  <c r="T99" i="11"/>
  <c r="T115" i="11"/>
  <c r="T123" i="11"/>
  <c r="T124" i="11" s="1"/>
  <c r="T125" i="11" s="1"/>
  <c r="T126" i="11" s="1"/>
  <c r="T127" i="11" s="1"/>
  <c r="T128" i="11" s="1"/>
  <c r="T129" i="11" s="1"/>
  <c r="T130" i="11" s="1"/>
  <c r="T131" i="11" s="1"/>
  <c r="T132" i="11" s="1"/>
  <c r="T133" i="11" s="1"/>
  <c r="T134" i="11" s="1"/>
  <c r="T135" i="11" s="1"/>
  <c r="T136" i="11" s="1"/>
  <c r="T137" i="11" s="1"/>
  <c r="T139" i="11"/>
  <c r="T163" i="11"/>
  <c r="T171" i="11"/>
  <c r="T179" i="11"/>
  <c r="T187" i="11"/>
  <c r="T195" i="11"/>
  <c r="T203" i="11"/>
  <c r="T211" i="11"/>
  <c r="T219" i="11"/>
  <c r="T9" i="11"/>
  <c r="T10" i="11" s="1"/>
  <c r="T11" i="11" s="1"/>
  <c r="T12" i="11" s="1"/>
  <c r="T13" i="11" s="1"/>
  <c r="T14" i="11" s="1"/>
  <c r="T15" i="11" s="1"/>
  <c r="T16" i="11" s="1"/>
  <c r="T17" i="11" s="1"/>
  <c r="T18" i="11" s="1"/>
  <c r="T19" i="11" s="1"/>
  <c r="T20" i="11" s="1"/>
  <c r="T21" i="11" s="1"/>
  <c r="T22" i="11" s="1"/>
  <c r="T23" i="11" s="1"/>
  <c r="T24" i="11" s="1"/>
  <c r="T25" i="11" s="1"/>
  <c r="T26" i="11" s="1"/>
  <c r="T27" i="11" s="1"/>
  <c r="T28" i="11" s="1"/>
  <c r="T29" i="11" s="1"/>
  <c r="T30" i="11" s="1"/>
  <c r="T31" i="11" s="1"/>
  <c r="T32" i="11" s="1"/>
  <c r="T33" i="11" s="1"/>
  <c r="T34" i="11" s="1"/>
  <c r="T35" i="11" s="1"/>
  <c r="T36" i="11" s="1"/>
  <c r="T37" i="11" s="1"/>
  <c r="T41" i="11"/>
  <c r="T61" i="11"/>
  <c r="T69" i="11"/>
  <c r="T77" i="11"/>
  <c r="T85" i="11"/>
  <c r="T93" i="11"/>
  <c r="T101" i="11"/>
  <c r="T117" i="11"/>
  <c r="T141" i="11"/>
  <c r="T142" i="11" s="1"/>
  <c r="T143" i="11" s="1"/>
  <c r="T144" i="11" s="1"/>
  <c r="T145" i="11" s="1"/>
  <c r="T146" i="11" s="1"/>
  <c r="T147" i="11" s="1"/>
  <c r="T148" i="11" s="1"/>
  <c r="T149" i="11" s="1"/>
  <c r="T150" i="11" s="1"/>
  <c r="T151" i="11" s="1"/>
  <c r="T152" i="11" s="1"/>
  <c r="T153" i="11" s="1"/>
  <c r="T154" i="11" s="1"/>
  <c r="T155" i="11" s="1"/>
  <c r="T156" i="11" s="1"/>
  <c r="T157" i="11"/>
  <c r="T158" i="11" s="1"/>
  <c r="T165" i="11"/>
  <c r="T173" i="11"/>
  <c r="T181" i="11"/>
  <c r="T189" i="11"/>
  <c r="T197" i="11"/>
  <c r="T205" i="11"/>
  <c r="T213" i="11"/>
  <c r="T221" i="11"/>
  <c r="T45" i="11"/>
  <c r="T63" i="11"/>
  <c r="T71" i="11"/>
  <c r="T87" i="11"/>
  <c r="T95" i="11"/>
  <c r="T111" i="11"/>
  <c r="T167" i="11"/>
  <c r="T183" i="11"/>
  <c r="T199" i="11"/>
  <c r="T215" i="11"/>
  <c r="T79" i="11"/>
  <c r="T103" i="11"/>
  <c r="T119" i="11"/>
  <c r="T159" i="11"/>
  <c r="T175" i="11"/>
  <c r="T191" i="11"/>
  <c r="T207" i="11"/>
  <c r="T2" i="11"/>
  <c r="A2" i="4"/>
  <c r="AP46" i="4"/>
  <c r="D212" i="11"/>
  <c r="D15" i="11"/>
  <c r="AP43" i="1" s="1"/>
  <c r="B13" i="11"/>
  <c r="D13" i="11" s="1"/>
  <c r="N1787" i="11"/>
  <c r="N1205" i="11"/>
  <c r="I197" i="11"/>
  <c r="I165" i="11"/>
  <c r="I85" i="11"/>
  <c r="I69" i="11"/>
  <c r="I37" i="11"/>
  <c r="I193" i="11"/>
  <c r="I177" i="11"/>
  <c r="I161" i="11"/>
  <c r="I145" i="11"/>
  <c r="I113" i="11"/>
  <c r="I97" i="11"/>
  <c r="I81" i="11"/>
  <c r="I65" i="11"/>
  <c r="I181" i="11"/>
  <c r="I149" i="11"/>
  <c r="I189" i="11"/>
  <c r="I173" i="11"/>
  <c r="I157" i="11"/>
  <c r="I141" i="11"/>
  <c r="I109" i="11"/>
  <c r="I93" i="11"/>
  <c r="I77" i="11"/>
  <c r="I61" i="11"/>
  <c r="I185" i="11"/>
  <c r="I169" i="11"/>
  <c r="I153" i="11"/>
  <c r="I105" i="11"/>
  <c r="I89" i="11"/>
  <c r="I73" i="11"/>
  <c r="I57" i="11"/>
  <c r="I41" i="11"/>
  <c r="N1864" i="11"/>
  <c r="N1848" i="11"/>
  <c r="N1832" i="11"/>
  <c r="N1819" i="11"/>
  <c r="N1771" i="11"/>
  <c r="N1755" i="11"/>
  <c r="N1739" i="11"/>
  <c r="N1723" i="11"/>
  <c r="N1707" i="11"/>
  <c r="N1691" i="11"/>
  <c r="N1675" i="11"/>
  <c r="N1659" i="11"/>
  <c r="N1643" i="11"/>
  <c r="N1627" i="11"/>
  <c r="N1611" i="11"/>
  <c r="N1595" i="11"/>
  <c r="N1579" i="11"/>
  <c r="N1563" i="11"/>
  <c r="N1547" i="11"/>
  <c r="N1531" i="11"/>
  <c r="N1515" i="11"/>
  <c r="N1499" i="11"/>
  <c r="N1483" i="11"/>
  <c r="N1467" i="11"/>
  <c r="N1451" i="11"/>
  <c r="N1435" i="11"/>
  <c r="N1419" i="11"/>
  <c r="N1355" i="11"/>
  <c r="N1339" i="11"/>
  <c r="N1323" i="11"/>
  <c r="N1307" i="11"/>
  <c r="N1291" i="11"/>
  <c r="N1275" i="11"/>
  <c r="N1259" i="11"/>
  <c r="N1243" i="11"/>
  <c r="N1227" i="11"/>
  <c r="N1211" i="11"/>
  <c r="I196" i="11"/>
  <c r="I192" i="11"/>
  <c r="I188" i="11"/>
  <c r="I184" i="11"/>
  <c r="I180" i="11"/>
  <c r="I176" i="11"/>
  <c r="I172" i="11"/>
  <c r="I168" i="11"/>
  <c r="I164" i="11"/>
  <c r="I160" i="11"/>
  <c r="I156" i="11"/>
  <c r="I152" i="11"/>
  <c r="I148" i="11"/>
  <c r="I144" i="11"/>
  <c r="I140" i="11"/>
  <c r="I128" i="11"/>
  <c r="I129" i="11" s="1"/>
  <c r="I130" i="11" s="1"/>
  <c r="I131" i="11" s="1"/>
  <c r="I132" i="11" s="1"/>
  <c r="I133" i="11" s="1"/>
  <c r="I134" i="11" s="1"/>
  <c r="I135" i="11" s="1"/>
  <c r="I136" i="11" s="1"/>
  <c r="I137" i="11" s="1"/>
  <c r="I138" i="11" s="1"/>
  <c r="I112" i="11"/>
  <c r="I108" i="11"/>
  <c r="I100" i="11"/>
  <c r="I101" i="11" s="1"/>
  <c r="I102" i="11" s="1"/>
  <c r="I103" i="11" s="1"/>
  <c r="I104" i="11" s="1"/>
  <c r="I96" i="11"/>
  <c r="I92" i="11"/>
  <c r="I88" i="11"/>
  <c r="I84" i="11"/>
  <c r="I80" i="11"/>
  <c r="I76" i="11"/>
  <c r="I72" i="11"/>
  <c r="I64" i="11"/>
  <c r="I60" i="11"/>
  <c r="I56" i="11"/>
  <c r="I40" i="11"/>
  <c r="I36" i="11"/>
  <c r="N1863" i="11"/>
  <c r="N1857" i="11"/>
  <c r="N1852" i="11"/>
  <c r="N1847" i="11"/>
  <c r="N1839" i="11"/>
  <c r="N1831" i="11"/>
  <c r="N1815" i="11"/>
  <c r="N1799" i="11"/>
  <c r="N1783" i="11"/>
  <c r="N1767" i="11"/>
  <c r="N1751" i="11"/>
  <c r="N1735" i="11"/>
  <c r="N1719" i="11"/>
  <c r="N1703" i="11"/>
  <c r="N1687" i="11"/>
  <c r="N1671" i="11"/>
  <c r="N1655" i="11"/>
  <c r="N1639" i="11"/>
  <c r="N1623" i="11"/>
  <c r="N1607" i="11"/>
  <c r="N1591" i="11"/>
  <c r="N1575" i="11"/>
  <c r="N1559" i="11"/>
  <c r="N1543" i="11"/>
  <c r="N1527" i="11"/>
  <c r="N1511" i="11"/>
  <c r="N1495" i="11"/>
  <c r="N1479" i="11"/>
  <c r="N1463" i="11"/>
  <c r="N1447" i="11"/>
  <c r="N1431" i="11"/>
  <c r="N1415" i="11"/>
  <c r="N1351" i="11"/>
  <c r="N1335" i="11"/>
  <c r="N1319" i="11"/>
  <c r="N1303" i="11"/>
  <c r="N1287" i="11"/>
  <c r="N1271" i="11"/>
  <c r="N1255" i="11"/>
  <c r="N1239" i="11"/>
  <c r="N1223" i="11"/>
  <c r="N1859" i="11"/>
  <c r="N1853" i="11"/>
  <c r="N1840" i="11"/>
  <c r="N1803" i="11"/>
  <c r="N3" i="11"/>
  <c r="N7" i="11"/>
  <c r="N11" i="11"/>
  <c r="N15" i="11"/>
  <c r="N19" i="11"/>
  <c r="N23" i="11"/>
  <c r="N27" i="11"/>
  <c r="N31" i="11"/>
  <c r="N35" i="11"/>
  <c r="N39" i="11"/>
  <c r="N43" i="11"/>
  <c r="N47" i="11"/>
  <c r="N51" i="11"/>
  <c r="N55" i="11"/>
  <c r="N59" i="11"/>
  <c r="N63" i="11"/>
  <c r="N67" i="11"/>
  <c r="N71" i="11"/>
  <c r="N75" i="11"/>
  <c r="N79" i="11"/>
  <c r="N83" i="11"/>
  <c r="N87" i="11"/>
  <c r="N91" i="11"/>
  <c r="N95" i="11"/>
  <c r="N115" i="11"/>
  <c r="N119" i="11"/>
  <c r="N123" i="11"/>
  <c r="N127" i="11"/>
  <c r="N135" i="11"/>
  <c r="N139" i="11"/>
  <c r="N143" i="11"/>
  <c r="N147" i="11"/>
  <c r="N151" i="11"/>
  <c r="N155" i="11"/>
  <c r="N159" i="11"/>
  <c r="N163" i="11"/>
  <c r="N167" i="11"/>
  <c r="N171" i="11"/>
  <c r="N175" i="11"/>
  <c r="N179" i="11"/>
  <c r="N183" i="11"/>
  <c r="N187" i="11"/>
  <c r="N191" i="11"/>
  <c r="N195" i="11"/>
  <c r="N199" i="11"/>
  <c r="N203" i="11"/>
  <c r="N207" i="11"/>
  <c r="N211" i="11"/>
  <c r="N215" i="11"/>
  <c r="N219" i="11"/>
  <c r="N223" i="11"/>
  <c r="N227" i="11"/>
  <c r="N231" i="11"/>
  <c r="N235" i="11"/>
  <c r="N239" i="11"/>
  <c r="N243" i="11"/>
  <c r="N247" i="11"/>
  <c r="N251" i="11"/>
  <c r="N255" i="11"/>
  <c r="N259" i="11"/>
  <c r="N263" i="11"/>
  <c r="N267" i="11"/>
  <c r="N271" i="11"/>
  <c r="N275" i="11"/>
  <c r="N279" i="11"/>
  <c r="N291" i="11"/>
  <c r="N295" i="11"/>
  <c r="N299" i="11"/>
  <c r="N303" i="11"/>
  <c r="N307" i="11"/>
  <c r="N311" i="11"/>
  <c r="N315" i="11"/>
  <c r="N319" i="11"/>
  <c r="N323" i="11"/>
  <c r="N4" i="11"/>
  <c r="N8" i="11"/>
  <c r="N12" i="11"/>
  <c r="N16" i="11"/>
  <c r="N20" i="11"/>
  <c r="N24" i="11"/>
  <c r="N28" i="11"/>
  <c r="N32" i="11"/>
  <c r="N36" i="11"/>
  <c r="N40" i="11"/>
  <c r="N44" i="11"/>
  <c r="N48" i="11"/>
  <c r="N52" i="11"/>
  <c r="N56" i="11"/>
  <c r="N60" i="11"/>
  <c r="N64" i="11"/>
  <c r="N68" i="11"/>
  <c r="N72" i="11"/>
  <c r="N76" i="11"/>
  <c r="N80" i="11"/>
  <c r="N84" i="11"/>
  <c r="N88" i="11"/>
  <c r="N92" i="11"/>
  <c r="N96" i="11"/>
  <c r="N116" i="11"/>
  <c r="N120" i="11"/>
  <c r="N124" i="11"/>
  <c r="N128" i="11"/>
  <c r="N132" i="11"/>
  <c r="N136" i="11"/>
  <c r="N140" i="11"/>
  <c r="N144" i="11"/>
  <c r="N148" i="11"/>
  <c r="N152" i="11"/>
  <c r="N156" i="11"/>
  <c r="N160" i="11"/>
  <c r="N164" i="11"/>
  <c r="N168" i="11"/>
  <c r="N172" i="11"/>
  <c r="N176" i="11"/>
  <c r="N180" i="11"/>
  <c r="N184" i="11"/>
  <c r="N188" i="11"/>
  <c r="N192" i="11"/>
  <c r="N196" i="11"/>
  <c r="N200" i="11"/>
  <c r="N204" i="11"/>
  <c r="N208" i="11"/>
  <c r="N212" i="11"/>
  <c r="N216" i="11"/>
  <c r="N220" i="11"/>
  <c r="N224" i="11"/>
  <c r="N228" i="11"/>
  <c r="N232" i="11"/>
  <c r="N236" i="11"/>
  <c r="N240" i="11"/>
  <c r="N244" i="11"/>
  <c r="N248" i="11"/>
  <c r="N252" i="11"/>
  <c r="N256" i="11"/>
  <c r="N260" i="11"/>
  <c r="N264" i="11"/>
  <c r="N268" i="11"/>
  <c r="N272" i="11"/>
  <c r="N276" i="11"/>
  <c r="N280" i="11"/>
  <c r="N288" i="11"/>
  <c r="N292" i="11"/>
  <c r="N296" i="11"/>
  <c r="N300" i="11"/>
  <c r="N304" i="11"/>
  <c r="N308" i="11"/>
  <c r="N312" i="11"/>
  <c r="N316" i="11"/>
  <c r="N320" i="11"/>
  <c r="N324" i="11"/>
  <c r="N328" i="11"/>
  <c r="N332" i="11"/>
  <c r="N336" i="11"/>
  <c r="N340" i="11"/>
  <c r="N5" i="11"/>
  <c r="N9" i="11"/>
  <c r="N13" i="11"/>
  <c r="N17" i="11"/>
  <c r="N21" i="11"/>
  <c r="N25" i="11"/>
  <c r="N29" i="11"/>
  <c r="N33" i="11"/>
  <c r="N37" i="11"/>
  <c r="N41" i="11"/>
  <c r="N45" i="11"/>
  <c r="N49" i="11"/>
  <c r="N53" i="11"/>
  <c r="N57" i="11"/>
  <c r="N61" i="11"/>
  <c r="N65" i="11"/>
  <c r="N69" i="11"/>
  <c r="N73" i="11"/>
  <c r="N77" i="11"/>
  <c r="N81" i="11"/>
  <c r="N85" i="11"/>
  <c r="N89" i="11"/>
  <c r="N93" i="11"/>
  <c r="N97" i="11"/>
  <c r="N98" i="11" s="1"/>
  <c r="N99" i="11" s="1"/>
  <c r="N100" i="11" s="1"/>
  <c r="N101" i="11" s="1"/>
  <c r="N102" i="11" s="1"/>
  <c r="N103" i="11" s="1"/>
  <c r="N104" i="11" s="1"/>
  <c r="N105" i="11" s="1"/>
  <c r="N106" i="11" s="1"/>
  <c r="N107" i="11" s="1"/>
  <c r="N108" i="11" s="1"/>
  <c r="N109" i="11" s="1"/>
  <c r="N110" i="11" s="1"/>
  <c r="N111" i="11" s="1"/>
  <c r="N112" i="11" s="1"/>
  <c r="N113" i="11" s="1"/>
  <c r="N117" i="11"/>
  <c r="N121" i="11"/>
  <c r="N125" i="11"/>
  <c r="N129" i="11"/>
  <c r="N133" i="11"/>
  <c r="N137" i="11"/>
  <c r="N141" i="11"/>
  <c r="N145" i="11"/>
  <c r="N149" i="11"/>
  <c r="N153" i="11"/>
  <c r="N157" i="11"/>
  <c r="N161" i="11"/>
  <c r="N165" i="11"/>
  <c r="N169" i="11"/>
  <c r="N173" i="11"/>
  <c r="N177" i="11"/>
  <c r="N181" i="11"/>
  <c r="N185" i="11"/>
  <c r="N189" i="11"/>
  <c r="N193" i="11"/>
  <c r="N197" i="11"/>
  <c r="N201" i="11"/>
  <c r="N205" i="11"/>
  <c r="N209" i="11"/>
  <c r="N213" i="11"/>
  <c r="N217" i="11"/>
  <c r="N221" i="11"/>
  <c r="N225" i="11"/>
  <c r="N229" i="11"/>
  <c r="N233" i="11"/>
  <c r="N237" i="11"/>
  <c r="N241" i="11"/>
  <c r="N245" i="11"/>
  <c r="N249" i="11"/>
  <c r="N253" i="11"/>
  <c r="N257" i="11"/>
  <c r="N261" i="11"/>
  <c r="N265" i="11"/>
  <c r="N269" i="11"/>
  <c r="N273" i="11"/>
  <c r="N277" i="11"/>
  <c r="N281" i="11"/>
  <c r="N289" i="11"/>
  <c r="N293" i="11"/>
  <c r="N297" i="11"/>
  <c r="N301" i="11"/>
  <c r="N305" i="11"/>
  <c r="N309" i="11"/>
  <c r="N313" i="11"/>
  <c r="N317" i="11"/>
  <c r="N321" i="11"/>
  <c r="N325" i="11"/>
  <c r="N329" i="11"/>
  <c r="N6" i="11"/>
  <c r="N10" i="11"/>
  <c r="N14" i="11"/>
  <c r="N18" i="11"/>
  <c r="N22" i="11"/>
  <c r="N26" i="11"/>
  <c r="N30" i="11"/>
  <c r="N34" i="11"/>
  <c r="N38" i="11"/>
  <c r="N42" i="11"/>
  <c r="N46" i="11"/>
  <c r="N50" i="11"/>
  <c r="N54" i="11"/>
  <c r="N58" i="11"/>
  <c r="N62" i="11"/>
  <c r="N66" i="11"/>
  <c r="N70" i="11"/>
  <c r="N74" i="11"/>
  <c r="N78" i="11"/>
  <c r="N82" i="11"/>
  <c r="N86" i="11"/>
  <c r="N90" i="11"/>
  <c r="N94" i="11"/>
  <c r="N114" i="11"/>
  <c r="N118" i="11"/>
  <c r="N122" i="11"/>
  <c r="N126" i="11"/>
  <c r="N130" i="11"/>
  <c r="N131" i="11" s="1"/>
  <c r="N134" i="11"/>
  <c r="N138" i="11"/>
  <c r="N142" i="11"/>
  <c r="N146" i="11"/>
  <c r="N150" i="11"/>
  <c r="N154" i="11"/>
  <c r="N158" i="11"/>
  <c r="N162" i="11"/>
  <c r="N166" i="11"/>
  <c r="N170" i="11"/>
  <c r="N174" i="11"/>
  <c r="N178" i="11"/>
  <c r="N182" i="11"/>
  <c r="N186" i="11"/>
  <c r="N190" i="11"/>
  <c r="N194" i="11"/>
  <c r="N198" i="11"/>
  <c r="N202" i="11"/>
  <c r="N206" i="11"/>
  <c r="N210" i="11"/>
  <c r="N214" i="11"/>
  <c r="N218" i="11"/>
  <c r="N222" i="11"/>
  <c r="N226" i="11"/>
  <c r="N230" i="11"/>
  <c r="N234" i="11"/>
  <c r="N238" i="11"/>
  <c r="N242" i="11"/>
  <c r="N246" i="11"/>
  <c r="N250" i="11"/>
  <c r="N254" i="11"/>
  <c r="N258" i="11"/>
  <c r="N262" i="11"/>
  <c r="N266" i="11"/>
  <c r="N270" i="11"/>
  <c r="N274" i="11"/>
  <c r="N278" i="11"/>
  <c r="N282" i="11"/>
  <c r="N283" i="11" s="1"/>
  <c r="N284" i="11" s="1"/>
  <c r="N285" i="11" s="1"/>
  <c r="N286" i="11" s="1"/>
  <c r="N287" i="11" s="1"/>
  <c r="N290" i="11"/>
  <c r="N294" i="11"/>
  <c r="N298" i="11"/>
  <c r="N302" i="11"/>
  <c r="N306" i="11"/>
  <c r="N310" i="11"/>
  <c r="N314" i="11"/>
  <c r="N318" i="11"/>
  <c r="N322" i="11"/>
  <c r="N326" i="11"/>
  <c r="N331" i="11"/>
  <c r="N337" i="11"/>
  <c r="N342" i="11"/>
  <c r="N346" i="11"/>
  <c r="N350" i="11"/>
  <c r="N354" i="11"/>
  <c r="N358" i="11"/>
  <c r="N362" i="11"/>
  <c r="N366" i="11"/>
  <c r="N370" i="11"/>
  <c r="N374" i="11"/>
  <c r="N378" i="11"/>
  <c r="N382" i="11"/>
  <c r="N386" i="11"/>
  <c r="N390" i="11"/>
  <c r="N394" i="11"/>
  <c r="N398" i="11"/>
  <c r="N402" i="11"/>
  <c r="N406" i="11"/>
  <c r="N410" i="11"/>
  <c r="N414" i="11"/>
  <c r="N418" i="11"/>
  <c r="N422" i="11"/>
  <c r="N426" i="11"/>
  <c r="N430" i="11"/>
  <c r="N434" i="11"/>
  <c r="N438" i="11"/>
  <c r="N442" i="11"/>
  <c r="N446" i="11"/>
  <c r="N450" i="11"/>
  <c r="N454" i="11"/>
  <c r="N458" i="11"/>
  <c r="N462" i="11"/>
  <c r="N466" i="11"/>
  <c r="N470" i="11"/>
  <c r="N474" i="11"/>
  <c r="N478" i="11"/>
  <c r="N482" i="11"/>
  <c r="N486" i="11"/>
  <c r="N490" i="11"/>
  <c r="N494" i="11"/>
  <c r="N498" i="11"/>
  <c r="N502" i="11"/>
  <c r="N506" i="11"/>
  <c r="N510" i="11"/>
  <c r="N514" i="11"/>
  <c r="N518" i="11"/>
  <c r="N522" i="11"/>
  <c r="N526" i="11"/>
  <c r="N530" i="11"/>
  <c r="N534" i="11"/>
  <c r="N538" i="11"/>
  <c r="N542" i="11"/>
  <c r="N546" i="11"/>
  <c r="N550" i="11"/>
  <c r="N554" i="11"/>
  <c r="N558" i="11"/>
  <c r="N562" i="11"/>
  <c r="N566" i="11"/>
  <c r="N570" i="11"/>
  <c r="N574" i="11"/>
  <c r="N578" i="11"/>
  <c r="N582" i="11"/>
  <c r="N586" i="11"/>
  <c r="N590" i="11"/>
  <c r="N594" i="11"/>
  <c r="N598" i="11"/>
  <c r="N602" i="11"/>
  <c r="N606" i="11"/>
  <c r="N610" i="11"/>
  <c r="N614" i="11"/>
  <c r="N618" i="11"/>
  <c r="N622" i="11"/>
  <c r="N626" i="11"/>
  <c r="N630" i="11"/>
  <c r="N634" i="11"/>
  <c r="N638" i="11"/>
  <c r="N642" i="11"/>
  <c r="N646" i="11"/>
  <c r="N650" i="11"/>
  <c r="N654" i="11"/>
  <c r="N658" i="11"/>
  <c r="N662" i="11"/>
  <c r="N666" i="11"/>
  <c r="N670" i="11"/>
  <c r="N333" i="11"/>
  <c r="N338" i="11"/>
  <c r="N343" i="11"/>
  <c r="N347" i="11"/>
  <c r="N351" i="11"/>
  <c r="N355" i="11"/>
  <c r="N359" i="11"/>
  <c r="N363" i="11"/>
  <c r="N367" i="11"/>
  <c r="N371" i="11"/>
  <c r="N375" i="11"/>
  <c r="N379" i="11"/>
  <c r="N383" i="11"/>
  <c r="N387" i="11"/>
  <c r="N391" i="11"/>
  <c r="N395" i="11"/>
  <c r="N399" i="11"/>
  <c r="N403" i="11"/>
  <c r="N407" i="11"/>
  <c r="N411" i="11"/>
  <c r="N415" i="11"/>
  <c r="N419" i="11"/>
  <c r="N423" i="11"/>
  <c r="N427" i="11"/>
  <c r="N431" i="11"/>
  <c r="N435" i="11"/>
  <c r="N439" i="11"/>
  <c r="N443" i="11"/>
  <c r="N447" i="11"/>
  <c r="N451" i="11"/>
  <c r="N455" i="11"/>
  <c r="N459" i="11"/>
  <c r="N463" i="11"/>
  <c r="N467" i="11"/>
  <c r="N471" i="11"/>
  <c r="N475" i="11"/>
  <c r="N479" i="11"/>
  <c r="N483" i="11"/>
  <c r="N487" i="11"/>
  <c r="N491" i="11"/>
  <c r="N495" i="11"/>
  <c r="N499" i="11"/>
  <c r="N503" i="11"/>
  <c r="N507" i="11"/>
  <c r="N511" i="11"/>
  <c r="N515" i="11"/>
  <c r="N519" i="11"/>
  <c r="N523" i="11"/>
  <c r="N527" i="11"/>
  <c r="N531" i="11"/>
  <c r="N535" i="11"/>
  <c r="N539" i="11"/>
  <c r="N543" i="11"/>
  <c r="N547" i="11"/>
  <c r="N551" i="11"/>
  <c r="N555" i="11"/>
  <c r="N559" i="11"/>
  <c r="N563" i="11"/>
  <c r="N567" i="11"/>
  <c r="N571" i="11"/>
  <c r="N575" i="11"/>
  <c r="N579" i="11"/>
  <c r="N583" i="11"/>
  <c r="N587" i="11"/>
  <c r="N591" i="11"/>
  <c r="N595" i="11"/>
  <c r="N599" i="11"/>
  <c r="N603" i="11"/>
  <c r="N607" i="11"/>
  <c r="N611" i="11"/>
  <c r="N615" i="11"/>
  <c r="N619" i="11"/>
  <c r="N623" i="11"/>
  <c r="N627" i="11"/>
  <c r="N631" i="11"/>
  <c r="N635" i="11"/>
  <c r="N639" i="11"/>
  <c r="N643" i="11"/>
  <c r="N647" i="11"/>
  <c r="N651" i="11"/>
  <c r="N655" i="11"/>
  <c r="N659" i="11"/>
  <c r="N663" i="11"/>
  <c r="N667" i="11"/>
  <c r="N671" i="11"/>
  <c r="N327" i="11"/>
  <c r="N339" i="11"/>
  <c r="N348" i="11"/>
  <c r="N356" i="11"/>
  <c r="N364" i="11"/>
  <c r="N372" i="11"/>
  <c r="N380" i="11"/>
  <c r="N388" i="11"/>
  <c r="N396" i="11"/>
  <c r="N404" i="11"/>
  <c r="N412" i="11"/>
  <c r="N420" i="11"/>
  <c r="N428" i="11"/>
  <c r="N436" i="11"/>
  <c r="N444" i="11"/>
  <c r="N452" i="11"/>
  <c r="N460" i="11"/>
  <c r="N468" i="11"/>
  <c r="N476" i="11"/>
  <c r="N484" i="11"/>
  <c r="N492" i="11"/>
  <c r="N500" i="11"/>
  <c r="N508" i="11"/>
  <c r="N516" i="11"/>
  <c r="N524" i="11"/>
  <c r="N532" i="11"/>
  <c r="N540" i="11"/>
  <c r="N548" i="11"/>
  <c r="N556" i="11"/>
  <c r="N564" i="11"/>
  <c r="N572" i="11"/>
  <c r="N580" i="11"/>
  <c r="N588" i="11"/>
  <c r="N596" i="11"/>
  <c r="N604" i="11"/>
  <c r="N612" i="11"/>
  <c r="N620" i="11"/>
  <c r="N628" i="11"/>
  <c r="N636" i="11"/>
  <c r="N644" i="11"/>
  <c r="N652" i="11"/>
  <c r="N660" i="11"/>
  <c r="N668" i="11"/>
  <c r="N674" i="11"/>
  <c r="N678" i="11"/>
  <c r="N682" i="11"/>
  <c r="N686" i="11"/>
  <c r="N690" i="11"/>
  <c r="N694" i="11"/>
  <c r="N698" i="11"/>
  <c r="N702" i="11"/>
  <c r="N706" i="11"/>
  <c r="N710" i="11"/>
  <c r="N714" i="11"/>
  <c r="N718" i="11"/>
  <c r="N722" i="11"/>
  <c r="N726" i="11"/>
  <c r="N730" i="11"/>
  <c r="N734" i="11"/>
  <c r="N738" i="11"/>
  <c r="N742" i="11"/>
  <c r="N746" i="11"/>
  <c r="N750" i="11"/>
  <c r="N754" i="11"/>
  <c r="N758" i="11"/>
  <c r="N762" i="11"/>
  <c r="N766" i="11"/>
  <c r="N770" i="11"/>
  <c r="N774" i="11"/>
  <c r="N778" i="11"/>
  <c r="N782" i="11"/>
  <c r="N786" i="11"/>
  <c r="N790" i="11"/>
  <c r="N794" i="11"/>
  <c r="N798" i="11"/>
  <c r="N802" i="11"/>
  <c r="N806" i="11"/>
  <c r="N810" i="11"/>
  <c r="N814" i="11"/>
  <c r="N818" i="11"/>
  <c r="N822" i="11"/>
  <c r="N826" i="11"/>
  <c r="N830" i="11"/>
  <c r="N834" i="11"/>
  <c r="N838" i="11"/>
  <c r="N330" i="11"/>
  <c r="N341" i="11"/>
  <c r="N349" i="11"/>
  <c r="N357" i="11"/>
  <c r="N365" i="11"/>
  <c r="N373" i="11"/>
  <c r="N381" i="11"/>
  <c r="N389" i="11"/>
  <c r="N397" i="11"/>
  <c r="N405" i="11"/>
  <c r="N413" i="11"/>
  <c r="N421" i="11"/>
  <c r="N429" i="11"/>
  <c r="N437" i="11"/>
  <c r="N445" i="11"/>
  <c r="N453" i="11"/>
  <c r="N461" i="11"/>
  <c r="N469" i="11"/>
  <c r="N477" i="11"/>
  <c r="N485" i="11"/>
  <c r="N493" i="11"/>
  <c r="N501" i="11"/>
  <c r="N509" i="11"/>
  <c r="N517" i="11"/>
  <c r="N525" i="11"/>
  <c r="N533" i="11"/>
  <c r="N541" i="11"/>
  <c r="N549" i="11"/>
  <c r="N557" i="11"/>
  <c r="N565" i="11"/>
  <c r="N573" i="11"/>
  <c r="N581" i="11"/>
  <c r="N589" i="11"/>
  <c r="N597" i="11"/>
  <c r="N605" i="11"/>
  <c r="N613" i="11"/>
  <c r="N621" i="11"/>
  <c r="N629" i="11"/>
  <c r="N637" i="11"/>
  <c r="N645" i="11"/>
  <c r="N653" i="11"/>
  <c r="N661" i="11"/>
  <c r="N669" i="11"/>
  <c r="N675" i="11"/>
  <c r="N679" i="11"/>
  <c r="N683" i="11"/>
  <c r="N687" i="11"/>
  <c r="N691" i="11"/>
  <c r="N695" i="11"/>
  <c r="N699" i="11"/>
  <c r="N703" i="11"/>
  <c r="N707" i="11"/>
  <c r="N711" i="11"/>
  <c r="N715" i="11"/>
  <c r="N719" i="11"/>
  <c r="N723" i="11"/>
  <c r="N727" i="11"/>
  <c r="N731" i="11"/>
  <c r="N735" i="11"/>
  <c r="N739" i="11"/>
  <c r="N743" i="11"/>
  <c r="N747" i="11"/>
  <c r="N751" i="11"/>
  <c r="N755" i="11"/>
  <c r="N759" i="11"/>
  <c r="N763" i="11"/>
  <c r="N767" i="11"/>
  <c r="N771" i="11"/>
  <c r="N775" i="11"/>
  <c r="N779" i="11"/>
  <c r="N783" i="11"/>
  <c r="N787" i="11"/>
  <c r="N791" i="11"/>
  <c r="N795" i="11"/>
  <c r="N799" i="11"/>
  <c r="N803" i="11"/>
  <c r="N807" i="11"/>
  <c r="N811" i="11"/>
  <c r="N815" i="11"/>
  <c r="N819" i="11"/>
  <c r="N823" i="11"/>
  <c r="N827" i="11"/>
  <c r="N334" i="11"/>
  <c r="N344" i="11"/>
  <c r="N352" i="11"/>
  <c r="N360" i="11"/>
  <c r="N368" i="11"/>
  <c r="N376" i="11"/>
  <c r="N384" i="11"/>
  <c r="N392" i="11"/>
  <c r="N400" i="11"/>
  <c r="N408" i="11"/>
  <c r="N416" i="11"/>
  <c r="N424" i="11"/>
  <c r="N432" i="11"/>
  <c r="N440" i="11"/>
  <c r="N448" i="11"/>
  <c r="N456" i="11"/>
  <c r="N464" i="11"/>
  <c r="N472" i="11"/>
  <c r="N480" i="11"/>
  <c r="N488" i="11"/>
  <c r="N496" i="11"/>
  <c r="N504" i="11"/>
  <c r="N512" i="11"/>
  <c r="N520" i="11"/>
  <c r="N528" i="11"/>
  <c r="N536" i="11"/>
  <c r="N544" i="11"/>
  <c r="N552" i="11"/>
  <c r="N560" i="11"/>
  <c r="N568" i="11"/>
  <c r="N576" i="11"/>
  <c r="N584" i="11"/>
  <c r="N592" i="11"/>
  <c r="N600" i="11"/>
  <c r="N608" i="11"/>
  <c r="N616" i="11"/>
  <c r="N624" i="11"/>
  <c r="N632" i="11"/>
  <c r="N640" i="11"/>
  <c r="N648" i="11"/>
  <c r="N656" i="11"/>
  <c r="N664" i="11"/>
  <c r="N672" i="11"/>
  <c r="N676" i="11"/>
  <c r="N680" i="11"/>
  <c r="N684" i="11"/>
  <c r="N688" i="11"/>
  <c r="N692" i="11"/>
  <c r="N696" i="11"/>
  <c r="N700" i="11"/>
  <c r="N704" i="11"/>
  <c r="N708" i="11"/>
  <c r="N712" i="11"/>
  <c r="N716" i="11"/>
  <c r="N720" i="11"/>
  <c r="N724" i="11"/>
  <c r="N728" i="11"/>
  <c r="N732" i="11"/>
  <c r="N736" i="11"/>
  <c r="N740" i="11"/>
  <c r="N744" i="11"/>
  <c r="N748" i="11"/>
  <c r="N752" i="11"/>
  <c r="N756" i="11"/>
  <c r="N760" i="11"/>
  <c r="N764" i="11"/>
  <c r="N768" i="11"/>
  <c r="N772" i="11"/>
  <c r="N776" i="11"/>
  <c r="N780" i="11"/>
  <c r="N784" i="11"/>
  <c r="N788" i="11"/>
  <c r="N792" i="11"/>
  <c r="N796" i="11"/>
  <c r="N800" i="11"/>
  <c r="N804" i="11"/>
  <c r="N808" i="11"/>
  <c r="N812" i="11"/>
  <c r="N816" i="11"/>
  <c r="N820" i="11"/>
  <c r="N824" i="11"/>
  <c r="N828" i="11"/>
  <c r="N832" i="11"/>
  <c r="N836" i="11"/>
  <c r="N840" i="11"/>
  <c r="N844" i="11"/>
  <c r="N848" i="11"/>
  <c r="N852" i="11"/>
  <c r="N856" i="11"/>
  <c r="N860" i="11"/>
  <c r="N864" i="11"/>
  <c r="N868" i="11"/>
  <c r="N335" i="11"/>
  <c r="N345" i="11"/>
  <c r="N353" i="11"/>
  <c r="N361" i="11"/>
  <c r="N369" i="11"/>
  <c r="N377" i="11"/>
  <c r="N385" i="11"/>
  <c r="N393" i="11"/>
  <c r="N401" i="11"/>
  <c r="N409" i="11"/>
  <c r="N417" i="11"/>
  <c r="N425" i="11"/>
  <c r="N433" i="11"/>
  <c r="N441" i="11"/>
  <c r="N449" i="11"/>
  <c r="N457" i="11"/>
  <c r="N465" i="11"/>
  <c r="N473" i="11"/>
  <c r="N481" i="11"/>
  <c r="N489" i="11"/>
  <c r="N497" i="11"/>
  <c r="N505" i="11"/>
  <c r="N513" i="11"/>
  <c r="N521" i="11"/>
  <c r="N529" i="11"/>
  <c r="N537" i="11"/>
  <c r="N545" i="11"/>
  <c r="N553" i="11"/>
  <c r="N561" i="11"/>
  <c r="N569" i="11"/>
  <c r="N577" i="11"/>
  <c r="N585" i="11"/>
  <c r="N593" i="11"/>
  <c r="N601" i="11"/>
  <c r="N609" i="11"/>
  <c r="N617" i="11"/>
  <c r="N625" i="11"/>
  <c r="N633" i="11"/>
  <c r="N641" i="11"/>
  <c r="N649" i="11"/>
  <c r="N657" i="11"/>
  <c r="N665" i="11"/>
  <c r="N673" i="11"/>
  <c r="N677" i="11"/>
  <c r="N681" i="11"/>
  <c r="N685" i="11"/>
  <c r="N689" i="11"/>
  <c r="N693" i="11"/>
  <c r="N697" i="11"/>
  <c r="N701" i="11"/>
  <c r="N705" i="11"/>
  <c r="N709" i="11"/>
  <c r="N713" i="11"/>
  <c r="N717" i="11"/>
  <c r="N721" i="11"/>
  <c r="N725" i="11"/>
  <c r="N729" i="11"/>
  <c r="N733" i="11"/>
  <c r="N737" i="11"/>
  <c r="N741" i="11"/>
  <c r="N745" i="11"/>
  <c r="N749" i="11"/>
  <c r="N753" i="11"/>
  <c r="N757" i="11"/>
  <c r="N761" i="11"/>
  <c r="N765" i="11"/>
  <c r="N769" i="11"/>
  <c r="N773" i="11"/>
  <c r="N777" i="11"/>
  <c r="N781" i="11"/>
  <c r="N785" i="11"/>
  <c r="N789" i="11"/>
  <c r="N793" i="11"/>
  <c r="N797" i="11"/>
  <c r="N801" i="11"/>
  <c r="N805" i="11"/>
  <c r="N809" i="11"/>
  <c r="N813" i="11"/>
  <c r="N817" i="11"/>
  <c r="N821" i="11"/>
  <c r="N825" i="11"/>
  <c r="N829" i="11"/>
  <c r="N833" i="11"/>
  <c r="N837" i="11"/>
  <c r="N841" i="11"/>
  <c r="N831" i="11"/>
  <c r="N843" i="11"/>
  <c r="N849" i="11"/>
  <c r="N854" i="11"/>
  <c r="N859" i="11"/>
  <c r="N865" i="11"/>
  <c r="N870" i="11"/>
  <c r="N874" i="11"/>
  <c r="N878" i="11"/>
  <c r="N882" i="11"/>
  <c r="N886" i="11"/>
  <c r="N890" i="11"/>
  <c r="N894" i="11"/>
  <c r="N898" i="11"/>
  <c r="N902" i="11"/>
  <c r="N906" i="11"/>
  <c r="N910" i="11"/>
  <c r="N914" i="11"/>
  <c r="N918" i="11"/>
  <c r="N922" i="11"/>
  <c r="N926" i="11"/>
  <c r="N930" i="11"/>
  <c r="N934" i="11"/>
  <c r="N938" i="11"/>
  <c r="N942" i="11"/>
  <c r="N946" i="11"/>
  <c r="N950" i="11"/>
  <c r="N954" i="11"/>
  <c r="N958" i="11"/>
  <c r="N962" i="11"/>
  <c r="N966" i="11"/>
  <c r="N970" i="11"/>
  <c r="N974" i="11"/>
  <c r="N978" i="11"/>
  <c r="N982" i="11"/>
  <c r="N986" i="11"/>
  <c r="N990" i="11"/>
  <c r="N994" i="11"/>
  <c r="N1010" i="11"/>
  <c r="N1014" i="11"/>
  <c r="N1018" i="11"/>
  <c r="N1022" i="11"/>
  <c r="N1026" i="11"/>
  <c r="N1030" i="11"/>
  <c r="N1034" i="11"/>
  <c r="N1038" i="11"/>
  <c r="N1042" i="11"/>
  <c r="N1046" i="11"/>
  <c r="N1050" i="11"/>
  <c r="N1054" i="11"/>
  <c r="N1058" i="11"/>
  <c r="N1062" i="11"/>
  <c r="N1066" i="11"/>
  <c r="N1070" i="11"/>
  <c r="N1074" i="11"/>
  <c r="N1078" i="11"/>
  <c r="N1082" i="11"/>
  <c r="N1086" i="11"/>
  <c r="N1090" i="11"/>
  <c r="N1094" i="11"/>
  <c r="N1098" i="11"/>
  <c r="N1102" i="11"/>
  <c r="N1106" i="11"/>
  <c r="N1110" i="11"/>
  <c r="N1114" i="11"/>
  <c r="N1118" i="11"/>
  <c r="N1122" i="11"/>
  <c r="N1126" i="11"/>
  <c r="N1130" i="11"/>
  <c r="N1134" i="11"/>
  <c r="N1138" i="11"/>
  <c r="N1142" i="11"/>
  <c r="N1146" i="11"/>
  <c r="N1150" i="11"/>
  <c r="N1154" i="11"/>
  <c r="N1158" i="11"/>
  <c r="N1162" i="11"/>
  <c r="N1166" i="11"/>
  <c r="N1174" i="11"/>
  <c r="N1178" i="11"/>
  <c r="N1182" i="11"/>
  <c r="N1186" i="11"/>
  <c r="N1187" i="11" s="1"/>
  <c r="N1188" i="11" s="1"/>
  <c r="N1189" i="11" s="1"/>
  <c r="N1190" i="11" s="1"/>
  <c r="N1194" i="11"/>
  <c r="N1198" i="11"/>
  <c r="N1202" i="11"/>
  <c r="N1206" i="11"/>
  <c r="N1210" i="11"/>
  <c r="N835" i="11"/>
  <c r="N845" i="11"/>
  <c r="N850" i="11"/>
  <c r="N855" i="11"/>
  <c r="N861" i="11"/>
  <c r="N866" i="11"/>
  <c r="N871" i="11"/>
  <c r="N875" i="11"/>
  <c r="N879" i="11"/>
  <c r="N883" i="11"/>
  <c r="N887" i="11"/>
  <c r="N891" i="11"/>
  <c r="N895" i="11"/>
  <c r="N899" i="11"/>
  <c r="N903" i="11"/>
  <c r="N907" i="11"/>
  <c r="N911" i="11"/>
  <c r="N915" i="11"/>
  <c r="N919" i="11"/>
  <c r="N923" i="11"/>
  <c r="N927" i="11"/>
  <c r="N931" i="11"/>
  <c r="N935" i="11"/>
  <c r="N939" i="11"/>
  <c r="N943" i="11"/>
  <c r="N947" i="11"/>
  <c r="N951" i="11"/>
  <c r="N955" i="11"/>
  <c r="N959" i="11"/>
  <c r="N963" i="11"/>
  <c r="N967" i="11"/>
  <c r="N971" i="11"/>
  <c r="N975" i="11"/>
  <c r="N979" i="11"/>
  <c r="N983" i="11"/>
  <c r="N987" i="11"/>
  <c r="N991" i="11"/>
  <c r="N995" i="11"/>
  <c r="N1011" i="11"/>
  <c r="N1015" i="11"/>
  <c r="N1019" i="11"/>
  <c r="N1023" i="11"/>
  <c r="N1027" i="11"/>
  <c r="N1031" i="11"/>
  <c r="N1035" i="11"/>
  <c r="N1039" i="11"/>
  <c r="N1043" i="11"/>
  <c r="N1047" i="11"/>
  <c r="N1051" i="11"/>
  <c r="N1055" i="11"/>
  <c r="N1059" i="11"/>
  <c r="N1063" i="11"/>
  <c r="N1067" i="11"/>
  <c r="N1071" i="11"/>
  <c r="N1075" i="11"/>
  <c r="N1079" i="11"/>
  <c r="N1083" i="11"/>
  <c r="N1087" i="11"/>
  <c r="N1091" i="11"/>
  <c r="N1095" i="11"/>
  <c r="N1099" i="11"/>
  <c r="N1103" i="11"/>
  <c r="N1107" i="11"/>
  <c r="N1111" i="11"/>
  <c r="N1115" i="11"/>
  <c r="N1119" i="11"/>
  <c r="N1123" i="11"/>
  <c r="N1127" i="11"/>
  <c r="N1131" i="11"/>
  <c r="N1135" i="11"/>
  <c r="N1139" i="11"/>
  <c r="N1143" i="11"/>
  <c r="N1147" i="11"/>
  <c r="N1151" i="11"/>
  <c r="N1155" i="11"/>
  <c r="N1159" i="11"/>
  <c r="N1163" i="11"/>
  <c r="N1167" i="11"/>
  <c r="N1175" i="11"/>
  <c r="N1179" i="11"/>
  <c r="N1183" i="11"/>
  <c r="N839" i="11"/>
  <c r="N846" i="11"/>
  <c r="N851" i="11"/>
  <c r="N857" i="11"/>
  <c r="N862" i="11"/>
  <c r="N867" i="11"/>
  <c r="N872" i="11"/>
  <c r="N876" i="11"/>
  <c r="N880" i="11"/>
  <c r="N884" i="11"/>
  <c r="N888" i="11"/>
  <c r="N892" i="11"/>
  <c r="N896" i="11"/>
  <c r="N900" i="11"/>
  <c r="N904" i="11"/>
  <c r="N908" i="11"/>
  <c r="N912" i="11"/>
  <c r="N916" i="11"/>
  <c r="N920" i="11"/>
  <c r="N924" i="11"/>
  <c r="N928" i="11"/>
  <c r="N932" i="11"/>
  <c r="N936" i="11"/>
  <c r="N940" i="11"/>
  <c r="N944" i="11"/>
  <c r="N948" i="11"/>
  <c r="N952" i="11"/>
  <c r="N956" i="11"/>
  <c r="N960" i="11"/>
  <c r="N964" i="11"/>
  <c r="N968" i="11"/>
  <c r="N972" i="11"/>
  <c r="N976" i="11"/>
  <c r="N980" i="11"/>
  <c r="N984" i="11"/>
  <c r="N988" i="11"/>
  <c r="N992" i="11"/>
  <c r="N996" i="11"/>
  <c r="N997" i="11" s="1"/>
  <c r="N998" i="11" s="1"/>
  <c r="N999" i="11" s="1"/>
  <c r="N1000" i="11" s="1"/>
  <c r="N1001" i="11" s="1"/>
  <c r="N1002" i="11" s="1"/>
  <c r="N1003" i="11" s="1"/>
  <c r="N1004" i="11" s="1"/>
  <c r="N1005" i="11" s="1"/>
  <c r="N1006" i="11" s="1"/>
  <c r="N1007" i="11" s="1"/>
  <c r="N1008" i="11" s="1"/>
  <c r="N1009" i="11" s="1"/>
  <c r="N1012" i="11"/>
  <c r="N1016" i="11"/>
  <c r="N1020" i="11"/>
  <c r="N1024" i="11"/>
  <c r="N1028" i="11"/>
  <c r="N1032" i="11"/>
  <c r="N1036" i="11"/>
  <c r="N1040" i="11"/>
  <c r="N1044" i="11"/>
  <c r="N1048" i="11"/>
  <c r="N1052" i="11"/>
  <c r="N1056" i="11"/>
  <c r="N1060" i="11"/>
  <c r="N1064" i="11"/>
  <c r="N1068" i="11"/>
  <c r="N1072" i="11"/>
  <c r="N1076" i="11"/>
  <c r="N1080" i="11"/>
  <c r="N1084" i="11"/>
  <c r="N1088" i="11"/>
  <c r="N1092" i="11"/>
  <c r="N1096" i="11"/>
  <c r="N1100" i="11"/>
  <c r="N1104" i="11"/>
  <c r="N1108" i="11"/>
  <c r="N1112" i="11"/>
  <c r="N1116" i="11"/>
  <c r="N1120" i="11"/>
  <c r="N1124" i="11"/>
  <c r="N1128" i="11"/>
  <c r="N1132" i="11"/>
  <c r="N1136" i="11"/>
  <c r="N1140" i="11"/>
  <c r="N1144" i="11"/>
  <c r="N1148" i="11"/>
  <c r="N1152" i="11"/>
  <c r="N1156" i="11"/>
  <c r="N1160" i="11"/>
  <c r="N1164" i="11"/>
  <c r="N1168" i="11"/>
  <c r="N1169" i="11" s="1"/>
  <c r="N1170" i="11" s="1"/>
  <c r="N1171" i="11" s="1"/>
  <c r="N1172" i="11"/>
  <c r="N1176" i="11"/>
  <c r="N1180" i="11"/>
  <c r="N1184" i="11"/>
  <c r="N1192" i="11"/>
  <c r="N1196" i="11"/>
  <c r="N1200" i="11"/>
  <c r="N1204" i="11"/>
  <c r="N842" i="11"/>
  <c r="N847" i="11"/>
  <c r="N853" i="11"/>
  <c r="N858" i="11"/>
  <c r="N863" i="11"/>
  <c r="N869" i="11"/>
  <c r="N873" i="11"/>
  <c r="N877" i="11"/>
  <c r="N881" i="11"/>
  <c r="N885" i="11"/>
  <c r="N889" i="11"/>
  <c r="N893" i="11"/>
  <c r="N897" i="11"/>
  <c r="N901" i="11"/>
  <c r="N905" i="11"/>
  <c r="N909" i="11"/>
  <c r="N913" i="11"/>
  <c r="N917" i="11"/>
  <c r="N921" i="11"/>
  <c r="N925" i="11"/>
  <c r="N929" i="11"/>
  <c r="N933" i="11"/>
  <c r="N937" i="11"/>
  <c r="N941" i="11"/>
  <c r="N945" i="11"/>
  <c r="N949" i="11"/>
  <c r="N953" i="11"/>
  <c r="N957" i="11"/>
  <c r="N961" i="11"/>
  <c r="N965" i="11"/>
  <c r="N969" i="11"/>
  <c r="N973" i="11"/>
  <c r="N977" i="11"/>
  <c r="N981" i="11"/>
  <c r="N985" i="11"/>
  <c r="N989" i="11"/>
  <c r="N993" i="11"/>
  <c r="N1013" i="11"/>
  <c r="N1017" i="11"/>
  <c r="N1021" i="11"/>
  <c r="N1025" i="11"/>
  <c r="N1029" i="11"/>
  <c r="N1033" i="11"/>
  <c r="N1037" i="11"/>
  <c r="N1041" i="11"/>
  <c r="N1045" i="11"/>
  <c r="N1049" i="11"/>
  <c r="N1053" i="11"/>
  <c r="N1057" i="11"/>
  <c r="N1061" i="11"/>
  <c r="N1065" i="11"/>
  <c r="N1069" i="11"/>
  <c r="N1073" i="11"/>
  <c r="N1077" i="11"/>
  <c r="N1081" i="11"/>
  <c r="N1085" i="11"/>
  <c r="N1089" i="11"/>
  <c r="N1093" i="11"/>
  <c r="N1097" i="11"/>
  <c r="N1101" i="11"/>
  <c r="N1105" i="11"/>
  <c r="N1109" i="11"/>
  <c r="N1113" i="11"/>
  <c r="N1117" i="11"/>
  <c r="N1121" i="11"/>
  <c r="N1125" i="11"/>
  <c r="N1129" i="11"/>
  <c r="N1133" i="11"/>
  <c r="N1137" i="11"/>
  <c r="N1141" i="11"/>
  <c r="N1145" i="11"/>
  <c r="N1149" i="11"/>
  <c r="N1153" i="11"/>
  <c r="N1157" i="11"/>
  <c r="N1161" i="11"/>
  <c r="N1165" i="11"/>
  <c r="N1173" i="11"/>
  <c r="N1177" i="11"/>
  <c r="N1181" i="11"/>
  <c r="N1185" i="11"/>
  <c r="N1191" i="11"/>
  <c r="N1199" i="11"/>
  <c r="N1207" i="11"/>
  <c r="N1212" i="11"/>
  <c r="N1216" i="11"/>
  <c r="N1220" i="11"/>
  <c r="N1224" i="11"/>
  <c r="N1228" i="11"/>
  <c r="N1232" i="11"/>
  <c r="N1236" i="11"/>
  <c r="N1240" i="11"/>
  <c r="N1244" i="11"/>
  <c r="N1248" i="11"/>
  <c r="N1252" i="11"/>
  <c r="N1256" i="11"/>
  <c r="N1260" i="11"/>
  <c r="N1264" i="11"/>
  <c r="N1268" i="11"/>
  <c r="N1272" i="11"/>
  <c r="N1276" i="11"/>
  <c r="N1280" i="11"/>
  <c r="N1284" i="11"/>
  <c r="N1288" i="11"/>
  <c r="N1292" i="11"/>
  <c r="N1296" i="11"/>
  <c r="N1300" i="11"/>
  <c r="N1304" i="11"/>
  <c r="N1308" i="11"/>
  <c r="N1312" i="11"/>
  <c r="N1316" i="11"/>
  <c r="N1320" i="11"/>
  <c r="N1324" i="11"/>
  <c r="N1328" i="11"/>
  <c r="N1332" i="11"/>
  <c r="N1336" i="11"/>
  <c r="N1340" i="11"/>
  <c r="N1344" i="11"/>
  <c r="N1348" i="11"/>
  <c r="N1352" i="11"/>
  <c r="N1356" i="11"/>
  <c r="N1360" i="11"/>
  <c r="N1361" i="11" s="1"/>
  <c r="N1362" i="11" s="1"/>
  <c r="N1363" i="11" s="1"/>
  <c r="N1364" i="11" s="1"/>
  <c r="N1365" i="11" s="1"/>
  <c r="N1366" i="11" s="1"/>
  <c r="N1367" i="11" s="1"/>
  <c r="N1368" i="11" s="1"/>
  <c r="N1369" i="11" s="1"/>
  <c r="N1370" i="11" s="1"/>
  <c r="N1371" i="11" s="1"/>
  <c r="N1372" i="11" s="1"/>
  <c r="N1373" i="11" s="1"/>
  <c r="N1374" i="11" s="1"/>
  <c r="N1375" i="11" s="1"/>
  <c r="N1376" i="11" s="1"/>
  <c r="N1377" i="11" s="1"/>
  <c r="N1378" i="11" s="1"/>
  <c r="N1379" i="11" s="1"/>
  <c r="N1380" i="11" s="1"/>
  <c r="N1381" i="11" s="1"/>
  <c r="N1382" i="11" s="1"/>
  <c r="N1383" i="11" s="1"/>
  <c r="N1384" i="11" s="1"/>
  <c r="N1385" i="11" s="1"/>
  <c r="N1386" i="11" s="1"/>
  <c r="N1387" i="11" s="1"/>
  <c r="N1388" i="11" s="1"/>
  <c r="N1389" i="11" s="1"/>
  <c r="N1390" i="11" s="1"/>
  <c r="N1391" i="11" s="1"/>
  <c r="N1392" i="11" s="1"/>
  <c r="N1393" i="11" s="1"/>
  <c r="N1394" i="11" s="1"/>
  <c r="N1395" i="11" s="1"/>
  <c r="N1396" i="11" s="1"/>
  <c r="N1397" i="11" s="1"/>
  <c r="N1398" i="11" s="1"/>
  <c r="N1399" i="11" s="1"/>
  <c r="N1400" i="11" s="1"/>
  <c r="N1401" i="11" s="1"/>
  <c r="N1402" i="11" s="1"/>
  <c r="N1403" i="11" s="1"/>
  <c r="N1404" i="11"/>
  <c r="N1408" i="11"/>
  <c r="N1412" i="11"/>
  <c r="N1416" i="11"/>
  <c r="N1420" i="11"/>
  <c r="N1424" i="11"/>
  <c r="N1428" i="11"/>
  <c r="N1432" i="11"/>
  <c r="N1436" i="11"/>
  <c r="N1440" i="11"/>
  <c r="N1444" i="11"/>
  <c r="N1448" i="11"/>
  <c r="N1452" i="11"/>
  <c r="N1456" i="11"/>
  <c r="N1460" i="11"/>
  <c r="N1464" i="11"/>
  <c r="N1468" i="11"/>
  <c r="N1472" i="11"/>
  <c r="N1476" i="11"/>
  <c r="N1480" i="11"/>
  <c r="N1484" i="11"/>
  <c r="N1488" i="11"/>
  <c r="N1492" i="11"/>
  <c r="N1496" i="11"/>
  <c r="N1500" i="11"/>
  <c r="N1504" i="11"/>
  <c r="N1508" i="11"/>
  <c r="N1512" i="11"/>
  <c r="N1516" i="11"/>
  <c r="N1520" i="11"/>
  <c r="N1524" i="11"/>
  <c r="N1528" i="11"/>
  <c r="N1532" i="11"/>
  <c r="N1536" i="11"/>
  <c r="N1540" i="11"/>
  <c r="N1544" i="11"/>
  <c r="N1548" i="11"/>
  <c r="N1552" i="11"/>
  <c r="N1556" i="11"/>
  <c r="N1560" i="11"/>
  <c r="N1564" i="11"/>
  <c r="N1568" i="11"/>
  <c r="N1572" i="11"/>
  <c r="N1576" i="11"/>
  <c r="N1580" i="11"/>
  <c r="N1584" i="11"/>
  <c r="N1588" i="11"/>
  <c r="N1592" i="11"/>
  <c r="N1596" i="11"/>
  <c r="N1600" i="11"/>
  <c r="N1604" i="11"/>
  <c r="N1608" i="11"/>
  <c r="N1612" i="11"/>
  <c r="N1616" i="11"/>
  <c r="N1620" i="11"/>
  <c r="N1624" i="11"/>
  <c r="N1628" i="11"/>
  <c r="N1632" i="11"/>
  <c r="N1636" i="11"/>
  <c r="N1640" i="11"/>
  <c r="N1644" i="11"/>
  <c r="N1648" i="11"/>
  <c r="N1652" i="11"/>
  <c r="N1656" i="11"/>
  <c r="N1660" i="11"/>
  <c r="N1664" i="11"/>
  <c r="N1668" i="11"/>
  <c r="N1672" i="11"/>
  <c r="N1676" i="11"/>
  <c r="N1680" i="11"/>
  <c r="N1684" i="11"/>
  <c r="N1688" i="11"/>
  <c r="N1692" i="11"/>
  <c r="N1696" i="11"/>
  <c r="N1700" i="11"/>
  <c r="N1704" i="11"/>
  <c r="N1708" i="11"/>
  <c r="N1712" i="11"/>
  <c r="N1716" i="11"/>
  <c r="N1720" i="11"/>
  <c r="N1724" i="11"/>
  <c r="N1728" i="11"/>
  <c r="N1732" i="11"/>
  <c r="N1736" i="11"/>
  <c r="N1740" i="11"/>
  <c r="N1744" i="11"/>
  <c r="N1748" i="11"/>
  <c r="N1752" i="11"/>
  <c r="N1756" i="11"/>
  <c r="N1760" i="11"/>
  <c r="N1764" i="11"/>
  <c r="N1768" i="11"/>
  <c r="N1772" i="11"/>
  <c r="N1776" i="11"/>
  <c r="N1780" i="11"/>
  <c r="N1784" i="11"/>
  <c r="N1788" i="11"/>
  <c r="N1792" i="11"/>
  <c r="N1796" i="11"/>
  <c r="N1800" i="11"/>
  <c r="N1804" i="11"/>
  <c r="N1808" i="11"/>
  <c r="N1812" i="11"/>
  <c r="N1816" i="11"/>
  <c r="N1820" i="11"/>
  <c r="N1824" i="11"/>
  <c r="N1828" i="11"/>
  <c r="N1193" i="11"/>
  <c r="N1201" i="11"/>
  <c r="N1208" i="11"/>
  <c r="N1213" i="11"/>
  <c r="N1217" i="11"/>
  <c r="N1221" i="11"/>
  <c r="N1225" i="11"/>
  <c r="N1229" i="11"/>
  <c r="N1233" i="11"/>
  <c r="N1237" i="11"/>
  <c r="N1241" i="11"/>
  <c r="N1245" i="11"/>
  <c r="N1249" i="11"/>
  <c r="N1253" i="11"/>
  <c r="N1257" i="11"/>
  <c r="N1261" i="11"/>
  <c r="N1265" i="11"/>
  <c r="N1269" i="11"/>
  <c r="N1273" i="11"/>
  <c r="N1277" i="11"/>
  <c r="N1281" i="11"/>
  <c r="N1285" i="11"/>
  <c r="N1289" i="11"/>
  <c r="N1293" i="11"/>
  <c r="N1297" i="11"/>
  <c r="N1301" i="11"/>
  <c r="N1305" i="11"/>
  <c r="N1309" i="11"/>
  <c r="N1313" i="11"/>
  <c r="N1317" i="11"/>
  <c r="N1321" i="11"/>
  <c r="N1325" i="11"/>
  <c r="N1329" i="11"/>
  <c r="N1333" i="11"/>
  <c r="N1337" i="11"/>
  <c r="N1341" i="11"/>
  <c r="N1345" i="11"/>
  <c r="N1349" i="11"/>
  <c r="N1353" i="11"/>
  <c r="N1357" i="11"/>
  <c r="N1405" i="11"/>
  <c r="N1409" i="11"/>
  <c r="N1413" i="11"/>
  <c r="N1417" i="11"/>
  <c r="N1421" i="11"/>
  <c r="N1425" i="11"/>
  <c r="N1429" i="11"/>
  <c r="N1433" i="11"/>
  <c r="N1437" i="11"/>
  <c r="N1441" i="11"/>
  <c r="N1445" i="11"/>
  <c r="N1449" i="11"/>
  <c r="N1453" i="11"/>
  <c r="N1457" i="11"/>
  <c r="N1461" i="11"/>
  <c r="N1465" i="11"/>
  <c r="N1469" i="11"/>
  <c r="N1473" i="11"/>
  <c r="N1477" i="11"/>
  <c r="N1481" i="11"/>
  <c r="N1485" i="11"/>
  <c r="N1489" i="11"/>
  <c r="N1493" i="11"/>
  <c r="N1497" i="11"/>
  <c r="N1501" i="11"/>
  <c r="N1505" i="11"/>
  <c r="N1509" i="11"/>
  <c r="N1513" i="11"/>
  <c r="N1517" i="11"/>
  <c r="N1521" i="11"/>
  <c r="N1525" i="11"/>
  <c r="N1529" i="11"/>
  <c r="N1533" i="11"/>
  <c r="N1537" i="11"/>
  <c r="N1541" i="11"/>
  <c r="N1545" i="11"/>
  <c r="N1549" i="11"/>
  <c r="N1553" i="11"/>
  <c r="N1557" i="11"/>
  <c r="N1561" i="11"/>
  <c r="N1565" i="11"/>
  <c r="N1569" i="11"/>
  <c r="N1573" i="11"/>
  <c r="N1577" i="11"/>
  <c r="N1581" i="11"/>
  <c r="N1585" i="11"/>
  <c r="N1589" i="11"/>
  <c r="N1593" i="11"/>
  <c r="N1597" i="11"/>
  <c r="N1601" i="11"/>
  <c r="N1605" i="11"/>
  <c r="N1609" i="11"/>
  <c r="N1613" i="11"/>
  <c r="N1617" i="11"/>
  <c r="N1621" i="11"/>
  <c r="N1625" i="11"/>
  <c r="N1629" i="11"/>
  <c r="N1633" i="11"/>
  <c r="N1637" i="11"/>
  <c r="N1641" i="11"/>
  <c r="N1645" i="11"/>
  <c r="N1649" i="11"/>
  <c r="N1653" i="11"/>
  <c r="N1657" i="11"/>
  <c r="N1661" i="11"/>
  <c r="N1665" i="11"/>
  <c r="N1669" i="11"/>
  <c r="N1673" i="11"/>
  <c r="N1677" i="11"/>
  <c r="N1681" i="11"/>
  <c r="N1685" i="11"/>
  <c r="N1689" i="11"/>
  <c r="N1693" i="11"/>
  <c r="N1697" i="11"/>
  <c r="N1701" i="11"/>
  <c r="N1705" i="11"/>
  <c r="N1709" i="11"/>
  <c r="N1713" i="11"/>
  <c r="N1717" i="11"/>
  <c r="N1721" i="11"/>
  <c r="N1725" i="11"/>
  <c r="N1729" i="11"/>
  <c r="N1733" i="11"/>
  <c r="N1737" i="11"/>
  <c r="N1741" i="11"/>
  <c r="N1745" i="11"/>
  <c r="N1749" i="11"/>
  <c r="N1753" i="11"/>
  <c r="N1757" i="11"/>
  <c r="N1761" i="11"/>
  <c r="N1765" i="11"/>
  <c r="N1769" i="11"/>
  <c r="N1773" i="11"/>
  <c r="N1777" i="11"/>
  <c r="N1781" i="11"/>
  <c r="N1785" i="11"/>
  <c r="N1789" i="11"/>
  <c r="N1793" i="11"/>
  <c r="N1797" i="11"/>
  <c r="N1801" i="11"/>
  <c r="N1805" i="11"/>
  <c r="N1809" i="11"/>
  <c r="N1813" i="11"/>
  <c r="N1817" i="11"/>
  <c r="N1821" i="11"/>
  <c r="N1825" i="11"/>
  <c r="N1829" i="11"/>
  <c r="N1833" i="11"/>
  <c r="N1837" i="11"/>
  <c r="N1841" i="11"/>
  <c r="N1845" i="11"/>
  <c r="N1195" i="11"/>
  <c r="N1203" i="11"/>
  <c r="N1209" i="11"/>
  <c r="N1214" i="11"/>
  <c r="N1218" i="11"/>
  <c r="N1222" i="11"/>
  <c r="N1226" i="11"/>
  <c r="N1230" i="11"/>
  <c r="N1234" i="11"/>
  <c r="N1238" i="11"/>
  <c r="N1242" i="11"/>
  <c r="N1246" i="11"/>
  <c r="N1250" i="11"/>
  <c r="N1254" i="11"/>
  <c r="N1258" i="11"/>
  <c r="N1262" i="11"/>
  <c r="N1266" i="11"/>
  <c r="N1270" i="11"/>
  <c r="N1274" i="11"/>
  <c r="N1278" i="11"/>
  <c r="N1282" i="11"/>
  <c r="N1286" i="11"/>
  <c r="N1290" i="11"/>
  <c r="N1294" i="11"/>
  <c r="N1298" i="11"/>
  <c r="N1302" i="11"/>
  <c r="N1306" i="11"/>
  <c r="N1310" i="11"/>
  <c r="N1314" i="11"/>
  <c r="N1318" i="11"/>
  <c r="N1322" i="11"/>
  <c r="N1326" i="11"/>
  <c r="N1330" i="11"/>
  <c r="N1334" i="11"/>
  <c r="N1338" i="11"/>
  <c r="N1342" i="11"/>
  <c r="N1346" i="11"/>
  <c r="N1350" i="11"/>
  <c r="N1354" i="11"/>
  <c r="N1358" i="11"/>
  <c r="N1406" i="11"/>
  <c r="N1410" i="11"/>
  <c r="N1414" i="11"/>
  <c r="N1418" i="11"/>
  <c r="N1422" i="11"/>
  <c r="N1426" i="11"/>
  <c r="N1430" i="11"/>
  <c r="N1434" i="11"/>
  <c r="N1438" i="11"/>
  <c r="N1442" i="11"/>
  <c r="N1446" i="11"/>
  <c r="N1450" i="11"/>
  <c r="N1454" i="11"/>
  <c r="N1458" i="11"/>
  <c r="N1462" i="11"/>
  <c r="N1466" i="11"/>
  <c r="N1470" i="11"/>
  <c r="N1474" i="11"/>
  <c r="N1478" i="11"/>
  <c r="N1482" i="11"/>
  <c r="N1486" i="11"/>
  <c r="N1490" i="11"/>
  <c r="N1494" i="11"/>
  <c r="N1498" i="11"/>
  <c r="N1502" i="11"/>
  <c r="N1506" i="11"/>
  <c r="N1510" i="11"/>
  <c r="N1514" i="11"/>
  <c r="N1518" i="11"/>
  <c r="N1522" i="11"/>
  <c r="N1526" i="11"/>
  <c r="N1530" i="11"/>
  <c r="N1534" i="11"/>
  <c r="N1538" i="11"/>
  <c r="N1542" i="11"/>
  <c r="N1546" i="11"/>
  <c r="N1550" i="11"/>
  <c r="N1554" i="11"/>
  <c r="N1558" i="11"/>
  <c r="N1562" i="11"/>
  <c r="N1566" i="11"/>
  <c r="N1570" i="11"/>
  <c r="N1574" i="11"/>
  <c r="N1578" i="11"/>
  <c r="N1582" i="11"/>
  <c r="N1586" i="11"/>
  <c r="N1590" i="11"/>
  <c r="N1594" i="11"/>
  <c r="N1598" i="11"/>
  <c r="N1602" i="11"/>
  <c r="N1606" i="11"/>
  <c r="N1610" i="11"/>
  <c r="N1614" i="11"/>
  <c r="N1618" i="11"/>
  <c r="N1622" i="11"/>
  <c r="N1626" i="11"/>
  <c r="N1630" i="11"/>
  <c r="N1634" i="11"/>
  <c r="N1638" i="11"/>
  <c r="N1642" i="11"/>
  <c r="N1646" i="11"/>
  <c r="N1650" i="11"/>
  <c r="N1654" i="11"/>
  <c r="N1658" i="11"/>
  <c r="N1662" i="11"/>
  <c r="N1666" i="11"/>
  <c r="N1670" i="11"/>
  <c r="N1674" i="11"/>
  <c r="N1678" i="11"/>
  <c r="N1682" i="11"/>
  <c r="N1686" i="11"/>
  <c r="N1690" i="11"/>
  <c r="N1694" i="11"/>
  <c r="N1698" i="11"/>
  <c r="N1702" i="11"/>
  <c r="N1706" i="11"/>
  <c r="N1710" i="11"/>
  <c r="N1714" i="11"/>
  <c r="N1718" i="11"/>
  <c r="N1722" i="11"/>
  <c r="N1726" i="11"/>
  <c r="N1730" i="11"/>
  <c r="N1734" i="11"/>
  <c r="N1738" i="11"/>
  <c r="N1742" i="11"/>
  <c r="N1746" i="11"/>
  <c r="N1750" i="11"/>
  <c r="N1754" i="11"/>
  <c r="N1758" i="11"/>
  <c r="N1762" i="11"/>
  <c r="N1766" i="11"/>
  <c r="N1770" i="11"/>
  <c r="N1774" i="11"/>
  <c r="N1778" i="11"/>
  <c r="N1782" i="11"/>
  <c r="N1786" i="11"/>
  <c r="N1790" i="11"/>
  <c r="N1794" i="11"/>
  <c r="N1798" i="11"/>
  <c r="N1802" i="11"/>
  <c r="N1806" i="11"/>
  <c r="N1810" i="11"/>
  <c r="N1814" i="11"/>
  <c r="N1818" i="11"/>
  <c r="N1822" i="11"/>
  <c r="N1826" i="11"/>
  <c r="N1830" i="11"/>
  <c r="N1834" i="11"/>
  <c r="N1838" i="11"/>
  <c r="N1842" i="11"/>
  <c r="N1846" i="11"/>
  <c r="N1850" i="11"/>
  <c r="N1854" i="11"/>
  <c r="N1858" i="11"/>
  <c r="N1862" i="11"/>
  <c r="I195" i="11"/>
  <c r="I191" i="11"/>
  <c r="I187" i="11"/>
  <c r="I183" i="11"/>
  <c r="I179" i="11"/>
  <c r="I175" i="11"/>
  <c r="I171" i="11"/>
  <c r="I167" i="11"/>
  <c r="I163" i="11"/>
  <c r="I159" i="11"/>
  <c r="I155" i="11"/>
  <c r="I151" i="11"/>
  <c r="I147" i="11"/>
  <c r="I143" i="11"/>
  <c r="I139" i="11"/>
  <c r="I127" i="11"/>
  <c r="I111" i="11"/>
  <c r="I107" i="11"/>
  <c r="I99" i="11"/>
  <c r="I95" i="11"/>
  <c r="I91" i="11"/>
  <c r="I87" i="11"/>
  <c r="I83" i="11"/>
  <c r="I79" i="11"/>
  <c r="I75" i="11"/>
  <c r="I71" i="11"/>
  <c r="I67" i="11"/>
  <c r="I68" i="11" s="1"/>
  <c r="I63" i="11"/>
  <c r="I59" i="11"/>
  <c r="I55" i="11"/>
  <c r="I43" i="11"/>
  <c r="I44" i="11" s="1"/>
  <c r="I45" i="11" s="1"/>
  <c r="I46" i="11" s="1"/>
  <c r="I47" i="11" s="1"/>
  <c r="I48" i="11" s="1"/>
  <c r="I49" i="11" s="1"/>
  <c r="I50" i="11" s="1"/>
  <c r="I51" i="11" s="1"/>
  <c r="I52" i="11" s="1"/>
  <c r="I53" i="11" s="1"/>
  <c r="I54" i="11" s="1"/>
  <c r="I39" i="11"/>
  <c r="N1861" i="11"/>
  <c r="N1856" i="11"/>
  <c r="N1851" i="11"/>
  <c r="N1844" i="11"/>
  <c r="N1836" i="11"/>
  <c r="N1827" i="11"/>
  <c r="N1811" i="11"/>
  <c r="N1795" i="11"/>
  <c r="N1779" i="11"/>
  <c r="N1763" i="11"/>
  <c r="N1747" i="11"/>
  <c r="N1731" i="11"/>
  <c r="N1715" i="11"/>
  <c r="N1699" i="11"/>
  <c r="N1683" i="11"/>
  <c r="N1667" i="11"/>
  <c r="N1651" i="11"/>
  <c r="N1635" i="11"/>
  <c r="N1619" i="11"/>
  <c r="N1603" i="11"/>
  <c r="N1587" i="11"/>
  <c r="N1571" i="11"/>
  <c r="N1555" i="11"/>
  <c r="N1539" i="11"/>
  <c r="N1523" i="11"/>
  <c r="N1507" i="11"/>
  <c r="N1491" i="11"/>
  <c r="N1475" i="11"/>
  <c r="N1459" i="11"/>
  <c r="N1443" i="11"/>
  <c r="N1427" i="11"/>
  <c r="N1411" i="11"/>
  <c r="N1347" i="11"/>
  <c r="N1331" i="11"/>
  <c r="N1315" i="11"/>
  <c r="N1299" i="11"/>
  <c r="N1283" i="11"/>
  <c r="N1267" i="11"/>
  <c r="N1251" i="11"/>
  <c r="N1235" i="11"/>
  <c r="N1219" i="11"/>
  <c r="N1197" i="11"/>
  <c r="I2" i="11"/>
  <c r="I194" i="11"/>
  <c r="I190" i="11"/>
  <c r="I186" i="11"/>
  <c r="I182" i="11"/>
  <c r="I178" i="11"/>
  <c r="I174" i="11"/>
  <c r="I170" i="11"/>
  <c r="I166" i="11"/>
  <c r="I162" i="11"/>
  <c r="I158" i="11"/>
  <c r="I154" i="11"/>
  <c r="I150" i="11"/>
  <c r="I146" i="11"/>
  <c r="I142" i="11"/>
  <c r="I126" i="11"/>
  <c r="I114" i="11"/>
  <c r="I115" i="11" s="1"/>
  <c r="I116" i="11" s="1"/>
  <c r="I117" i="11" s="1"/>
  <c r="I118" i="11" s="1"/>
  <c r="I119" i="11" s="1"/>
  <c r="I120" i="11" s="1"/>
  <c r="I121" i="11" s="1"/>
  <c r="I122" i="11" s="1"/>
  <c r="I123" i="11" s="1"/>
  <c r="I124" i="11" s="1"/>
  <c r="I125" i="11" s="1"/>
  <c r="I110" i="11"/>
  <c r="I106" i="11"/>
  <c r="I98" i="11"/>
  <c r="I94" i="11"/>
  <c r="I90" i="11"/>
  <c r="I86" i="11"/>
  <c r="I82" i="11"/>
  <c r="I78" i="11"/>
  <c r="I74" i="11"/>
  <c r="I70" i="11"/>
  <c r="I66" i="11"/>
  <c r="I62" i="11"/>
  <c r="I58" i="11"/>
  <c r="I42" i="11"/>
  <c r="I38" i="11"/>
  <c r="N2" i="11"/>
  <c r="N1860" i="11"/>
  <c r="N1855" i="11"/>
  <c r="N1849" i="11"/>
  <c r="N1843" i="11"/>
  <c r="N1835" i="11"/>
  <c r="N1823" i="11"/>
  <c r="N1807" i="11"/>
  <c r="N1791" i="11"/>
  <c r="N1775" i="11"/>
  <c r="N1759" i="11"/>
  <c r="N1743" i="11"/>
  <c r="N1727" i="11"/>
  <c r="N1711" i="11"/>
  <c r="N1695" i="11"/>
  <c r="N1679" i="11"/>
  <c r="N1663" i="11"/>
  <c r="N1647" i="11"/>
  <c r="N1631" i="11"/>
  <c r="N1615" i="11"/>
  <c r="N1599" i="11"/>
  <c r="N1583" i="11"/>
  <c r="N1567" i="11"/>
  <c r="N1551" i="11"/>
  <c r="N1535" i="11"/>
  <c r="N1519" i="11"/>
  <c r="N1503" i="11"/>
  <c r="N1487" i="11"/>
  <c r="N1471" i="11"/>
  <c r="N1455" i="11"/>
  <c r="N1439" i="11"/>
  <c r="N1423" i="11"/>
  <c r="N1407" i="11"/>
  <c r="N1359" i="11"/>
  <c r="N1343" i="11"/>
  <c r="N1327" i="11"/>
  <c r="N1311" i="11"/>
  <c r="N1295" i="11"/>
  <c r="N1279" i="11"/>
  <c r="N1263" i="11"/>
  <c r="N1247" i="11"/>
  <c r="N1231" i="11"/>
  <c r="N1215" i="11"/>
  <c r="BF4" i="11" l="1"/>
  <c r="BE4" i="11" s="1"/>
  <c r="BF24" i="11"/>
  <c r="BE24" i="11" s="1"/>
  <c r="BF5" i="11"/>
  <c r="BE5" i="11" s="1"/>
  <c r="BF3" i="11"/>
  <c r="BE3" i="11" s="1"/>
  <c r="BD3" i="11" s="1"/>
  <c r="BF6" i="11"/>
  <c r="BE6" i="11" s="1"/>
  <c r="BF9" i="11"/>
  <c r="BE9" i="11" s="1"/>
  <c r="BF10" i="11"/>
  <c r="BE10" i="11" s="1"/>
  <c r="BF11" i="11"/>
  <c r="BE11" i="11" s="1"/>
  <c r="BF12" i="11"/>
  <c r="BE12" i="11" s="1"/>
  <c r="BF13" i="11"/>
  <c r="BE13" i="11" s="1"/>
  <c r="BF20" i="11"/>
  <c r="BE20" i="11" s="1"/>
  <c r="BF14" i="11"/>
  <c r="BE14" i="11" s="1"/>
  <c r="BF18" i="11"/>
  <c r="BE18" i="11" s="1"/>
  <c r="BF15" i="11"/>
  <c r="BE15" i="11" s="1"/>
  <c r="BF17" i="11"/>
  <c r="BE17" i="11" s="1"/>
  <c r="BF16" i="11"/>
  <c r="BE16" i="11" s="1"/>
  <c r="BF19" i="11"/>
  <c r="BE19" i="11" s="1"/>
  <c r="BF21" i="11"/>
  <c r="BE21" i="11" s="1"/>
  <c r="BF23" i="11"/>
  <c r="BE23" i="11" s="1"/>
  <c r="BF7" i="11"/>
  <c r="BE7" i="11" s="1"/>
  <c r="BF22" i="11"/>
  <c r="BE22" i="11" s="1"/>
  <c r="BF8" i="11"/>
  <c r="BE8" i="11" s="1"/>
  <c r="D26" i="11"/>
  <c r="S10" i="8" s="1"/>
  <c r="I38" i="1"/>
  <c r="Z10" i="11"/>
  <c r="Z22" i="11"/>
  <c r="Z34" i="11"/>
  <c r="Z21" i="11"/>
  <c r="Z5" i="11"/>
  <c r="Z36" i="11"/>
  <c r="Z20" i="11"/>
  <c r="Z4" i="11"/>
  <c r="Z35" i="11"/>
  <c r="Z19" i="11"/>
  <c r="Z6" i="11"/>
  <c r="Z18" i="11"/>
  <c r="Z33" i="11"/>
  <c r="Z17" i="11"/>
  <c r="Z32" i="11"/>
  <c r="Z16" i="11"/>
  <c r="Z31" i="11"/>
  <c r="Z15" i="11"/>
  <c r="Z30" i="11"/>
  <c r="Z29" i="11"/>
  <c r="Z13" i="11"/>
  <c r="Z28" i="11"/>
  <c r="Z12" i="11"/>
  <c r="Z27" i="11"/>
  <c r="Z11" i="11"/>
  <c r="Z3" i="11"/>
  <c r="Z2" i="11"/>
  <c r="Z14" i="11"/>
  <c r="Z26" i="11"/>
  <c r="Z25" i="11"/>
  <c r="Z9" i="11"/>
  <c r="Z24" i="11"/>
  <c r="Z8" i="11"/>
  <c r="Z23" i="11"/>
  <c r="Z7" i="11"/>
  <c r="I3" i="11"/>
  <c r="I4" i="11" s="1"/>
  <c r="I5" i="11" s="1"/>
  <c r="I6" i="11" s="1"/>
  <c r="I7" i="11" s="1"/>
  <c r="I8" i="11" s="1"/>
  <c r="I9" i="11" s="1"/>
  <c r="I10" i="11" s="1"/>
  <c r="I11" i="11" s="1"/>
  <c r="I12" i="11" s="1"/>
  <c r="I13" i="11" s="1"/>
  <c r="I14" i="11" s="1"/>
  <c r="I15" i="11" s="1"/>
  <c r="I16" i="11" s="1"/>
  <c r="I17" i="11" s="1"/>
  <c r="I18" i="11" s="1"/>
  <c r="I19" i="11" s="1"/>
  <c r="I20" i="11" s="1"/>
  <c r="I21" i="11" s="1"/>
  <c r="I22" i="11" s="1"/>
  <c r="I23" i="11" s="1"/>
  <c r="I24" i="11" s="1"/>
  <c r="I25" i="11" s="1"/>
  <c r="I26" i="11" s="1"/>
  <c r="I27" i="11" s="1"/>
  <c r="I28" i="11" s="1"/>
  <c r="I29" i="11" s="1"/>
  <c r="I30" i="11" s="1"/>
  <c r="I31" i="11" s="1"/>
  <c r="I32" i="11" s="1"/>
  <c r="I33" i="11" s="1"/>
  <c r="I34" i="11" s="1"/>
  <c r="I35" i="11" s="1"/>
  <c r="AF3" i="11"/>
  <c r="AF7" i="11"/>
  <c r="AF11" i="11"/>
  <c r="AF15" i="11"/>
  <c r="AF19" i="11"/>
  <c r="AF23" i="11"/>
  <c r="AF27" i="11"/>
  <c r="AF31" i="11"/>
  <c r="AF35" i="11"/>
  <c r="AF39" i="11"/>
  <c r="AF43" i="11"/>
  <c r="AF47" i="11"/>
  <c r="AF51" i="11"/>
  <c r="AF10" i="11"/>
  <c r="AF22" i="11"/>
  <c r="AF34" i="11"/>
  <c r="AF46" i="11"/>
  <c r="AF4" i="11"/>
  <c r="AF8" i="11"/>
  <c r="AF12" i="11"/>
  <c r="AF16" i="11"/>
  <c r="AF20" i="11"/>
  <c r="AF24" i="11"/>
  <c r="AF28" i="11"/>
  <c r="AF32" i="11"/>
  <c r="AF36" i="11"/>
  <c r="AF40" i="11"/>
  <c r="AF44" i="11"/>
  <c r="AF48" i="11"/>
  <c r="AF2" i="11"/>
  <c r="AF6" i="11"/>
  <c r="AF14" i="11"/>
  <c r="AF26" i="11"/>
  <c r="AF38" i="11"/>
  <c r="AF50" i="11"/>
  <c r="AF5" i="11"/>
  <c r="AF9" i="11"/>
  <c r="AF13" i="11"/>
  <c r="AF17" i="11"/>
  <c r="AF21" i="11"/>
  <c r="AF25" i="11"/>
  <c r="AF29" i="11"/>
  <c r="AF33" i="11"/>
  <c r="AF37" i="11"/>
  <c r="AF41" i="11"/>
  <c r="AF45" i="11"/>
  <c r="AF49" i="11"/>
  <c r="AF18" i="11"/>
  <c r="AF30" i="11"/>
  <c r="AF42" i="11"/>
  <c r="BD4" i="11" l="1"/>
  <c r="V52" i="8" s="1"/>
  <c r="BD5" i="11"/>
  <c r="BD6" i="11" s="1"/>
  <c r="BD7" i="11" s="1"/>
  <c r="BD8" i="11" s="1"/>
  <c r="BD9" i="11" s="1"/>
  <c r="BD10" i="11" s="1"/>
  <c r="BD11" i="11" s="1"/>
  <c r="BD12" i="11" s="1"/>
  <c r="BD13" i="11" s="1"/>
  <c r="BD14" i="11" s="1"/>
  <c r="BD15" i="11" s="1"/>
  <c r="BD16" i="11" s="1"/>
  <c r="BD17" i="11" s="1"/>
  <c r="BD18" i="11" s="1"/>
  <c r="BD19" i="11" s="1"/>
  <c r="BD20" i="11" s="1"/>
  <c r="BD21" i="11" s="1"/>
  <c r="BD22" i="11" s="1"/>
  <c r="BD23" i="11" s="1"/>
  <c r="BD24" i="11" s="1"/>
  <c r="C38" i="3"/>
  <c r="C26" i="3"/>
  <c r="C30" i="3"/>
  <c r="C40" i="3"/>
  <c r="C28" i="3"/>
  <c r="AC4" i="11"/>
  <c r="AC13" i="11"/>
  <c r="AC2" i="11"/>
  <c r="AC9" i="11"/>
  <c r="AC5" i="11"/>
  <c r="AC17" i="11"/>
  <c r="AC11" i="11"/>
  <c r="AC22" i="11"/>
  <c r="AC16" i="11"/>
  <c r="AC15" i="11"/>
  <c r="AC23" i="11"/>
  <c r="AC10" i="11"/>
  <c r="AC6" i="11"/>
  <c r="AC20" i="11"/>
  <c r="AC8" i="11"/>
  <c r="AC19" i="11"/>
  <c r="AC7" i="11"/>
  <c r="AC3" i="11"/>
  <c r="AC12" i="11"/>
  <c r="AC26" i="11"/>
  <c r="AC18" i="11"/>
  <c r="AC14" i="11"/>
  <c r="AC25" i="11"/>
  <c r="AC24" i="11"/>
  <c r="AC21" i="11"/>
  <c r="AY2" i="3"/>
  <c r="AY2" i="4"/>
  <c r="AY2" i="5"/>
  <c r="AY2" i="7"/>
  <c r="AY2" i="9"/>
  <c r="E54" i="8" l="1"/>
  <c r="E56" i="8"/>
  <c r="E57" i="8"/>
  <c r="E60" i="8"/>
  <c r="V60" i="8"/>
  <c r="V54" i="8"/>
  <c r="V55" i="8"/>
  <c r="E52" i="8"/>
  <c r="E53" i="8"/>
  <c r="V57" i="8"/>
  <c r="V56" i="8"/>
  <c r="V59" i="8"/>
  <c r="E55" i="8"/>
  <c r="E58" i="8"/>
  <c r="V58" i="8"/>
  <c r="E59" i="8"/>
  <c r="V53" i="8"/>
  <c r="E51" i="8"/>
  <c r="V51" i="8"/>
  <c r="B2" i="10"/>
  <c r="T46" i="8" l="1"/>
  <c r="D17" i="9"/>
  <c r="D19" i="9" s="1"/>
  <c r="D21" i="9" s="1"/>
  <c r="D23" i="9" s="1"/>
  <c r="D25" i="9" s="1"/>
  <c r="D27" i="9" s="1"/>
  <c r="D29" i="9" s="1"/>
  <c r="D31" i="9" s="1"/>
  <c r="D33" i="9" s="1"/>
  <c r="D35" i="9" s="1"/>
  <c r="D37" i="9" s="1"/>
  <c r="D39" i="9" s="1"/>
  <c r="D41" i="9" s="1"/>
  <c r="D43" i="9" s="1"/>
  <c r="B49" i="9"/>
  <c r="DW2" i="8" l="1"/>
  <c r="T38" i="8" l="1"/>
  <c r="C38" i="8"/>
  <c r="T33" i="8"/>
  <c r="C33" i="8"/>
  <c r="T28" i="8"/>
  <c r="C28" i="8"/>
  <c r="B2" i="8"/>
  <c r="B51" i="7" l="1"/>
  <c r="K3" i="1" l="1"/>
  <c r="AW30" i="1" l="1"/>
  <c r="B64" i="5" l="1"/>
  <c r="B52" i="4" l="1"/>
  <c r="T9" i="3" l="1"/>
  <c r="B51" i="3"/>
  <c r="B49" i="1" l="1"/>
  <c r="AY49" i="1" s="1"/>
  <c r="AY49" i="23" s="1"/>
  <c r="AY49" i="21" l="1"/>
  <c r="AY49" i="22"/>
  <c r="AY49" i="19"/>
  <c r="AY49" i="20"/>
  <c r="AY49" i="17"/>
  <c r="AY49" i="18"/>
  <c r="AY49" i="15"/>
  <c r="AY49" i="16"/>
  <c r="AY79" i="13"/>
  <c r="AY109" i="14"/>
  <c r="AY49" i="9"/>
  <c r="AY49" i="12"/>
  <c r="AY64" i="5"/>
  <c r="AY51" i="7"/>
  <c r="AY51" i="3"/>
  <c r="AY52" i="4"/>
  <c r="AJ63" i="8"/>
  <c r="AP219" i="10" s="1"/>
  <c r="C23" i="15" l="1"/>
  <c r="C38" i="14"/>
  <c r="C53" i="14"/>
  <c r="C98" i="14"/>
  <c r="C83" i="14"/>
  <c r="C68" i="14"/>
  <c r="C23" i="14"/>
  <c r="C23" i="13"/>
  <c r="C38" i="13"/>
  <c r="C68" i="13"/>
  <c r="C53" i="13"/>
</calcChain>
</file>

<file path=xl/sharedStrings.xml><?xml version="1.0" encoding="utf-8"?>
<sst xmlns="http://schemas.openxmlformats.org/spreadsheetml/2006/main" count="10253" uniqueCount="4397">
  <si>
    <t>ITEM</t>
  </si>
  <si>
    <t>DEPAR</t>
  </si>
  <si>
    <t>PROVI</t>
  </si>
  <si>
    <t>DISTR</t>
  </si>
  <si>
    <t>AMAZONAS</t>
  </si>
  <si>
    <t>BAGUA</t>
  </si>
  <si>
    <t>ARAMANGO</t>
  </si>
  <si>
    <t>SANTO DOMINGO</t>
  </si>
  <si>
    <t>COPALLIN</t>
  </si>
  <si>
    <t>EL PARCO</t>
  </si>
  <si>
    <t>IMAZA</t>
  </si>
  <si>
    <t>LA PECA</t>
  </si>
  <si>
    <t>BONGARA</t>
  </si>
  <si>
    <t>CHISQUILLA</t>
  </si>
  <si>
    <t>CHURUJA</t>
  </si>
  <si>
    <t>COROSHA</t>
  </si>
  <si>
    <t>CUISPES</t>
  </si>
  <si>
    <t>FLORIDA</t>
  </si>
  <si>
    <t>JAZAN</t>
  </si>
  <si>
    <t>JORGE CHAVEZ</t>
  </si>
  <si>
    <t>JUMBILLA</t>
  </si>
  <si>
    <t>RECTA</t>
  </si>
  <si>
    <t>SAN CARLOS</t>
  </si>
  <si>
    <t>SHIPASBAMBA</t>
  </si>
  <si>
    <t>VALERA</t>
  </si>
  <si>
    <t>YAMBRASBAMBA</t>
  </si>
  <si>
    <t>CHACHAPOYAS</t>
  </si>
  <si>
    <t>ASUNCION</t>
  </si>
  <si>
    <t>BALSAS</t>
  </si>
  <si>
    <t>CHETO</t>
  </si>
  <si>
    <t>CHILIQUIN</t>
  </si>
  <si>
    <t>CHUQUIBAMBA</t>
  </si>
  <si>
    <t>GRANADA</t>
  </si>
  <si>
    <t>HUANCAS</t>
  </si>
  <si>
    <t>LA JALCA</t>
  </si>
  <si>
    <t>LEIMEBAMBA</t>
  </si>
  <si>
    <t>LEVANTO</t>
  </si>
  <si>
    <t>MAGDALENA</t>
  </si>
  <si>
    <t>MARISCAL CASTILLA</t>
  </si>
  <si>
    <t>MOLINOPAMPA</t>
  </si>
  <si>
    <t>SAN BENITO</t>
  </si>
  <si>
    <t>MONTEVIDEO</t>
  </si>
  <si>
    <t>OLLEROS</t>
  </si>
  <si>
    <t>QUINJALCA</t>
  </si>
  <si>
    <t>SAN FRANCISCO DE DAGUAS</t>
  </si>
  <si>
    <t>SAN ISIDRO DE MAINO</t>
  </si>
  <si>
    <t>SOLOCO</t>
  </si>
  <si>
    <t>SONCHE</t>
  </si>
  <si>
    <t>CONDORCANQUI</t>
  </si>
  <si>
    <t>EL CENEPA</t>
  </si>
  <si>
    <t>NIEVA</t>
  </si>
  <si>
    <t>RIO SANTIAGO</t>
  </si>
  <si>
    <t>LUYA</t>
  </si>
  <si>
    <t>CAMPORREDONDO</t>
  </si>
  <si>
    <t>COCABAMBA</t>
  </si>
  <si>
    <t>COLCAMAR</t>
  </si>
  <si>
    <t>CONILA</t>
  </si>
  <si>
    <t>INGUILPATA</t>
  </si>
  <si>
    <t>LAMUD</t>
  </si>
  <si>
    <t>LONGUITA</t>
  </si>
  <si>
    <t>LONYA CHICO</t>
  </si>
  <si>
    <t>LUYA VIEJO</t>
  </si>
  <si>
    <t>MARIA</t>
  </si>
  <si>
    <t>OCALLI</t>
  </si>
  <si>
    <t>OCUMAL</t>
  </si>
  <si>
    <t>PISUQUIA</t>
  </si>
  <si>
    <t>PROVIDENCIA</t>
  </si>
  <si>
    <t>SAN CRISTOBAL</t>
  </si>
  <si>
    <t>SAN FRANCISCO DEL YESO</t>
  </si>
  <si>
    <t>SAN JERONIMO</t>
  </si>
  <si>
    <t>SAN JUAN DE LOPECANCHA</t>
  </si>
  <si>
    <t>SANTA CATALINA</t>
  </si>
  <si>
    <t>SANTO TOMAS</t>
  </si>
  <si>
    <t>TINGO</t>
  </si>
  <si>
    <t>TRITA</t>
  </si>
  <si>
    <t>RODRIGUEZ DE MENDOZA</t>
  </si>
  <si>
    <t>CHIRIMOTO</t>
  </si>
  <si>
    <t>COCHAMAL</t>
  </si>
  <si>
    <t>HUAMBO</t>
  </si>
  <si>
    <t>LIMABAMBA</t>
  </si>
  <si>
    <t>LONGAR</t>
  </si>
  <si>
    <t>MARISCAL BENAVIDES</t>
  </si>
  <si>
    <t>MILPUC</t>
  </si>
  <si>
    <t>OMIA</t>
  </si>
  <si>
    <t>SAN NICOLAS</t>
  </si>
  <si>
    <t>SANTA ROSA</t>
  </si>
  <si>
    <t>TOTORA</t>
  </si>
  <si>
    <t>VISTA ALEGRE</t>
  </si>
  <si>
    <t>UTCUBAMBA</t>
  </si>
  <si>
    <t>BAGUA GRANDE</t>
  </si>
  <si>
    <t>CAJARURO</t>
  </si>
  <si>
    <t>CUMBA</t>
  </si>
  <si>
    <t>EL MILAGRO</t>
  </si>
  <si>
    <t>JAMALCA</t>
  </si>
  <si>
    <t>LONYA GRANDE</t>
  </si>
  <si>
    <t>YAMON</t>
  </si>
  <si>
    <t>ANCASH</t>
  </si>
  <si>
    <t>AIJA</t>
  </si>
  <si>
    <t>CORIS</t>
  </si>
  <si>
    <t>HUACLLAN</t>
  </si>
  <si>
    <t>LA MERCED</t>
  </si>
  <si>
    <t>SUCCHA</t>
  </si>
  <si>
    <t>ANTONIO RAYMONDI</t>
  </si>
  <si>
    <t>ACZO</t>
  </si>
  <si>
    <t>CHACCHO</t>
  </si>
  <si>
    <t>CHINGAS</t>
  </si>
  <si>
    <t>LLAMELLIN</t>
  </si>
  <si>
    <t>MIRGAS</t>
  </si>
  <si>
    <t>SAN JUAN DE RONTOY</t>
  </si>
  <si>
    <t>ACOCHACA</t>
  </si>
  <si>
    <t>CHACAS</t>
  </si>
  <si>
    <t>BOLOGNESI</t>
  </si>
  <si>
    <t>ABELARDO PARDO LEZAMETA</t>
  </si>
  <si>
    <t>AQUIA</t>
  </si>
  <si>
    <t>CAJACAY</t>
  </si>
  <si>
    <t>CANIS</t>
  </si>
  <si>
    <t>SAN PEDRO</t>
  </si>
  <si>
    <t>CHIQUIAN</t>
  </si>
  <si>
    <t>COLQUIOC</t>
  </si>
  <si>
    <t>HUALLANCA</t>
  </si>
  <si>
    <t>HUASTA</t>
  </si>
  <si>
    <t>HUAYLLACAYAN</t>
  </si>
  <si>
    <t>LA PRIMAVERA</t>
  </si>
  <si>
    <t>MANGAS</t>
  </si>
  <si>
    <t>PACLLON</t>
  </si>
  <si>
    <t>SAN MIGUEL DE CORPANQUI</t>
  </si>
  <si>
    <t>TICLLOS</t>
  </si>
  <si>
    <t>CARHUAZ</t>
  </si>
  <si>
    <t>ACOPAMPA</t>
  </si>
  <si>
    <t>AMASHCA</t>
  </si>
  <si>
    <t>ANTA</t>
  </si>
  <si>
    <t>ATAQUERO</t>
  </si>
  <si>
    <t>MARCARA</t>
  </si>
  <si>
    <t>PARIAHUANCA</t>
  </si>
  <si>
    <t>SAN MIGUEL DE ACO</t>
  </si>
  <si>
    <t>SHILLA</t>
  </si>
  <si>
    <t>TINCO</t>
  </si>
  <si>
    <t>YUNGAR</t>
  </si>
  <si>
    <t>CARLOS FERMIN FITZCARRALD</t>
  </si>
  <si>
    <t>SAN LUIS</t>
  </si>
  <si>
    <t>YAUYA</t>
  </si>
  <si>
    <t>CASMA</t>
  </si>
  <si>
    <t>BUENA VISTA ALTA</t>
  </si>
  <si>
    <t>SAN MARCOS</t>
  </si>
  <si>
    <t>COMANDANTE NOEL</t>
  </si>
  <si>
    <t>YAUTAN</t>
  </si>
  <si>
    <t>CORONGO</t>
  </si>
  <si>
    <t>ACO</t>
  </si>
  <si>
    <t>BAMBAS</t>
  </si>
  <si>
    <t>CUSCA</t>
  </si>
  <si>
    <t>LA PAMPA</t>
  </si>
  <si>
    <t>YANAC</t>
  </si>
  <si>
    <t>YUPAN</t>
  </si>
  <si>
    <t>HUARAZ</t>
  </si>
  <si>
    <t>COCHABAMBA</t>
  </si>
  <si>
    <t>COLCABAMBA</t>
  </si>
  <si>
    <t>HUANCHAY</t>
  </si>
  <si>
    <t>INDEPENDENCIA</t>
  </si>
  <si>
    <t>JANGAS</t>
  </si>
  <si>
    <t>LA LIBERTAD</t>
  </si>
  <si>
    <t>PAMPAS GRANDE</t>
  </si>
  <si>
    <t>PARIACOTO</t>
  </si>
  <si>
    <t>PIRA</t>
  </si>
  <si>
    <t>TARICA</t>
  </si>
  <si>
    <t>HUARI</t>
  </si>
  <si>
    <t>ANRA</t>
  </si>
  <si>
    <t>CAJAY</t>
  </si>
  <si>
    <t>CHAVIN DE HUANTAR</t>
  </si>
  <si>
    <t>HUACACHI</t>
  </si>
  <si>
    <t>HUACCHIS</t>
  </si>
  <si>
    <t>HUACHIS</t>
  </si>
  <si>
    <t>HUANTAR</t>
  </si>
  <si>
    <t>MASIN</t>
  </si>
  <si>
    <t>PAUCAS</t>
  </si>
  <si>
    <t>PONTO</t>
  </si>
  <si>
    <t>RAHUAPAMPA</t>
  </si>
  <si>
    <t>RAPAYAN</t>
  </si>
  <si>
    <t>SAN PEDRO DE CHANA</t>
  </si>
  <si>
    <t>UCO</t>
  </si>
  <si>
    <t>HUARMEY</t>
  </si>
  <si>
    <t>COCHAPETI</t>
  </si>
  <si>
    <t>CULEBRAS</t>
  </si>
  <si>
    <t>HUAYAN</t>
  </si>
  <si>
    <t>MALVAS</t>
  </si>
  <si>
    <t>HUAYLAS</t>
  </si>
  <si>
    <t>CARAZ</t>
  </si>
  <si>
    <t>HUATA</t>
  </si>
  <si>
    <t>MATO</t>
  </si>
  <si>
    <t>PAMPAROMAS</t>
  </si>
  <si>
    <t>PUEBLO LIBRE</t>
  </si>
  <si>
    <t>SANTA CRUZ</t>
  </si>
  <si>
    <t>SANTO TORIBIO</t>
  </si>
  <si>
    <t>SAN SEBASTIAN</t>
  </si>
  <si>
    <t>YURACMARCA</t>
  </si>
  <si>
    <t>MARISCAL LUZURIAGA</t>
  </si>
  <si>
    <t>CASCA</t>
  </si>
  <si>
    <t>ELEAZAR GUZMAN BARRON</t>
  </si>
  <si>
    <t>FIDEL OLIVAS ESCUDERO</t>
  </si>
  <si>
    <t>LLAMA</t>
  </si>
  <si>
    <t>LLUMPA</t>
  </si>
  <si>
    <t>LUCMA</t>
  </si>
  <si>
    <t>MUSGA</t>
  </si>
  <si>
    <t>JUAN ESPINOZA MEDRANO</t>
  </si>
  <si>
    <t>PISCOBAMBA</t>
  </si>
  <si>
    <t>OCROS</t>
  </si>
  <si>
    <t>ACAS</t>
  </si>
  <si>
    <t>CAJAMARQUILLA</t>
  </si>
  <si>
    <t>CARHUAPAMPA</t>
  </si>
  <si>
    <t>COCHAS</t>
  </si>
  <si>
    <t>CONGAS</t>
  </si>
  <si>
    <t>SAN AGUSTIN</t>
  </si>
  <si>
    <t>LLIPA</t>
  </si>
  <si>
    <t>SAN CRISTOBAL DE RAJAN</t>
  </si>
  <si>
    <t>SANTIAGO DE CHILCAS</t>
  </si>
  <si>
    <t>PALLASCA</t>
  </si>
  <si>
    <t>CABANA</t>
  </si>
  <si>
    <t>CONCHUCOS</t>
  </si>
  <si>
    <t>HUACASCHUQUE</t>
  </si>
  <si>
    <t>HUANDOVAL</t>
  </si>
  <si>
    <t>LACABAMBA</t>
  </si>
  <si>
    <t>LLAPO</t>
  </si>
  <si>
    <t>PAMPAS</t>
  </si>
  <si>
    <t>TAUCA</t>
  </si>
  <si>
    <t>POMABAMBA</t>
  </si>
  <si>
    <t>HUAYLLAN</t>
  </si>
  <si>
    <t>PAROBAMBA</t>
  </si>
  <si>
    <t>QUINUABAMBA</t>
  </si>
  <si>
    <t>RECUAY</t>
  </si>
  <si>
    <t>CATAC</t>
  </si>
  <si>
    <t>COTAPARACO</t>
  </si>
  <si>
    <t>HUAYLLAPAMPA</t>
  </si>
  <si>
    <t>LLACLLIN</t>
  </si>
  <si>
    <t>MARCA</t>
  </si>
  <si>
    <t>PAMPAS CHICO</t>
  </si>
  <si>
    <t>PARARIN</t>
  </si>
  <si>
    <t>TAPACOCHA</t>
  </si>
  <si>
    <t>TICAPAMPA</t>
  </si>
  <si>
    <t>SANTA</t>
  </si>
  <si>
    <t>CACERES DEL PERU</t>
  </si>
  <si>
    <t>CHIMBOTE</t>
  </si>
  <si>
    <t>COISHCO</t>
  </si>
  <si>
    <t>MACATE</t>
  </si>
  <si>
    <t>MORO</t>
  </si>
  <si>
    <t>NEPEÑA</t>
  </si>
  <si>
    <t>NUEVO CHIMBOTE</t>
  </si>
  <si>
    <t>SAMANCO</t>
  </si>
  <si>
    <t>SIHUAS</t>
  </si>
  <si>
    <t>ACOBAMBA</t>
  </si>
  <si>
    <t>ALFONSO UGARTE</t>
  </si>
  <si>
    <t>CASHAPAMPA</t>
  </si>
  <si>
    <t>CHINGALPO</t>
  </si>
  <si>
    <t>HUAYLLABAMBA</t>
  </si>
  <si>
    <t>SAN RAFAEL</t>
  </si>
  <si>
    <t>QUICHES</t>
  </si>
  <si>
    <t>RAGASH</t>
  </si>
  <si>
    <t>SAN JUAN</t>
  </si>
  <si>
    <t>SICSIBAMBA</t>
  </si>
  <si>
    <t>YUNGAY</t>
  </si>
  <si>
    <t>CASCAPARA</t>
  </si>
  <si>
    <t>MANCOS</t>
  </si>
  <si>
    <t>MATACOTO</t>
  </si>
  <si>
    <t>QUILLO</t>
  </si>
  <si>
    <t>RANRAHIRCA</t>
  </si>
  <si>
    <t>SHUPLUY</t>
  </si>
  <si>
    <t>YANAMA</t>
  </si>
  <si>
    <t>RAMON CASTILLA</t>
  </si>
  <si>
    <t>APURIMAC</t>
  </si>
  <si>
    <t>ABANCAY</t>
  </si>
  <si>
    <t>CHACOCHE</t>
  </si>
  <si>
    <t>CIRCA</t>
  </si>
  <si>
    <t>CURAHUASI</t>
  </si>
  <si>
    <t>HUANIPACA</t>
  </si>
  <si>
    <t>LAMBRAMA</t>
  </si>
  <si>
    <t>PICHIRHUA</t>
  </si>
  <si>
    <t>SAN PEDRO DE CACHORA</t>
  </si>
  <si>
    <t>TAMBURCO</t>
  </si>
  <si>
    <t>ANDAHUAYLAS</t>
  </si>
  <si>
    <t>ANDARAPA</t>
  </si>
  <si>
    <t>CHIARA</t>
  </si>
  <si>
    <t>HUANCARAMA</t>
  </si>
  <si>
    <t>HUANCARAY</t>
  </si>
  <si>
    <t>HUAYANA</t>
  </si>
  <si>
    <t>SAN JUAN BAUTISTA</t>
  </si>
  <si>
    <t>JOSE MARIA ARGUEDAS</t>
  </si>
  <si>
    <t>KAQUIABAMBA</t>
  </si>
  <si>
    <t>KISHUARA</t>
  </si>
  <si>
    <t>PACOBAMBA</t>
  </si>
  <si>
    <t>PACUCHA</t>
  </si>
  <si>
    <t>PAMPACHIRI</t>
  </si>
  <si>
    <t>POMACOCHA</t>
  </si>
  <si>
    <t>SAN ANTONIO DE CACHI</t>
  </si>
  <si>
    <t>SAN MIGUEL DE CHACCRAMPA</t>
  </si>
  <si>
    <t>SANTA MARIA DE CHICMO</t>
  </si>
  <si>
    <t>TALAVERA</t>
  </si>
  <si>
    <t>TUMAY HUARACA</t>
  </si>
  <si>
    <t>TURPO</t>
  </si>
  <si>
    <t>ANTABAMBA</t>
  </si>
  <si>
    <t>EL ORO</t>
  </si>
  <si>
    <t>HUAQUIRCA</t>
  </si>
  <si>
    <t>OROPESA</t>
  </si>
  <si>
    <t>PACHACONAS</t>
  </si>
  <si>
    <t>SABAINO</t>
  </si>
  <si>
    <t>AYMARAES</t>
  </si>
  <si>
    <t>CAPAYA</t>
  </si>
  <si>
    <t>CARAYBAMBA</t>
  </si>
  <si>
    <t>CHALHUANCA</t>
  </si>
  <si>
    <t>CHAPIMARCA</t>
  </si>
  <si>
    <t>COTARUSE</t>
  </si>
  <si>
    <t>HUAYLLO</t>
  </si>
  <si>
    <t>JUSTO APU SAHUARAURA</t>
  </si>
  <si>
    <t>LUCRE</t>
  </si>
  <si>
    <t>POCOHUANCA</t>
  </si>
  <si>
    <t>SAN JUAN DE CHACÑA</t>
  </si>
  <si>
    <t>SAÑAYCA</t>
  </si>
  <si>
    <t>SORAYA</t>
  </si>
  <si>
    <t>TAPAIRIHUA</t>
  </si>
  <si>
    <t>TINTAY</t>
  </si>
  <si>
    <t>TORAYA</t>
  </si>
  <si>
    <t>YANACA</t>
  </si>
  <si>
    <t>CHINCHEROS</t>
  </si>
  <si>
    <t>ANCO_HUALLO</t>
  </si>
  <si>
    <t>COCHARCAS</t>
  </si>
  <si>
    <t>EL PORVENIR</t>
  </si>
  <si>
    <t>HUACCANA</t>
  </si>
  <si>
    <t>OCOBAMBA</t>
  </si>
  <si>
    <t>ONGOY</t>
  </si>
  <si>
    <t>RANRACANCHA</t>
  </si>
  <si>
    <t>ROCCHACC</t>
  </si>
  <si>
    <t>URANMARCA</t>
  </si>
  <si>
    <t>COTABAMBAS</t>
  </si>
  <si>
    <t>CHALLHUAHUACHO</t>
  </si>
  <si>
    <t>COYLLURQUI</t>
  </si>
  <si>
    <t>HAQUIRA</t>
  </si>
  <si>
    <t>MARA</t>
  </si>
  <si>
    <t>TAMBOBAMBA</t>
  </si>
  <si>
    <t>GRAU</t>
  </si>
  <si>
    <t>CHUQUIBAMBILLA</t>
  </si>
  <si>
    <t>CURASCO</t>
  </si>
  <si>
    <t>CURPAHUASI</t>
  </si>
  <si>
    <t>GAMARRA</t>
  </si>
  <si>
    <t>HUAYLLATI</t>
  </si>
  <si>
    <t>MAMARA</t>
  </si>
  <si>
    <t>MICAELA BASTIDAS</t>
  </si>
  <si>
    <t>PATAYPAMPA</t>
  </si>
  <si>
    <t>PROGRESO</t>
  </si>
  <si>
    <t>SAN ANTONIO</t>
  </si>
  <si>
    <t>TURPAY</t>
  </si>
  <si>
    <t>VILCABAMBA</t>
  </si>
  <si>
    <t>VIRUNDO</t>
  </si>
  <si>
    <t>AREQUIPA</t>
  </si>
  <si>
    <t>ALTO SELVA ALEGRE</t>
  </si>
  <si>
    <t>CAYMA</t>
  </si>
  <si>
    <t>CERRO COLORADO</t>
  </si>
  <si>
    <t>CHARACATO</t>
  </si>
  <si>
    <t>CHIGUATA</t>
  </si>
  <si>
    <t>JACOBO HUNTER</t>
  </si>
  <si>
    <t>JOSE LUIS BUSTAMANTE Y RIVERO</t>
  </si>
  <si>
    <t>LA JOYA</t>
  </si>
  <si>
    <t>MARIANO MELGAR</t>
  </si>
  <si>
    <t>MIRAFLORES</t>
  </si>
  <si>
    <t>MOLLEBAYA</t>
  </si>
  <si>
    <t>PAUCARPATA</t>
  </si>
  <si>
    <t>POCSI</t>
  </si>
  <si>
    <t>POLOBAYA</t>
  </si>
  <si>
    <t>QUEQUEÑA</t>
  </si>
  <si>
    <t>SABANDIA</t>
  </si>
  <si>
    <t>SACHACA</t>
  </si>
  <si>
    <t>SAN JUAN DE SIGUAS</t>
  </si>
  <si>
    <t>SAN JUAN DE TARUCANI</t>
  </si>
  <si>
    <t>SANTA ISABEL DE SIGUAS</t>
  </si>
  <si>
    <t>SANTA RITA DE SIGUAS</t>
  </si>
  <si>
    <t>SOCABAYA</t>
  </si>
  <si>
    <t>TIABAYA</t>
  </si>
  <si>
    <t>UCHUMAYO</t>
  </si>
  <si>
    <t>VITOR</t>
  </si>
  <si>
    <t>YANAHUARA</t>
  </si>
  <si>
    <t>YARABAMBA</t>
  </si>
  <si>
    <t>YURA</t>
  </si>
  <si>
    <t>CAMANA</t>
  </si>
  <si>
    <t>JOSE MARIA QUIMPER</t>
  </si>
  <si>
    <t>MARIANO NICOLAS VALCARCEL</t>
  </si>
  <si>
    <t>MARISCAL CACERES</t>
  </si>
  <si>
    <t>NICOLAS DE PIEROLA</t>
  </si>
  <si>
    <t>OCOÑA</t>
  </si>
  <si>
    <t>QUILCA</t>
  </si>
  <si>
    <t>SAMUEL PASTOR</t>
  </si>
  <si>
    <t>CARAVELI</t>
  </si>
  <si>
    <t>ACARI</t>
  </si>
  <si>
    <t>ATICO</t>
  </si>
  <si>
    <t>ATIQUIPA</t>
  </si>
  <si>
    <t>BELLA UNION</t>
  </si>
  <si>
    <t>CAHUACHO</t>
  </si>
  <si>
    <t>CHALA</t>
  </si>
  <si>
    <t>CHAPARRA</t>
  </si>
  <si>
    <t>HUANUHUANU</t>
  </si>
  <si>
    <t>JAQUI</t>
  </si>
  <si>
    <t>LOMAS</t>
  </si>
  <si>
    <t>QUICACHA</t>
  </si>
  <si>
    <t>YAUCA</t>
  </si>
  <si>
    <t>CASTILLA</t>
  </si>
  <si>
    <t>ANDAGUA</t>
  </si>
  <si>
    <t>APLAO</t>
  </si>
  <si>
    <t>AYO</t>
  </si>
  <si>
    <t>CHACHAS</t>
  </si>
  <si>
    <t>CHILCAYMARCA</t>
  </si>
  <si>
    <t>CHOCO</t>
  </si>
  <si>
    <t>HUANCARQUI</t>
  </si>
  <si>
    <t>MACHAGUAY</t>
  </si>
  <si>
    <t>ORCOPAMPA</t>
  </si>
  <si>
    <t>PAMPACOLCA</t>
  </si>
  <si>
    <t>TIPAN</t>
  </si>
  <si>
    <t>UÑON</t>
  </si>
  <si>
    <t>URACA</t>
  </si>
  <si>
    <t>VIRACO</t>
  </si>
  <si>
    <t>CAYLLOMA</t>
  </si>
  <si>
    <t>ACHOMA</t>
  </si>
  <si>
    <t>CABANACONDE</t>
  </si>
  <si>
    <t>CALLALLI</t>
  </si>
  <si>
    <t>CHIVAY</t>
  </si>
  <si>
    <t>COPORAQUE</t>
  </si>
  <si>
    <t>HUANCA</t>
  </si>
  <si>
    <t>ICHUPAMPA</t>
  </si>
  <si>
    <t>LARI</t>
  </si>
  <si>
    <t>LLUTA</t>
  </si>
  <si>
    <t>MACA</t>
  </si>
  <si>
    <t>MADRIGAL</t>
  </si>
  <si>
    <t>MAJES</t>
  </si>
  <si>
    <t>SAN ANTONIO DE CHUCA</t>
  </si>
  <si>
    <t>SIBAYO</t>
  </si>
  <si>
    <t>TAPAY</t>
  </si>
  <si>
    <t>TISCO</t>
  </si>
  <si>
    <t>TUTI</t>
  </si>
  <si>
    <t>YANQUE</t>
  </si>
  <si>
    <t>CONDESUYOS</t>
  </si>
  <si>
    <t>ANDARAY</t>
  </si>
  <si>
    <t>CAYARANI</t>
  </si>
  <si>
    <t>CHICHAS</t>
  </si>
  <si>
    <t>IRAY</t>
  </si>
  <si>
    <t>RIO GRANDE</t>
  </si>
  <si>
    <t>SALAMANCA</t>
  </si>
  <si>
    <t>YANAQUIHUA</t>
  </si>
  <si>
    <t>ISLAY</t>
  </si>
  <si>
    <t>COCACHACRA</t>
  </si>
  <si>
    <t>DEAN VALDIVIA</t>
  </si>
  <si>
    <t>MEJIA</t>
  </si>
  <si>
    <t>MOLLENDO</t>
  </si>
  <si>
    <t>PUNTA DE BOMBON</t>
  </si>
  <si>
    <t>LA UNION</t>
  </si>
  <si>
    <t>ALCA</t>
  </si>
  <si>
    <t>CHARCANA</t>
  </si>
  <si>
    <t>COTAHUASI</t>
  </si>
  <si>
    <t>HUAYNACOTAS</t>
  </si>
  <si>
    <t>PAMPAMARCA</t>
  </si>
  <si>
    <t>PUYCA</t>
  </si>
  <si>
    <t>QUECHUALLA</t>
  </si>
  <si>
    <t>SAYLA</t>
  </si>
  <si>
    <t>TAURIA</t>
  </si>
  <si>
    <t>TOMEPAMPA</t>
  </si>
  <si>
    <t>TORO</t>
  </si>
  <si>
    <t>AYACUCHO</t>
  </si>
  <si>
    <t>CANGALLO</t>
  </si>
  <si>
    <t>CHUSCHI</t>
  </si>
  <si>
    <t>LOS MOROCHUCOS</t>
  </si>
  <si>
    <t>MARIA PARADO DE BELLIDO</t>
  </si>
  <si>
    <t>PARAS</t>
  </si>
  <si>
    <t>TOTOS</t>
  </si>
  <si>
    <t>HUAMANGA</t>
  </si>
  <si>
    <t>ACOCRO</t>
  </si>
  <si>
    <t>ACOS VINCHOS</t>
  </si>
  <si>
    <t>ANDRÉS AVELINO CÁCERES DORREGARAY</t>
  </si>
  <si>
    <t>CARMEN ALTO</t>
  </si>
  <si>
    <t>JESUS NAZARENO</t>
  </si>
  <si>
    <t>PACAYCASA</t>
  </si>
  <si>
    <t>QUINUA</t>
  </si>
  <si>
    <t>SAN JOSE DE TICLLAS</t>
  </si>
  <si>
    <t>SANTIAGO DE PISCHA</t>
  </si>
  <si>
    <t>SOCOS</t>
  </si>
  <si>
    <t>TAMBILLO</t>
  </si>
  <si>
    <t>VINCHOS</t>
  </si>
  <si>
    <t>HUANCA SANCOS</t>
  </si>
  <si>
    <t>CARAPO</t>
  </si>
  <si>
    <t>SACSAMARCA</t>
  </si>
  <si>
    <t>SANCOS</t>
  </si>
  <si>
    <t>SANTIAGO DE LUCANAMARCA</t>
  </si>
  <si>
    <t>HUANTA</t>
  </si>
  <si>
    <t>AYAHUANCO</t>
  </si>
  <si>
    <t>CANAYRE</t>
  </si>
  <si>
    <t>CHACA</t>
  </si>
  <si>
    <t>HUAMANGUILLA</t>
  </si>
  <si>
    <t>IGUAIN</t>
  </si>
  <si>
    <t>LLOCHEGUA</t>
  </si>
  <si>
    <t>LURICOCHA</t>
  </si>
  <si>
    <t>PUCACOLPA</t>
  </si>
  <si>
    <t>SANTILLANA</t>
  </si>
  <si>
    <t>SIVIA</t>
  </si>
  <si>
    <t>UCHURACCAY</t>
  </si>
  <si>
    <t>LA MAR</t>
  </si>
  <si>
    <t>ANCHIHUAY</t>
  </si>
  <si>
    <t>ANCO</t>
  </si>
  <si>
    <t>AYNA</t>
  </si>
  <si>
    <t>CHILCAS</t>
  </si>
  <si>
    <t>CHUNGUI</t>
  </si>
  <si>
    <t>LUIS CARRANZA</t>
  </si>
  <si>
    <t>SAMUGARI</t>
  </si>
  <si>
    <t>SAN MIGUEL</t>
  </si>
  <si>
    <t>TAMBO</t>
  </si>
  <si>
    <t>LUCANAS</t>
  </si>
  <si>
    <t>AUCARA</t>
  </si>
  <si>
    <t>CARMEN SALCEDO</t>
  </si>
  <si>
    <t>CHAVIÑA</t>
  </si>
  <si>
    <t>CHIPAO</t>
  </si>
  <si>
    <t>HUAC-HUAS</t>
  </si>
  <si>
    <t>LARAMATE</t>
  </si>
  <si>
    <t>LEONCIO PRADO</t>
  </si>
  <si>
    <t>LLAUTA</t>
  </si>
  <si>
    <t>OCAÑA</t>
  </si>
  <si>
    <t>OTOCA</t>
  </si>
  <si>
    <t>PUQUIO</t>
  </si>
  <si>
    <t>SAISA</t>
  </si>
  <si>
    <t>SAN PEDRO DE PALCO</t>
  </si>
  <si>
    <t>SANTA ANA DE HUAYCAHUACHO</t>
  </si>
  <si>
    <t>SANTA LUCIA</t>
  </si>
  <si>
    <t>PARINACOCHAS</t>
  </si>
  <si>
    <t>CHUMPI</t>
  </si>
  <si>
    <t>CORACORA</t>
  </si>
  <si>
    <t>CORONEL CASTAÑEDA</t>
  </si>
  <si>
    <t>PACAPAUSA</t>
  </si>
  <si>
    <t>PULLO</t>
  </si>
  <si>
    <t>PUYUSCA</t>
  </si>
  <si>
    <t>SAN FRANCISCO DE RAVACAYCO</t>
  </si>
  <si>
    <t>UPAHUACHO</t>
  </si>
  <si>
    <t>PAUCAR DEL SARA SARA</t>
  </si>
  <si>
    <t>COLTA</t>
  </si>
  <si>
    <t>CORCULLA</t>
  </si>
  <si>
    <t>LAMPA</t>
  </si>
  <si>
    <t>MARCABAMBA</t>
  </si>
  <si>
    <t>OYOLO</t>
  </si>
  <si>
    <t>PARARCA</t>
  </si>
  <si>
    <t>PAUSA</t>
  </si>
  <si>
    <t>SAN JAVIER DE ALPABAMBA</t>
  </si>
  <si>
    <t>SAN JOSE DE USHUA</t>
  </si>
  <si>
    <t>SARA SARA</t>
  </si>
  <si>
    <t>SUCRE</t>
  </si>
  <si>
    <t>BELEN</t>
  </si>
  <si>
    <t>CHALCOS</t>
  </si>
  <si>
    <t>CHILCAYOC</t>
  </si>
  <si>
    <t>SAN IGNACIO</t>
  </si>
  <si>
    <t>HUACAÑA</t>
  </si>
  <si>
    <t>MORCOLLA</t>
  </si>
  <si>
    <t>PAICO</t>
  </si>
  <si>
    <t>QUEROBAMBA</t>
  </si>
  <si>
    <t>SAN PEDRO DE LARCAY</t>
  </si>
  <si>
    <t>SAN SALVADOR DE QUIJE</t>
  </si>
  <si>
    <t>SANTIAGO DE PAUCARAY</t>
  </si>
  <si>
    <t>SORAS</t>
  </si>
  <si>
    <t>VICTOR FAJARDO</t>
  </si>
  <si>
    <t>ALCAMENCA</t>
  </si>
  <si>
    <t>APONGO</t>
  </si>
  <si>
    <t>ASQUIPATA</t>
  </si>
  <si>
    <t>CANARIA</t>
  </si>
  <si>
    <t>CAYARA</t>
  </si>
  <si>
    <t>COLCA</t>
  </si>
  <si>
    <t>HUAMANQUIQUIA</t>
  </si>
  <si>
    <t>HUANCAPI</t>
  </si>
  <si>
    <t>HUANCARAYLLA</t>
  </si>
  <si>
    <t>HUAYA</t>
  </si>
  <si>
    <t>SARHUA</t>
  </si>
  <si>
    <t>VILCANCHOS</t>
  </si>
  <si>
    <t>VILCAS HUAMAN</t>
  </si>
  <si>
    <t>ACCOMARCA</t>
  </si>
  <si>
    <t>CARHUANCA</t>
  </si>
  <si>
    <t>CONCEPCION</t>
  </si>
  <si>
    <t>HUAMBALPA</t>
  </si>
  <si>
    <t>SAURAMA</t>
  </si>
  <si>
    <t>VISCHONGO</t>
  </si>
  <si>
    <t>CAJAMARCA</t>
  </si>
  <si>
    <t>CAJABAMBA</t>
  </si>
  <si>
    <t>CACHACHI</t>
  </si>
  <si>
    <t>CONDEBAMBA</t>
  </si>
  <si>
    <t>SITACOCHA</t>
  </si>
  <si>
    <t>CHETILLA</t>
  </si>
  <si>
    <t>COSPAN</t>
  </si>
  <si>
    <t>ENCAÑADA</t>
  </si>
  <si>
    <t>JESUS</t>
  </si>
  <si>
    <t>LLACANORA</t>
  </si>
  <si>
    <t>LOS BAÑOS DEL INCA</t>
  </si>
  <si>
    <t>MATARA</t>
  </si>
  <si>
    <t>NAMORA</t>
  </si>
  <si>
    <t>CELENDIN</t>
  </si>
  <si>
    <t>CHUMUCH</t>
  </si>
  <si>
    <t>CORTEGANA</t>
  </si>
  <si>
    <t>HUASMIN</t>
  </si>
  <si>
    <t>JOSE GALVEZ</t>
  </si>
  <si>
    <t>LA LIBERTAD DE PALLAN</t>
  </si>
  <si>
    <t>MIGUEL IGLESIAS</t>
  </si>
  <si>
    <t>OXAMARCA</t>
  </si>
  <si>
    <t>SOROCHUCO</t>
  </si>
  <si>
    <t>UTCO</t>
  </si>
  <si>
    <t>CHOTA</t>
  </si>
  <si>
    <t>ANGUIA</t>
  </si>
  <si>
    <t>CHADIN</t>
  </si>
  <si>
    <t>CHALAMARCA</t>
  </si>
  <si>
    <t>CHIGUIRIP</t>
  </si>
  <si>
    <t>CHIMBAN</t>
  </si>
  <si>
    <t>CHOROPAMPA</t>
  </si>
  <si>
    <t>CONCHAN</t>
  </si>
  <si>
    <t>HUAMBOS</t>
  </si>
  <si>
    <t>LAJAS</t>
  </si>
  <si>
    <t>MARISCAL RAMON CASTILLA</t>
  </si>
  <si>
    <t>MIRACOSTA</t>
  </si>
  <si>
    <t>PACCHA</t>
  </si>
  <si>
    <t>PION</t>
  </si>
  <si>
    <t>QUEROCOTO</t>
  </si>
  <si>
    <t>SAN JUAN DE LICUPIS</t>
  </si>
  <si>
    <t>TACABAMBA</t>
  </si>
  <si>
    <t>TOCMOCHE</t>
  </si>
  <si>
    <t>CONTUMAZA</t>
  </si>
  <si>
    <t>CHILETE</t>
  </si>
  <si>
    <t>CUPISNIQUE</t>
  </si>
  <si>
    <t>GUZMANGO</t>
  </si>
  <si>
    <t>SANTA CRUZ DE TOLED</t>
  </si>
  <si>
    <t>TANTARICA</t>
  </si>
  <si>
    <t>YONAN</t>
  </si>
  <si>
    <t>CUTERVO</t>
  </si>
  <si>
    <t>CALLAYUC</t>
  </si>
  <si>
    <t>CHOROS</t>
  </si>
  <si>
    <t>CUJILLO</t>
  </si>
  <si>
    <t>LA RAMADA</t>
  </si>
  <si>
    <t>PIMPINGOS</t>
  </si>
  <si>
    <t>QUEROCOTILLO</t>
  </si>
  <si>
    <t>SAN ANDRES DE CUTERVO</t>
  </si>
  <si>
    <t>SAN JUAN DE CUTERVO</t>
  </si>
  <si>
    <t>SAN LUIS DE LUCMA</t>
  </si>
  <si>
    <t>SANTO DOMINGO DE LA CAPILLA</t>
  </si>
  <si>
    <t>SOCOTA</t>
  </si>
  <si>
    <t>TORIBIO CASANOVA</t>
  </si>
  <si>
    <t>HUALGAYOC</t>
  </si>
  <si>
    <t>BAMBAMARCA</t>
  </si>
  <si>
    <t>CHUGUR</t>
  </si>
  <si>
    <t>JAEN</t>
  </si>
  <si>
    <t>BELLAVISTA</t>
  </si>
  <si>
    <t>CHONTALI</t>
  </si>
  <si>
    <t>COLASAY</t>
  </si>
  <si>
    <t>HUABAL</t>
  </si>
  <si>
    <t>LAS PIRIAS</t>
  </si>
  <si>
    <t>POMAHUACA</t>
  </si>
  <si>
    <t>PUCARA</t>
  </si>
  <si>
    <t>SALLIQUE</t>
  </si>
  <si>
    <t>SAN FELIPE</t>
  </si>
  <si>
    <t>SAN JOSE DEL ALTO</t>
  </si>
  <si>
    <t>CHIRINOS</t>
  </si>
  <si>
    <t>HUARANGO</t>
  </si>
  <si>
    <t>LA COIPA</t>
  </si>
  <si>
    <t>NAMBALLE</t>
  </si>
  <si>
    <t>SAN JOSE DE LOURDES</t>
  </si>
  <si>
    <t>TABACONAS</t>
  </si>
  <si>
    <t>CHANCAY</t>
  </si>
  <si>
    <t>EDUARDO VILLANUEVA</t>
  </si>
  <si>
    <t>GREGORIO PITA</t>
  </si>
  <si>
    <t>ICHOCAN</t>
  </si>
  <si>
    <t>JOSE MANUEL QUIROZ</t>
  </si>
  <si>
    <t>JOSE SABOGAL</t>
  </si>
  <si>
    <t>PEDRO GALVEZ</t>
  </si>
  <si>
    <t>BOLIVAR</t>
  </si>
  <si>
    <t>CALQUIS</t>
  </si>
  <si>
    <t>CATILLUC</t>
  </si>
  <si>
    <t>EL PRADO</t>
  </si>
  <si>
    <t>LA FLORIDA</t>
  </si>
  <si>
    <t>LLAPA</t>
  </si>
  <si>
    <t>NANCHOC</t>
  </si>
  <si>
    <t>ALEXANDER VON HUMBOLDT</t>
  </si>
  <si>
    <t>NIEPOS</t>
  </si>
  <si>
    <t>SAN GREGORIO</t>
  </si>
  <si>
    <t>SAN ANDRES</t>
  </si>
  <si>
    <t>SAN SILVESTRE DE COCHAN</t>
  </si>
  <si>
    <t>TONGOD</t>
  </si>
  <si>
    <t>UNION AGUA BLANCA</t>
  </si>
  <si>
    <t>SAN PABLO</t>
  </si>
  <si>
    <t>SAN BERNARDINO</t>
  </si>
  <si>
    <t>TUMBADEN</t>
  </si>
  <si>
    <t>ANDABAMBA</t>
  </si>
  <si>
    <t>CATACHE</t>
  </si>
  <si>
    <t>CHANCAYBAÑOS</t>
  </si>
  <si>
    <t>LA ESPERANZA</t>
  </si>
  <si>
    <t>NINABAMBA</t>
  </si>
  <si>
    <t>PULAN</t>
  </si>
  <si>
    <t>SAUCEPAMPA</t>
  </si>
  <si>
    <t>SEXI</t>
  </si>
  <si>
    <t>UTICYACU</t>
  </si>
  <si>
    <t>YAUYUCAN</t>
  </si>
  <si>
    <t>CALLAO</t>
  </si>
  <si>
    <t>CARMEN DE LA LEGUA REYNOSO</t>
  </si>
  <si>
    <t>LA PERLA</t>
  </si>
  <si>
    <t>LA PUNTA</t>
  </si>
  <si>
    <t>MI PERÚ</t>
  </si>
  <si>
    <t>VENTANILLA</t>
  </si>
  <si>
    <t>CUSCO</t>
  </si>
  <si>
    <t>ACOMAYO</t>
  </si>
  <si>
    <t>ACOPIA</t>
  </si>
  <si>
    <t>ACOS</t>
  </si>
  <si>
    <t>MOSOC LLACTA</t>
  </si>
  <si>
    <t>POMACANCHI</t>
  </si>
  <si>
    <t>RONDOCAN</t>
  </si>
  <si>
    <t>SANGARARA</t>
  </si>
  <si>
    <t>ANCAHUASI</t>
  </si>
  <si>
    <t>CACHIMAYO</t>
  </si>
  <si>
    <t>CHINCHAYPUJIO</t>
  </si>
  <si>
    <t>HUAROCONDO</t>
  </si>
  <si>
    <t>LIMATAMBO</t>
  </si>
  <si>
    <t>MOLLEPATA</t>
  </si>
  <si>
    <t>PUCYURA</t>
  </si>
  <si>
    <t>ZURITE</t>
  </si>
  <si>
    <t>CALCA</t>
  </si>
  <si>
    <t>COYA</t>
  </si>
  <si>
    <t>LAMAY</t>
  </si>
  <si>
    <t>LARES</t>
  </si>
  <si>
    <t>PISAC</t>
  </si>
  <si>
    <t>SAN SALVADOR</t>
  </si>
  <si>
    <t>TARAY</t>
  </si>
  <si>
    <t>YANATILE</t>
  </si>
  <si>
    <t>CANAS</t>
  </si>
  <si>
    <t>CHECCA</t>
  </si>
  <si>
    <t>KUNTURKANKI</t>
  </si>
  <si>
    <t>LANGUI</t>
  </si>
  <si>
    <t>LAYO</t>
  </si>
  <si>
    <t>QUEHUE</t>
  </si>
  <si>
    <t>TUPAC AMARU</t>
  </si>
  <si>
    <t>YANAOCA</t>
  </si>
  <si>
    <t>CANCHIS</t>
  </si>
  <si>
    <t>CHECACUPE</t>
  </si>
  <si>
    <t>COMBAPATA</t>
  </si>
  <si>
    <t>MARANGANI</t>
  </si>
  <si>
    <t>PITUMARCA</t>
  </si>
  <si>
    <t>SICUANI</t>
  </si>
  <si>
    <t>TINTA</t>
  </si>
  <si>
    <t>CHUMBIVILCAS</t>
  </si>
  <si>
    <t>CAPACMARCA</t>
  </si>
  <si>
    <t>CHAMACA</t>
  </si>
  <si>
    <t>COLQUEMARCA</t>
  </si>
  <si>
    <t>LIVITACA</t>
  </si>
  <si>
    <t>LLUSCO</t>
  </si>
  <si>
    <t>QUIÑOTA</t>
  </si>
  <si>
    <t>VELILLE</t>
  </si>
  <si>
    <t>CCORCA</t>
  </si>
  <si>
    <t>POROY</t>
  </si>
  <si>
    <t>SANTIAGO</t>
  </si>
  <si>
    <t>SAYLLA</t>
  </si>
  <si>
    <t>WANCHAQ</t>
  </si>
  <si>
    <t>ESPINAR</t>
  </si>
  <si>
    <t>ALTO PICHIGUA</t>
  </si>
  <si>
    <t>CONDOROMA</t>
  </si>
  <si>
    <t>OCORURO</t>
  </si>
  <si>
    <t>PALLPATA</t>
  </si>
  <si>
    <t>PICHIGUA</t>
  </si>
  <si>
    <t>SUYCKUTAMBO</t>
  </si>
  <si>
    <t>LA CONVENCION</t>
  </si>
  <si>
    <t>ECHARATE</t>
  </si>
  <si>
    <t>HUAYOPATA</t>
  </si>
  <si>
    <t>INKAWASI</t>
  </si>
  <si>
    <t>KIMBIRI</t>
  </si>
  <si>
    <t>MARANURA</t>
  </si>
  <si>
    <t>PICHARI</t>
  </si>
  <si>
    <t>QUELLOUNO</t>
  </si>
  <si>
    <t>SANTA ANA</t>
  </si>
  <si>
    <t>SANTA TERESA</t>
  </si>
  <si>
    <t>VILLA VIRGEN</t>
  </si>
  <si>
    <t>PARURO</t>
  </si>
  <si>
    <t>ACCHA</t>
  </si>
  <si>
    <t>CCAPI</t>
  </si>
  <si>
    <t>COLCHA</t>
  </si>
  <si>
    <t>HUANOQUITE</t>
  </si>
  <si>
    <t>OMACHA</t>
  </si>
  <si>
    <t>PACCARITAMBO</t>
  </si>
  <si>
    <t>PILLPINTO</t>
  </si>
  <si>
    <t>YAURISQUE</t>
  </si>
  <si>
    <t>PAUCARTAMBO</t>
  </si>
  <si>
    <t>CAICAY</t>
  </si>
  <si>
    <t>CHALLABAMBA</t>
  </si>
  <si>
    <t>COLQUEPATA</t>
  </si>
  <si>
    <t>HUANCARANI</t>
  </si>
  <si>
    <t>KOSÑIPATA</t>
  </si>
  <si>
    <t>QUISPICANCHI</t>
  </si>
  <si>
    <t>ANDAHUAYLILLAS</t>
  </si>
  <si>
    <t>CAMANTI</t>
  </si>
  <si>
    <t>CCARHUAYO</t>
  </si>
  <si>
    <t>CCATCA</t>
  </si>
  <si>
    <t>CUSIPATA</t>
  </si>
  <si>
    <t>HUARO</t>
  </si>
  <si>
    <t>MARCAPATA</t>
  </si>
  <si>
    <t>OCONGATE</t>
  </si>
  <si>
    <t>QUIQUIJANA</t>
  </si>
  <si>
    <t>URCOS</t>
  </si>
  <si>
    <t>URUBAMBA</t>
  </si>
  <si>
    <t>CHINCHERO</t>
  </si>
  <si>
    <t>MACHUPICCHU</t>
  </si>
  <si>
    <t>SAN FRANCISCO</t>
  </si>
  <si>
    <t>MARAS</t>
  </si>
  <si>
    <t>OLLANTAYTAMBO</t>
  </si>
  <si>
    <t>YUCAY</t>
  </si>
  <si>
    <t>HUANCAVELICA</t>
  </si>
  <si>
    <t>CAJA</t>
  </si>
  <si>
    <t>MARCAS</t>
  </si>
  <si>
    <t>PAUCARA</t>
  </si>
  <si>
    <t>ROSARIO</t>
  </si>
  <si>
    <t>ANGARAES</t>
  </si>
  <si>
    <t>ANCHONGA</t>
  </si>
  <si>
    <t>CALLANMARCA</t>
  </si>
  <si>
    <t>CCOCHACCASA</t>
  </si>
  <si>
    <t>CHINCHO</t>
  </si>
  <si>
    <t>CONGALLA</t>
  </si>
  <si>
    <t>HUANCA-HUANCA</t>
  </si>
  <si>
    <t>HUAYLLAY GRANDE</t>
  </si>
  <si>
    <t>JULCAMARCA</t>
  </si>
  <si>
    <t>LIRCAY</t>
  </si>
  <si>
    <t>SAN ANTONIO DE ANTAPARCO</t>
  </si>
  <si>
    <t>SANTO TOMAS DE PATA</t>
  </si>
  <si>
    <t>SECCLLA</t>
  </si>
  <si>
    <t>CASTROVIRREYNA</t>
  </si>
  <si>
    <t>ARMA</t>
  </si>
  <si>
    <t>AURAHUA</t>
  </si>
  <si>
    <t>CAPILLAS</t>
  </si>
  <si>
    <t>CHUPAMARCA</t>
  </si>
  <si>
    <t>COCAS</t>
  </si>
  <si>
    <t>HUACHOS</t>
  </si>
  <si>
    <t>HUAMATAMBO</t>
  </si>
  <si>
    <t>MOLLEPAMPA</t>
  </si>
  <si>
    <t>TANTARA</t>
  </si>
  <si>
    <t>TICRAPO</t>
  </si>
  <si>
    <t>CHURCAMPA</t>
  </si>
  <si>
    <t>CHINCHIHUASI</t>
  </si>
  <si>
    <t>COSME</t>
  </si>
  <si>
    <t>EL CARMEN</t>
  </si>
  <si>
    <t>LOCROJA</t>
  </si>
  <si>
    <t>PACHAMARCA</t>
  </si>
  <si>
    <t>PAUCARBAMBA</t>
  </si>
  <si>
    <t>SAN MIGUEL DE MAYOCC</t>
  </si>
  <si>
    <t>SAN PEDRO DE CORIS</t>
  </si>
  <si>
    <t>ACOBAMBILLA</t>
  </si>
  <si>
    <t>ACORIA</t>
  </si>
  <si>
    <t>ASCENSION</t>
  </si>
  <si>
    <t>CONAYCA</t>
  </si>
  <si>
    <t>CUENCA</t>
  </si>
  <si>
    <t>HUACHOCOLPA</t>
  </si>
  <si>
    <t>HUANDO</t>
  </si>
  <si>
    <t>HUAYLLAHUARA</t>
  </si>
  <si>
    <t>IZCUCHACA</t>
  </si>
  <si>
    <t>LARIA</t>
  </si>
  <si>
    <t>MANTA</t>
  </si>
  <si>
    <t>MOYA</t>
  </si>
  <si>
    <t>NUEVO OCCORO</t>
  </si>
  <si>
    <t>PALCA</t>
  </si>
  <si>
    <t>PILCHACA</t>
  </si>
  <si>
    <t>VILCA</t>
  </si>
  <si>
    <t>YAULI</t>
  </si>
  <si>
    <t>HUAYTARA</t>
  </si>
  <si>
    <t>AYAVI</t>
  </si>
  <si>
    <t>CORDOVA</t>
  </si>
  <si>
    <t>HUAYACUNDO ARMA</t>
  </si>
  <si>
    <t>LARAMARCA</t>
  </si>
  <si>
    <t>OCOYO</t>
  </si>
  <si>
    <t>PILPICHACA</t>
  </si>
  <si>
    <t>QUERCO</t>
  </si>
  <si>
    <t>QUITO-ARMA</t>
  </si>
  <si>
    <t>SAN ANTONIO DE CUSICANCHA</t>
  </si>
  <si>
    <t>SAN FRANCISCO DE SANGAYAICO</t>
  </si>
  <si>
    <t>SAN ISIDRO</t>
  </si>
  <si>
    <t>SANTIAGO DE CHOCORVOS</t>
  </si>
  <si>
    <t>SANTIAGO DE QUIRAHUARA</t>
  </si>
  <si>
    <t>SANTO DOMINGO DE CAPILLAS</t>
  </si>
  <si>
    <t>TAYACAJA</t>
  </si>
  <si>
    <t>ACOSTAMBO</t>
  </si>
  <si>
    <t>ACRAQUIA</t>
  </si>
  <si>
    <t>AHUAYCHA</t>
  </si>
  <si>
    <t>ANDAYMARCA</t>
  </si>
  <si>
    <t>DANIEL HERNANDEZ</t>
  </si>
  <si>
    <t>HUARIBAMBA</t>
  </si>
  <si>
    <t>ÑAHUIMPUQUIO</t>
  </si>
  <si>
    <t>PAZOS</t>
  </si>
  <si>
    <t>QUICHUAS</t>
  </si>
  <si>
    <t>QUISHUAR</t>
  </si>
  <si>
    <t>SALCABAMBA</t>
  </si>
  <si>
    <t>SALCAHUASI</t>
  </si>
  <si>
    <t>SAN MARCOS DE ROCCHAC</t>
  </si>
  <si>
    <t>SURCUBAMBA</t>
  </si>
  <si>
    <t>TINTAY PUNCU</t>
  </si>
  <si>
    <t>HUANUCO</t>
  </si>
  <si>
    <t>AMBO</t>
  </si>
  <si>
    <t>CAYNA</t>
  </si>
  <si>
    <t>COLPAS</t>
  </si>
  <si>
    <t>CONCHAMARCA</t>
  </si>
  <si>
    <t>HUACAR</t>
  </si>
  <si>
    <t>TOMAY KICHWA</t>
  </si>
  <si>
    <t>DOS DE MAYO</t>
  </si>
  <si>
    <t>CHUQUIS</t>
  </si>
  <si>
    <t>MARIAS</t>
  </si>
  <si>
    <t>PACHAS</t>
  </si>
  <si>
    <t>QUIVILLA</t>
  </si>
  <si>
    <t>RIPAN</t>
  </si>
  <si>
    <t>SHUNQUI</t>
  </si>
  <si>
    <t>SILLAPATA</t>
  </si>
  <si>
    <t>YANAS</t>
  </si>
  <si>
    <t>HUACAYBAMBA</t>
  </si>
  <si>
    <t>CANCHABAMBA</t>
  </si>
  <si>
    <t>PINRA</t>
  </si>
  <si>
    <t>HUAMALIES</t>
  </si>
  <si>
    <t>ARANCAY</t>
  </si>
  <si>
    <t>CHAVIN DE PARIARCA</t>
  </si>
  <si>
    <t>JACAS GRANDE</t>
  </si>
  <si>
    <t>JIRCAN</t>
  </si>
  <si>
    <t>LLATA</t>
  </si>
  <si>
    <t>MONZON</t>
  </si>
  <si>
    <t>PUNCHAO</t>
  </si>
  <si>
    <t>SAN HILARION</t>
  </si>
  <si>
    <t>PUÑOS</t>
  </si>
  <si>
    <t>SINGA</t>
  </si>
  <si>
    <t>TANTAMAYO</t>
  </si>
  <si>
    <t>AMARILIS</t>
  </si>
  <si>
    <t>CHINCHAO</t>
  </si>
  <si>
    <t>CHURUBAMBA</t>
  </si>
  <si>
    <t>MARGOS</t>
  </si>
  <si>
    <t>PILLCO MARCA</t>
  </si>
  <si>
    <t>QUISQUI (KICHKI)</t>
  </si>
  <si>
    <t>SAN FRANCISCO DE CAYRAN</t>
  </si>
  <si>
    <t>SAN PABLO DE PILLAO</t>
  </si>
  <si>
    <t>SAN PEDRO DE CHAULAN</t>
  </si>
  <si>
    <t>SANTA MARIA DEL VALLE</t>
  </si>
  <si>
    <t>YACUS</t>
  </si>
  <si>
    <t>YARUMAYO</t>
  </si>
  <si>
    <t>LAURICOCHA</t>
  </si>
  <si>
    <t>BAÑOS</t>
  </si>
  <si>
    <t>JIVIA</t>
  </si>
  <si>
    <t>QUEROPALCA</t>
  </si>
  <si>
    <t>RONDOS</t>
  </si>
  <si>
    <t>SAN FRANCISCO DE ASIS</t>
  </si>
  <si>
    <t>SAN MIGUEL DE CAURI</t>
  </si>
  <si>
    <t>CASTILLO GRANDE</t>
  </si>
  <si>
    <t>DANIEL ALOMIA ROBLES</t>
  </si>
  <si>
    <t>HERMILIO VALDIZAN</t>
  </si>
  <si>
    <t>JOSE CRESPO Y CASTILLO</t>
  </si>
  <si>
    <t>LUYANDO</t>
  </si>
  <si>
    <t>MARIANO DAMASO BERAUN</t>
  </si>
  <si>
    <t>PUCAYACU</t>
  </si>
  <si>
    <t>RUPA-RUPA</t>
  </si>
  <si>
    <t>MARAÑON</t>
  </si>
  <si>
    <t>CHOLON</t>
  </si>
  <si>
    <t>HUACRACHUCO</t>
  </si>
  <si>
    <t>LA MORADA</t>
  </si>
  <si>
    <t>SAN JOSE</t>
  </si>
  <si>
    <t>SAN BUENAVENTURA</t>
  </si>
  <si>
    <t>SANTA ROSA DE ALTO YANAJANCA</t>
  </si>
  <si>
    <t>PACHITEA</t>
  </si>
  <si>
    <t>CHAGLLA</t>
  </si>
  <si>
    <t>MOLINO</t>
  </si>
  <si>
    <t>PANAO</t>
  </si>
  <si>
    <t>UMARI</t>
  </si>
  <si>
    <t>PUERTO INCA</t>
  </si>
  <si>
    <t>CODO DEL POZUZO</t>
  </si>
  <si>
    <t>HONORIA</t>
  </si>
  <si>
    <t>TOURNAVISTA</t>
  </si>
  <si>
    <t>YUYAPICHIS</t>
  </si>
  <si>
    <t>YAROWILCA</t>
  </si>
  <si>
    <t>APARICIO POMARES</t>
  </si>
  <si>
    <t>CAHUAC</t>
  </si>
  <si>
    <t>CHACABAMBA</t>
  </si>
  <si>
    <t>CHAVINILLO</t>
  </si>
  <si>
    <t>CHORAS</t>
  </si>
  <si>
    <t>JACAS CHICO</t>
  </si>
  <si>
    <t>OBAS</t>
  </si>
  <si>
    <t>ICA</t>
  </si>
  <si>
    <t>CHINCHA</t>
  </si>
  <si>
    <t>ALTO LARAN</t>
  </si>
  <si>
    <t>CHAVIN</t>
  </si>
  <si>
    <t>CHINCHA ALTA</t>
  </si>
  <si>
    <t>CHINCHA BAJA</t>
  </si>
  <si>
    <t>GROCIO PRADO</t>
  </si>
  <si>
    <t>PUEBLO NUEVO</t>
  </si>
  <si>
    <t>SAN JUAN DE YANAC</t>
  </si>
  <si>
    <t>SAN PEDRO DE HUACARPANA</t>
  </si>
  <si>
    <t>SUNAMPE</t>
  </si>
  <si>
    <t>TAMBO DE MORA</t>
  </si>
  <si>
    <t>LA TINGUIÑA</t>
  </si>
  <si>
    <t>LOS AQUIJES</t>
  </si>
  <si>
    <t>OCUCAJE</t>
  </si>
  <si>
    <t>PACHACUTEC</t>
  </si>
  <si>
    <t>PARCONA</t>
  </si>
  <si>
    <t>SALAS</t>
  </si>
  <si>
    <t>DANIEL ALCIDES CARRION</t>
  </si>
  <si>
    <t>SAN JOSE DE LOS MOLINOS</t>
  </si>
  <si>
    <t>SUBTANJALLA</t>
  </si>
  <si>
    <t>TATE</t>
  </si>
  <si>
    <t>YAUCA DEL ROSARIO</t>
  </si>
  <si>
    <t>NAZCA</t>
  </si>
  <si>
    <t>CHANGUILLO</t>
  </si>
  <si>
    <t>EL INGENIO</t>
  </si>
  <si>
    <t>MARCONA</t>
  </si>
  <si>
    <t>NASCA</t>
  </si>
  <si>
    <t>PALPA</t>
  </si>
  <si>
    <t>LLIPATA</t>
  </si>
  <si>
    <t>SIMON BOLIVAR</t>
  </si>
  <si>
    <t>TIBILLO</t>
  </si>
  <si>
    <t>PISCO</t>
  </si>
  <si>
    <t>HUANCANO</t>
  </si>
  <si>
    <t>HUMAY</t>
  </si>
  <si>
    <t>PARACAS</t>
  </si>
  <si>
    <t>SAN CLEMENTE</t>
  </si>
  <si>
    <t>TUPAC AMARU INCA</t>
  </si>
  <si>
    <t>JUNIN</t>
  </si>
  <si>
    <t>CHANCHAMAYO</t>
  </si>
  <si>
    <t>PERENE</t>
  </si>
  <si>
    <t>PICHANAQUI</t>
  </si>
  <si>
    <t>SAN LUIS DE SHUARO</t>
  </si>
  <si>
    <t>SAN RAMON</t>
  </si>
  <si>
    <t>VITOC</t>
  </si>
  <si>
    <t>CHUPACA</t>
  </si>
  <si>
    <t>AHUAC</t>
  </si>
  <si>
    <t>CHONGOS BAJO</t>
  </si>
  <si>
    <t>HUACHAC</t>
  </si>
  <si>
    <t>HUAMANCACA CHICO</t>
  </si>
  <si>
    <t>SAN JUAN DE ISCOS</t>
  </si>
  <si>
    <t>SAN JUAN DE JARPA</t>
  </si>
  <si>
    <t>TRES DE DICIEMBRE</t>
  </si>
  <si>
    <t>YANACANCHA</t>
  </si>
  <si>
    <t>ANDAMARCA</t>
  </si>
  <si>
    <t>CHAMBARA</t>
  </si>
  <si>
    <t>COMAS</t>
  </si>
  <si>
    <t>HEROINAS TOLEDO</t>
  </si>
  <si>
    <t>MANZANARES</t>
  </si>
  <si>
    <t>MATAHUASI</t>
  </si>
  <si>
    <t>MITO</t>
  </si>
  <si>
    <t>NUEVE DE JULIO</t>
  </si>
  <si>
    <t>ORCOTUNA</t>
  </si>
  <si>
    <t>SAN JOSE DE QUERO</t>
  </si>
  <si>
    <t>SANTA ROSA DE OCOPA</t>
  </si>
  <si>
    <t>HUANCAYO</t>
  </si>
  <si>
    <t>CARHUACALLANGA</t>
  </si>
  <si>
    <t>CHACAPAMPA</t>
  </si>
  <si>
    <t>CHICCHE</t>
  </si>
  <si>
    <t>CHILCA</t>
  </si>
  <si>
    <t>CHONGOS ALTO</t>
  </si>
  <si>
    <t>CHUPURO</t>
  </si>
  <si>
    <t>SAN MATEO</t>
  </si>
  <si>
    <t>CULLHUAS</t>
  </si>
  <si>
    <t>EL TAMBO</t>
  </si>
  <si>
    <t>HUACRAPUQUIO</t>
  </si>
  <si>
    <t>HUALHUAS</t>
  </si>
  <si>
    <t>HUANCAN</t>
  </si>
  <si>
    <t>HUASICANCHA</t>
  </si>
  <si>
    <t>HUAYUCACHI</t>
  </si>
  <si>
    <t>INGENIO</t>
  </si>
  <si>
    <t>PILCOMAYO</t>
  </si>
  <si>
    <t>QUICHUAY</t>
  </si>
  <si>
    <t>QUILCAS</t>
  </si>
  <si>
    <t>SAN JERONIMO DE TUNAN</t>
  </si>
  <si>
    <t>SANTO DOMINGO DE ACOBAMBA</t>
  </si>
  <si>
    <t>SAÑO</t>
  </si>
  <si>
    <t>SAPALLANGA</t>
  </si>
  <si>
    <t>SICAYA</t>
  </si>
  <si>
    <t>VIQUES</t>
  </si>
  <si>
    <t>JAUJA</t>
  </si>
  <si>
    <t>ACOLLA</t>
  </si>
  <si>
    <t>APATA</t>
  </si>
  <si>
    <t>ATAURA</t>
  </si>
  <si>
    <t>CANCHAYLLO</t>
  </si>
  <si>
    <t>CURICACA</t>
  </si>
  <si>
    <t>EL MANTARO</t>
  </si>
  <si>
    <t>HUAMALI</t>
  </si>
  <si>
    <t>HUARIPAMPA</t>
  </si>
  <si>
    <t>HUERTAS</t>
  </si>
  <si>
    <t>JANJAILLO</t>
  </si>
  <si>
    <t>JULCAN</t>
  </si>
  <si>
    <t>LEONOR ORDOÑEZ</t>
  </si>
  <si>
    <t>LLOCLLAPAMPA</t>
  </si>
  <si>
    <t>MARCO</t>
  </si>
  <si>
    <t>MASMA</t>
  </si>
  <si>
    <t>MASMA CHICCHE</t>
  </si>
  <si>
    <t>MOLINOS</t>
  </si>
  <si>
    <t>MONOBAMBA</t>
  </si>
  <si>
    <t>MUQUI</t>
  </si>
  <si>
    <t>MUQUIYAUYO</t>
  </si>
  <si>
    <t>PACA</t>
  </si>
  <si>
    <t>PANCAN</t>
  </si>
  <si>
    <t>PARCO</t>
  </si>
  <si>
    <t>POMACANCHA</t>
  </si>
  <si>
    <t>RICRAN</t>
  </si>
  <si>
    <t>SAN LORENZO</t>
  </si>
  <si>
    <t>SAN PEDRO DE CHUNAN</t>
  </si>
  <si>
    <t>SAUSA</t>
  </si>
  <si>
    <t>SINCOS</t>
  </si>
  <si>
    <t>TUNAN MARCA</t>
  </si>
  <si>
    <t>YAUYOS</t>
  </si>
  <si>
    <t>CARHUAMAYO</t>
  </si>
  <si>
    <t>ONDORES</t>
  </si>
  <si>
    <t>ULCUMAYO</t>
  </si>
  <si>
    <t>SATIPO</t>
  </si>
  <si>
    <t>COVIRIALI</t>
  </si>
  <si>
    <t>LLAYLLA</t>
  </si>
  <si>
    <t>MAZAMARI</t>
  </si>
  <si>
    <t>PAMPA HERMOSA</t>
  </si>
  <si>
    <t>PANGOA</t>
  </si>
  <si>
    <t>RIO NEGRO</t>
  </si>
  <si>
    <t>RIO TAMBO</t>
  </si>
  <si>
    <t>TARMA</t>
  </si>
  <si>
    <t>HUARICOLCA</t>
  </si>
  <si>
    <t>HUASAHUASI</t>
  </si>
  <si>
    <t>PALCAMAYO</t>
  </si>
  <si>
    <t>SAN PEDRO DE CAJAS</t>
  </si>
  <si>
    <t>TAPO</t>
  </si>
  <si>
    <t>CHACAPALPA</t>
  </si>
  <si>
    <t>HUAY-HUAY</t>
  </si>
  <si>
    <t>LA OROYA</t>
  </si>
  <si>
    <t>MARCAPOMACOCHA</t>
  </si>
  <si>
    <t>MOROCOCHA</t>
  </si>
  <si>
    <t>SANTA BARBARA DE CARHUACAYAN</t>
  </si>
  <si>
    <t>SANTA ROSA DE SACCO</t>
  </si>
  <si>
    <t>SUITUCANCHA</t>
  </si>
  <si>
    <t>ASCOPE</t>
  </si>
  <si>
    <t>CASA GRANDE</t>
  </si>
  <si>
    <t>CHICAMA</t>
  </si>
  <si>
    <t>CHOCOPE</t>
  </si>
  <si>
    <t>MAGDALENA DE CAO</t>
  </si>
  <si>
    <t>PAIJAN</t>
  </si>
  <si>
    <t>RAZURI</t>
  </si>
  <si>
    <t>SANTIAGO DE CAO</t>
  </si>
  <si>
    <t>CONDORMARCA</t>
  </si>
  <si>
    <t>LONGOTEA</t>
  </si>
  <si>
    <t>UCHUMARCA</t>
  </si>
  <si>
    <t>UCUNCHA</t>
  </si>
  <si>
    <t>CHEPEN</t>
  </si>
  <si>
    <t>PACANGA</t>
  </si>
  <si>
    <t>GRAN CHIMU</t>
  </si>
  <si>
    <t>CASCAS</t>
  </si>
  <si>
    <t>MARMOT</t>
  </si>
  <si>
    <t>SAYAPULLO</t>
  </si>
  <si>
    <t>CALAMARCA</t>
  </si>
  <si>
    <t>CARABAMBA</t>
  </si>
  <si>
    <t>HUASO</t>
  </si>
  <si>
    <t>OTUZCO</t>
  </si>
  <si>
    <t>AGALLPAMPA</t>
  </si>
  <si>
    <t>CHARAT</t>
  </si>
  <si>
    <t>HUARANCHAL</t>
  </si>
  <si>
    <t>LA CUESTA</t>
  </si>
  <si>
    <t>MACHE</t>
  </si>
  <si>
    <t>PARANDAY</t>
  </si>
  <si>
    <t>SALPO</t>
  </si>
  <si>
    <t>SINSICAP</t>
  </si>
  <si>
    <t>USQUIL</t>
  </si>
  <si>
    <t>PACASMAYO</t>
  </si>
  <si>
    <t>GUADALUPE</t>
  </si>
  <si>
    <t>JEQUETEPEQUE</t>
  </si>
  <si>
    <t>SAN PEDRO DE LLOC</t>
  </si>
  <si>
    <t>PATAZ</t>
  </si>
  <si>
    <t>BULDIBUYO</t>
  </si>
  <si>
    <t>CHILLIA</t>
  </si>
  <si>
    <t>HUANCASPATA</t>
  </si>
  <si>
    <t>HUAYLILLAS</t>
  </si>
  <si>
    <t>HUAYO</t>
  </si>
  <si>
    <t>ONGON</t>
  </si>
  <si>
    <t>PARCOY</t>
  </si>
  <si>
    <t>PIAS</t>
  </si>
  <si>
    <t>SANTIAGO DE CHALLAS</t>
  </si>
  <si>
    <t>TAURIJA</t>
  </si>
  <si>
    <t>TAYABAMBA</t>
  </si>
  <si>
    <t>URPAY</t>
  </si>
  <si>
    <t>SANCHEZ CARRION</t>
  </si>
  <si>
    <t>CHUGAY</t>
  </si>
  <si>
    <t>COCHORCO</t>
  </si>
  <si>
    <t>CURGOS</t>
  </si>
  <si>
    <t>HUAMACHUCO</t>
  </si>
  <si>
    <t>MARCABAL</t>
  </si>
  <si>
    <t>SANAGORAN</t>
  </si>
  <si>
    <t>SARIN</t>
  </si>
  <si>
    <t>SARTIMBAMBA</t>
  </si>
  <si>
    <t>SANTIAGO DE CHUCO</t>
  </si>
  <si>
    <t>ANGASMARCA</t>
  </si>
  <si>
    <t>CACHICADAN</t>
  </si>
  <si>
    <t>MOLLEBAMBA</t>
  </si>
  <si>
    <t>QUIRUVILCA</t>
  </si>
  <si>
    <t>SANTA CRUZ DE CHUCA</t>
  </si>
  <si>
    <t>SITABAMBA</t>
  </si>
  <si>
    <t>TRUJILLO</t>
  </si>
  <si>
    <t>FLORENCIA DE MORA</t>
  </si>
  <si>
    <t>HUANCHACO</t>
  </si>
  <si>
    <t>LAREDO</t>
  </si>
  <si>
    <t>MOCHE</t>
  </si>
  <si>
    <t>POROTO</t>
  </si>
  <si>
    <t>SALAVERRY</t>
  </si>
  <si>
    <t>SIMBAL</t>
  </si>
  <si>
    <t>VICTOR LARCO HERRERA</t>
  </si>
  <si>
    <t>VIRU</t>
  </si>
  <si>
    <t>CHAO</t>
  </si>
  <si>
    <t>GUADALUPITO</t>
  </si>
  <si>
    <t>LAMBAYEQUE</t>
  </si>
  <si>
    <t>CHICLAYO</t>
  </si>
  <si>
    <t>CAYALTI</t>
  </si>
  <si>
    <t>CHONGOYAPE</t>
  </si>
  <si>
    <t>ETEN</t>
  </si>
  <si>
    <t>ETEN PUERTO</t>
  </si>
  <si>
    <t>JOSE LEONARDO ORTIZ</t>
  </si>
  <si>
    <t>LA VICTORIA</t>
  </si>
  <si>
    <t>LAGUNAS</t>
  </si>
  <si>
    <t>MONSEFU</t>
  </si>
  <si>
    <t>NUEVA ARICA</t>
  </si>
  <si>
    <t>OYOTUN</t>
  </si>
  <si>
    <t>PATAPO</t>
  </si>
  <si>
    <t>PICSI</t>
  </si>
  <si>
    <t>PIMENTEL</t>
  </si>
  <si>
    <t>POMALCA</t>
  </si>
  <si>
    <t>PUCALA</t>
  </si>
  <si>
    <t>REQUE</t>
  </si>
  <si>
    <t>SAÑA</t>
  </si>
  <si>
    <t>TUMAN</t>
  </si>
  <si>
    <t>FERREÑAFE</t>
  </si>
  <si>
    <t>CAÑARIS</t>
  </si>
  <si>
    <t>INCAHUASI</t>
  </si>
  <si>
    <t>MANUEL ANTONIO MESONES MURO</t>
  </si>
  <si>
    <t>PITIPO</t>
  </si>
  <si>
    <t>CHOCHOPE</t>
  </si>
  <si>
    <t>ILLIMO</t>
  </si>
  <si>
    <t>JAYANCA</t>
  </si>
  <si>
    <t>MOCHUMI</t>
  </si>
  <si>
    <t>MORROPE</t>
  </si>
  <si>
    <t>MOTUPE</t>
  </si>
  <si>
    <t>OLMOS</t>
  </si>
  <si>
    <t>PACORA</t>
  </si>
  <si>
    <t>TUCUME</t>
  </si>
  <si>
    <t>LIMA</t>
  </si>
  <si>
    <t>BARRANCA</t>
  </si>
  <si>
    <t>PARAMONGA</t>
  </si>
  <si>
    <t>PATIVILCA</t>
  </si>
  <si>
    <t>SUPE</t>
  </si>
  <si>
    <t>SUPE PUERTO</t>
  </si>
  <si>
    <t>CAJATAMBO</t>
  </si>
  <si>
    <t>COPA</t>
  </si>
  <si>
    <t>GORGOR</t>
  </si>
  <si>
    <t>HUANCAPON</t>
  </si>
  <si>
    <t>MANAS</t>
  </si>
  <si>
    <t>CANTA</t>
  </si>
  <si>
    <t>ARAHUAY</t>
  </si>
  <si>
    <t>HUAMANTANGA</t>
  </si>
  <si>
    <t>HUAROS</t>
  </si>
  <si>
    <t>LACHAQUI</t>
  </si>
  <si>
    <t>SANTA ROSA DE QUIVES</t>
  </si>
  <si>
    <t>CAÑETE</t>
  </si>
  <si>
    <t>ASIA</t>
  </si>
  <si>
    <t>CALANGO</t>
  </si>
  <si>
    <t>CERRO AZUL</t>
  </si>
  <si>
    <t>COAYLLO</t>
  </si>
  <si>
    <t>IMPERIAL</t>
  </si>
  <si>
    <t>LUNAHUANA</t>
  </si>
  <si>
    <t>MALA</t>
  </si>
  <si>
    <t>NUEVO IMPERIAL</t>
  </si>
  <si>
    <t>PACARAN</t>
  </si>
  <si>
    <t>QUILMANA</t>
  </si>
  <si>
    <t>SAN VICENTE DE CAÑETE</t>
  </si>
  <si>
    <t>SANTA CRUZ DE FLORES</t>
  </si>
  <si>
    <t>ZUÑIGA</t>
  </si>
  <si>
    <t>HUARAL</t>
  </si>
  <si>
    <t>ATAVILLOS ALTO</t>
  </si>
  <si>
    <t>ATAVILLOS BAJO</t>
  </si>
  <si>
    <t>AUCALLAMA</t>
  </si>
  <si>
    <t>IHUARI</t>
  </si>
  <si>
    <t>LAMPIAN</t>
  </si>
  <si>
    <t>PACARAOS</t>
  </si>
  <si>
    <t>SAN MIGUEL DE ACOS</t>
  </si>
  <si>
    <t>SANTA CRUZ DE ANDAMARCA</t>
  </si>
  <si>
    <t>SUMBILCA</t>
  </si>
  <si>
    <t>VEINTISIETE DE NOVIEMBRE</t>
  </si>
  <si>
    <t>HUAROCHIRI</t>
  </si>
  <si>
    <t>ANTIOQUIA</t>
  </si>
  <si>
    <t>CALLAHUANCA</t>
  </si>
  <si>
    <t>CARAMPOMA</t>
  </si>
  <si>
    <t>CHICLA</t>
  </si>
  <si>
    <t>HUACHUPAMPA</t>
  </si>
  <si>
    <t>HUANZA</t>
  </si>
  <si>
    <t>LAHUAYTAMBO</t>
  </si>
  <si>
    <t>LANGA</t>
  </si>
  <si>
    <t>LARAOS</t>
  </si>
  <si>
    <t>MARIATANA</t>
  </si>
  <si>
    <t>MATUCANA</t>
  </si>
  <si>
    <t>RICARDO PALMA</t>
  </si>
  <si>
    <t>SAN ANDRES DE TUPICOCHA</t>
  </si>
  <si>
    <t>SAN BARTOLOME</t>
  </si>
  <si>
    <t>SAN DAMIAN</t>
  </si>
  <si>
    <t>SAN JUAN DE IRIS</t>
  </si>
  <si>
    <t>SAN JUAN DE TANTARANCHE</t>
  </si>
  <si>
    <t>SAN LORENZO DE QUINTI</t>
  </si>
  <si>
    <t>SAN MATEO DE OTAO</t>
  </si>
  <si>
    <t>SAN PEDRO DE CASTA</t>
  </si>
  <si>
    <t>SAN PEDRO DE HUANCAYRE</t>
  </si>
  <si>
    <t>SANGALLAYA</t>
  </si>
  <si>
    <t>SANTA CRUZ DE COCACHACRA</t>
  </si>
  <si>
    <t>SANTA EULALIA</t>
  </si>
  <si>
    <t>SANTIAGO DE ANCHUCAYA</t>
  </si>
  <si>
    <t>SANTIAGO DE TUNA</t>
  </si>
  <si>
    <t>SANTO DOMINGO DE LOS OLLEROS</t>
  </si>
  <si>
    <t>SURCO</t>
  </si>
  <si>
    <t>HUAURA</t>
  </si>
  <si>
    <t>AMBAR</t>
  </si>
  <si>
    <t>CALETA DE CARQUIN</t>
  </si>
  <si>
    <t>CHECRAS</t>
  </si>
  <si>
    <t>HUACHO</t>
  </si>
  <si>
    <t>HUALMAY</t>
  </si>
  <si>
    <t>PACCHO</t>
  </si>
  <si>
    <t>SANTA LEONOR</t>
  </si>
  <si>
    <t>SANTA MARIA</t>
  </si>
  <si>
    <t>SAYAN</t>
  </si>
  <si>
    <t>VEGUETA</t>
  </si>
  <si>
    <t>ANCON</t>
  </si>
  <si>
    <t>ATE</t>
  </si>
  <si>
    <t>BARRANCO</t>
  </si>
  <si>
    <t>BREÑA</t>
  </si>
  <si>
    <t>CARABAYLLO</t>
  </si>
  <si>
    <t>CHACLACAYO</t>
  </si>
  <si>
    <t>CHORRILLOS</t>
  </si>
  <si>
    <t>CIENEGUILLA</t>
  </si>
  <si>
    <t>EL AGUSTINO</t>
  </si>
  <si>
    <t>JESUS MARIA</t>
  </si>
  <si>
    <t>LA MOLINA</t>
  </si>
  <si>
    <t>LINCE</t>
  </si>
  <si>
    <t>LOS OLIVOS</t>
  </si>
  <si>
    <t>LURIGANCHO</t>
  </si>
  <si>
    <t>LURIN</t>
  </si>
  <si>
    <t>MAGDALENA DEL MAR</t>
  </si>
  <si>
    <t>PACHACAMAC</t>
  </si>
  <si>
    <t>PUCUSANA</t>
  </si>
  <si>
    <t>PUENTE PIEDRA</t>
  </si>
  <si>
    <t>PUNTA HERMOSA</t>
  </si>
  <si>
    <t>PUNTA NEGRA</t>
  </si>
  <si>
    <t>RIMAC</t>
  </si>
  <si>
    <t>SAN BARTOLO</t>
  </si>
  <si>
    <t>SAN BORJA</t>
  </si>
  <si>
    <t>SAN JUAN DE LURIGANCHO</t>
  </si>
  <si>
    <t>SAN JUAN DE MIRAFLORES</t>
  </si>
  <si>
    <t>SAN MARTIN DE PORRES</t>
  </si>
  <si>
    <t>SANTA ANITA</t>
  </si>
  <si>
    <t>SANTA MARIA DEL MAR</t>
  </si>
  <si>
    <t>SANTIAGO DE SURCO</t>
  </si>
  <si>
    <t>SURQUILLO</t>
  </si>
  <si>
    <t>VILLA EL SALVADOR</t>
  </si>
  <si>
    <t>VILLA MARIA DEL TRIUNFO</t>
  </si>
  <si>
    <t>OYON</t>
  </si>
  <si>
    <t>ANDAJES</t>
  </si>
  <si>
    <t>CAUJUL</t>
  </si>
  <si>
    <t>COCHAMARCA</t>
  </si>
  <si>
    <t>NAVAN</t>
  </si>
  <si>
    <t>PACHANGARA</t>
  </si>
  <si>
    <t>ALIS</t>
  </si>
  <si>
    <t>ALLAUCA</t>
  </si>
  <si>
    <t>AYAVIRI</t>
  </si>
  <si>
    <t>AZANGARO</t>
  </si>
  <si>
    <t>CACRA</t>
  </si>
  <si>
    <t>CARANIA</t>
  </si>
  <si>
    <t>CATAHUASI</t>
  </si>
  <si>
    <t>CHOCOS</t>
  </si>
  <si>
    <t>COLONIA</t>
  </si>
  <si>
    <t>HONGOS</t>
  </si>
  <si>
    <t>HUAMPARA</t>
  </si>
  <si>
    <t>HUANCAYA</t>
  </si>
  <si>
    <t>HUANGASCAR</t>
  </si>
  <si>
    <t>HUANTAN</t>
  </si>
  <si>
    <t>HUAÑEC</t>
  </si>
  <si>
    <t>LINCHA</t>
  </si>
  <si>
    <t>MADEAN</t>
  </si>
  <si>
    <t>OMAS</t>
  </si>
  <si>
    <t>PUTINZA</t>
  </si>
  <si>
    <t>QUINCHES</t>
  </si>
  <si>
    <t>QUINOCAY</t>
  </si>
  <si>
    <t>SAN JOAQUIN</t>
  </si>
  <si>
    <t>SAN PEDRO DE PILAS</t>
  </si>
  <si>
    <t>TANTA</t>
  </si>
  <si>
    <t>TAURIPAMPA</t>
  </si>
  <si>
    <t>TOMAS</t>
  </si>
  <si>
    <t>TUPE</t>
  </si>
  <si>
    <t>VIÑAC</t>
  </si>
  <si>
    <t>VITIS</t>
  </si>
  <si>
    <t>LORETO</t>
  </si>
  <si>
    <t>ALTO AMAZONAS</t>
  </si>
  <si>
    <t>BALSAPUERTO</t>
  </si>
  <si>
    <t>JEBEROS</t>
  </si>
  <si>
    <t>TENIENTE CESAR LOPEZ ROJAS</t>
  </si>
  <si>
    <t>YURIMAGUAS</t>
  </si>
  <si>
    <t>DATEM DEL MARAÑON</t>
  </si>
  <si>
    <t>ANDOAS</t>
  </si>
  <si>
    <t>CAHUAPANAS</t>
  </si>
  <si>
    <t>MANSERICHE</t>
  </si>
  <si>
    <t>MORONA</t>
  </si>
  <si>
    <t>PASTAZA</t>
  </si>
  <si>
    <t>NAUTA</t>
  </si>
  <si>
    <t>PARINARI</t>
  </si>
  <si>
    <t>TIGRE</t>
  </si>
  <si>
    <t>TROMPETEROS</t>
  </si>
  <si>
    <t>URARINAS</t>
  </si>
  <si>
    <t>PEBAS</t>
  </si>
  <si>
    <t>YAVARI</t>
  </si>
  <si>
    <t>MAYNAS</t>
  </si>
  <si>
    <t>ALTO NANAY</t>
  </si>
  <si>
    <t>FERNANDO LORES</t>
  </si>
  <si>
    <t>INDIANA</t>
  </si>
  <si>
    <t>IQUITOS</t>
  </si>
  <si>
    <t>LAS AMAZONAS</t>
  </si>
  <si>
    <t>MAZAN</t>
  </si>
  <si>
    <t>NAPO</t>
  </si>
  <si>
    <t>PUNCHANA</t>
  </si>
  <si>
    <t>TORRES CAUSANA</t>
  </si>
  <si>
    <t>PUTUMAYO</t>
  </si>
  <si>
    <t>ROSA PANDURO</t>
  </si>
  <si>
    <t>TENIENTE MANUEL CLAVERO</t>
  </si>
  <si>
    <t>YAGUAS</t>
  </si>
  <si>
    <t>REQUENA</t>
  </si>
  <si>
    <t>ALTO TAPICHE</t>
  </si>
  <si>
    <t>CAPELO</t>
  </si>
  <si>
    <t>EMILIO SAN MARTIN</t>
  </si>
  <si>
    <t>JENARO HERRERA</t>
  </si>
  <si>
    <t>MAQUIA</t>
  </si>
  <si>
    <t>PUINAHUA</t>
  </si>
  <si>
    <t>SAQUENA</t>
  </si>
  <si>
    <t>SOPLIN</t>
  </si>
  <si>
    <t>TAPICHE</t>
  </si>
  <si>
    <t>YAQUERANA</t>
  </si>
  <si>
    <t>UCAYALI</t>
  </si>
  <si>
    <t>CONTAMANA</t>
  </si>
  <si>
    <t>INAHUAYA</t>
  </si>
  <si>
    <t>PADRE MARQUEZ</t>
  </si>
  <si>
    <t>SARAYACU</t>
  </si>
  <si>
    <t>VARGAS GUERRA</t>
  </si>
  <si>
    <t>MADRE DE DIOS</t>
  </si>
  <si>
    <t>MANU</t>
  </si>
  <si>
    <t>FITZCARRALD</t>
  </si>
  <si>
    <t>HUEPETUHE</t>
  </si>
  <si>
    <t>TAHUAMANU</t>
  </si>
  <si>
    <t>IBERIA</t>
  </si>
  <si>
    <t>IÑAPARI</t>
  </si>
  <si>
    <t>TAMBOPATA</t>
  </si>
  <si>
    <t>INAMBARI</t>
  </si>
  <si>
    <t>LABERINTO</t>
  </si>
  <si>
    <t>LAS PIEDRAS</t>
  </si>
  <si>
    <t>MOQUEGUA</t>
  </si>
  <si>
    <t>GENERAL SANCHEZ CERRO</t>
  </si>
  <si>
    <t>CHOJATA</t>
  </si>
  <si>
    <t>COALAQUE</t>
  </si>
  <si>
    <t>ICHUÑA</t>
  </si>
  <si>
    <t>LA CAPILLA</t>
  </si>
  <si>
    <t>LLOQUE</t>
  </si>
  <si>
    <t>MATALAQUE</t>
  </si>
  <si>
    <t>OMATE</t>
  </si>
  <si>
    <t>PUQUINA</t>
  </si>
  <si>
    <t>QUINISTAQUILLAS</t>
  </si>
  <si>
    <t>UBINAS</t>
  </si>
  <si>
    <t>YUNGA</t>
  </si>
  <si>
    <t>ILO</t>
  </si>
  <si>
    <t>EL ALGARROBAL</t>
  </si>
  <si>
    <t>PACOCHA</t>
  </si>
  <si>
    <t>MARISCAL NIETO</t>
  </si>
  <si>
    <t>CARUMAS</t>
  </si>
  <si>
    <t>CUCHUMBAYA</t>
  </si>
  <si>
    <t>SAMEGUA</t>
  </si>
  <si>
    <t>TORATA</t>
  </si>
  <si>
    <t>PASCO</t>
  </si>
  <si>
    <t>CHACAYAN</t>
  </si>
  <si>
    <t>GOYLLARISQUIZGA</t>
  </si>
  <si>
    <t>PAUCAR</t>
  </si>
  <si>
    <t>SAN PEDRO DE PILLAO</t>
  </si>
  <si>
    <t>SANTA ANA DE TUSI</t>
  </si>
  <si>
    <t>TAPUC</t>
  </si>
  <si>
    <t>YANAHUANCA</t>
  </si>
  <si>
    <t>OXAPAMPA</t>
  </si>
  <si>
    <t>CHONTABAMBA</t>
  </si>
  <si>
    <t>CONSTITUCIÓN</t>
  </si>
  <si>
    <t>HUANCABAMBA</t>
  </si>
  <si>
    <t>PALCAZU</t>
  </si>
  <si>
    <t>POZUZO</t>
  </si>
  <si>
    <t>PUERTO BERMUDEZ</t>
  </si>
  <si>
    <t>VILLA RICA</t>
  </si>
  <si>
    <t>CHAUPIMARCA</t>
  </si>
  <si>
    <t>HUACHON</t>
  </si>
  <si>
    <t>HUARIACA</t>
  </si>
  <si>
    <t>HUAYLLAY</t>
  </si>
  <si>
    <t>NINACACA</t>
  </si>
  <si>
    <t>PALLANCHACRA</t>
  </si>
  <si>
    <t>SAN FRANCISCO DE ASIS DE YARUSYACAN</t>
  </si>
  <si>
    <t>TICLACAYAN</t>
  </si>
  <si>
    <t>TINYAHUARCO</t>
  </si>
  <si>
    <t>VICCO</t>
  </si>
  <si>
    <t>PIURA</t>
  </si>
  <si>
    <t>AYABACA</t>
  </si>
  <si>
    <t>FRIAS</t>
  </si>
  <si>
    <t>JILILI</t>
  </si>
  <si>
    <t>MONTERO</t>
  </si>
  <si>
    <t>PACAIPAMPA</t>
  </si>
  <si>
    <t>PAIMAS</t>
  </si>
  <si>
    <t>SAPILLICA</t>
  </si>
  <si>
    <t>SICCHEZ</t>
  </si>
  <si>
    <t>SUYO</t>
  </si>
  <si>
    <t>CANCHAQUE</t>
  </si>
  <si>
    <t>EL CARMEN DE LA FRONTERA</t>
  </si>
  <si>
    <t>HUARMACA</t>
  </si>
  <si>
    <t>LALAQUIZ</t>
  </si>
  <si>
    <t>SAN MIGUEL DE EL FAIQUE</t>
  </si>
  <si>
    <t>SONDOR</t>
  </si>
  <si>
    <t>SONDORILLO</t>
  </si>
  <si>
    <t>MORROPON</t>
  </si>
  <si>
    <t>BUENOS AIRES</t>
  </si>
  <si>
    <t>CHALACO</t>
  </si>
  <si>
    <t>CHULUCANAS</t>
  </si>
  <si>
    <t>LA MATANZA</t>
  </si>
  <si>
    <t>SALITRAL</t>
  </si>
  <si>
    <t>SAN JUAN DE BIGOTE</t>
  </si>
  <si>
    <t>SANTA CATALINA DE MOSSA</t>
  </si>
  <si>
    <t>YAMANGO</t>
  </si>
  <si>
    <t>PAITA</t>
  </si>
  <si>
    <t>AMOTAPE</t>
  </si>
  <si>
    <t>ARENAL</t>
  </si>
  <si>
    <t>COLAN</t>
  </si>
  <si>
    <t>LA HUACA</t>
  </si>
  <si>
    <t>TAMARINDO</t>
  </si>
  <si>
    <t>VICHAYAL</t>
  </si>
  <si>
    <t>CATACAOS</t>
  </si>
  <si>
    <t>CURA MORI</t>
  </si>
  <si>
    <t>EL TALLÁN</t>
  </si>
  <si>
    <t>LA ARENA</t>
  </si>
  <si>
    <t>LAS LOMAS</t>
  </si>
  <si>
    <t>TAMBO GRANDE</t>
  </si>
  <si>
    <t>VEINTISÉIS DE OCTUBRE</t>
  </si>
  <si>
    <t>SECHURA</t>
  </si>
  <si>
    <t>BELLAVISTA DE LA UNION</t>
  </si>
  <si>
    <t>BERNAL</t>
  </si>
  <si>
    <t>CRISTO NOS VALGA</t>
  </si>
  <si>
    <t>RINCONADA LLICUAR</t>
  </si>
  <si>
    <t>VICE</t>
  </si>
  <si>
    <t>SULLANA</t>
  </si>
  <si>
    <t>IGNACIO ESCUDERO</t>
  </si>
  <si>
    <t>LANCONES</t>
  </si>
  <si>
    <t>MARCAVELICA</t>
  </si>
  <si>
    <t>MIGUEL CHECA</t>
  </si>
  <si>
    <t>QUERECOTILLO</t>
  </si>
  <si>
    <t>TALARA</t>
  </si>
  <si>
    <t>EL ALTO</t>
  </si>
  <si>
    <t>LA BREA</t>
  </si>
  <si>
    <t>LOBITOS</t>
  </si>
  <si>
    <t>LOS ORGANOS</t>
  </si>
  <si>
    <t>MANCORA</t>
  </si>
  <si>
    <t>PARIÑAS</t>
  </si>
  <si>
    <t>PUNO</t>
  </si>
  <si>
    <t>ACHAYA</t>
  </si>
  <si>
    <t>ARAPA</t>
  </si>
  <si>
    <t>ASILLO</t>
  </si>
  <si>
    <t>CAMINACA</t>
  </si>
  <si>
    <t>CHUPA</t>
  </si>
  <si>
    <t>JOSE DOMINGO CHOQUEHUANCA</t>
  </si>
  <si>
    <t>MUÑANI</t>
  </si>
  <si>
    <t>POTONI</t>
  </si>
  <si>
    <t>SAMAN</t>
  </si>
  <si>
    <t>SAN ANTON</t>
  </si>
  <si>
    <t>SAN JUAN DE SALINAS</t>
  </si>
  <si>
    <t>SANTIAGO DE PUPUJA</t>
  </si>
  <si>
    <t>TIRAPATA</t>
  </si>
  <si>
    <t>CARABAYA</t>
  </si>
  <si>
    <t>AJOYANI</t>
  </si>
  <si>
    <t>AYAPATA</t>
  </si>
  <si>
    <t>COASA</t>
  </si>
  <si>
    <t>CORANI</t>
  </si>
  <si>
    <t>CRUCERO</t>
  </si>
  <si>
    <t>ITUATA</t>
  </si>
  <si>
    <t>MACUSANI</t>
  </si>
  <si>
    <t>OLLACHEA</t>
  </si>
  <si>
    <t>SAN GABAN</t>
  </si>
  <si>
    <t>USICAYOS</t>
  </si>
  <si>
    <t>CHUCUITO</t>
  </si>
  <si>
    <t>DESAGUADERO</t>
  </si>
  <si>
    <t>HUACULLANI</t>
  </si>
  <si>
    <t>JULI</t>
  </si>
  <si>
    <t>KELLUYO</t>
  </si>
  <si>
    <t>PISACOMA</t>
  </si>
  <si>
    <t>POMATA</t>
  </si>
  <si>
    <t>ZEPITA</t>
  </si>
  <si>
    <t>EL COLLAO</t>
  </si>
  <si>
    <t>CAPAZO</t>
  </si>
  <si>
    <t>CONDURIRI</t>
  </si>
  <si>
    <t>ILAVE</t>
  </si>
  <si>
    <t>PILCUYO</t>
  </si>
  <si>
    <t>HUANCANE</t>
  </si>
  <si>
    <t>COJATA</t>
  </si>
  <si>
    <t>HUATASANI</t>
  </si>
  <si>
    <t>INCHUPALLA</t>
  </si>
  <si>
    <t>PUSI</t>
  </si>
  <si>
    <t>ROSASPATA</t>
  </si>
  <si>
    <t>TARACO</t>
  </si>
  <si>
    <t>VILQUE CHICO</t>
  </si>
  <si>
    <t>CABANILLA</t>
  </si>
  <si>
    <t>CALAPUJA</t>
  </si>
  <si>
    <t>NICASIO</t>
  </si>
  <si>
    <t>OCUVIRI</t>
  </si>
  <si>
    <t>PARATIA</t>
  </si>
  <si>
    <t>VILAVILA</t>
  </si>
  <si>
    <t>MELGAR</t>
  </si>
  <si>
    <t>ANTAUTA</t>
  </si>
  <si>
    <t>CUPI</t>
  </si>
  <si>
    <t>LLALLI</t>
  </si>
  <si>
    <t>MACARI</t>
  </si>
  <si>
    <t>NUÑOA</t>
  </si>
  <si>
    <t>ORURILLO</t>
  </si>
  <si>
    <t>UMACHIRI</t>
  </si>
  <si>
    <t>MOHO</t>
  </si>
  <si>
    <t>CONIMA</t>
  </si>
  <si>
    <t>HUAYRAPATA</t>
  </si>
  <si>
    <t>TILALI</t>
  </si>
  <si>
    <t>ACORA</t>
  </si>
  <si>
    <t>AMANTANI</t>
  </si>
  <si>
    <t>ATUNCOLLA</t>
  </si>
  <si>
    <t>CAPACHICA</t>
  </si>
  <si>
    <t>COATA</t>
  </si>
  <si>
    <t>MAÑAZO</t>
  </si>
  <si>
    <t>PAUCARCOLLA</t>
  </si>
  <si>
    <t>PICHACANI</t>
  </si>
  <si>
    <t>PLATERIA</t>
  </si>
  <si>
    <t>TIQUILLACA</t>
  </si>
  <si>
    <t>VILQUE</t>
  </si>
  <si>
    <t>SAN ANTONIO DE PUTINA</t>
  </si>
  <si>
    <t>ANANEA</t>
  </si>
  <si>
    <t>PEDRO VILCA APAZA</t>
  </si>
  <si>
    <t>PUTINA</t>
  </si>
  <si>
    <t>QUILCAPUNCU</t>
  </si>
  <si>
    <t>SINA</t>
  </si>
  <si>
    <t>SAN ROMAN</t>
  </si>
  <si>
    <t>CABANILLAS</t>
  </si>
  <si>
    <t>CARACOTO</t>
  </si>
  <si>
    <t>JULIACA</t>
  </si>
  <si>
    <t>SANDIA</t>
  </si>
  <si>
    <t>ALTO INAMBARI</t>
  </si>
  <si>
    <t>CUYOCUYO</t>
  </si>
  <si>
    <t>LIMBANI</t>
  </si>
  <si>
    <t>PATAMBUCO</t>
  </si>
  <si>
    <t>PHARA</t>
  </si>
  <si>
    <t>QUIACA</t>
  </si>
  <si>
    <t>SAN JUAN DEL ORO</t>
  </si>
  <si>
    <t>SAN PEDRO DE PUTINA PUNCO</t>
  </si>
  <si>
    <t>YANAHUAYA</t>
  </si>
  <si>
    <t>YUNGUYO</t>
  </si>
  <si>
    <t>ANAPIA</t>
  </si>
  <si>
    <t>COPANI</t>
  </si>
  <si>
    <t>CUTURAPI</t>
  </si>
  <si>
    <t>OLLARAYA</t>
  </si>
  <si>
    <t>TINICACHI</t>
  </si>
  <si>
    <t>UNICACHI</t>
  </si>
  <si>
    <t>SAN MARTIN</t>
  </si>
  <si>
    <t>ALTO BIAVO</t>
  </si>
  <si>
    <t>BAJO BIAVO</t>
  </si>
  <si>
    <t>HUALLAGA</t>
  </si>
  <si>
    <t>EL DORADO</t>
  </si>
  <si>
    <t>AGUA BLANCA</t>
  </si>
  <si>
    <t>SAN JOSE DE SISA</t>
  </si>
  <si>
    <t>SHATOJA</t>
  </si>
  <si>
    <t>ALTO SAPOSOA</t>
  </si>
  <si>
    <t>EL ESLABON</t>
  </si>
  <si>
    <t>PISCOYACU</t>
  </si>
  <si>
    <t>SACANCHE</t>
  </si>
  <si>
    <t>SAPOSOA</t>
  </si>
  <si>
    <t>TINGO DE SAPOSOA</t>
  </si>
  <si>
    <t>LAMAS</t>
  </si>
  <si>
    <t>ALONSO DE ALVARADO</t>
  </si>
  <si>
    <t>BARRANQUITA</t>
  </si>
  <si>
    <t>CAYNARACHI</t>
  </si>
  <si>
    <t>CUÑUMBUQUI</t>
  </si>
  <si>
    <t>PINTO RECODO</t>
  </si>
  <si>
    <t>RUMISAPA</t>
  </si>
  <si>
    <t>SAN ROQUE DE CUMBAZA</t>
  </si>
  <si>
    <t>SHANAO</t>
  </si>
  <si>
    <t>TABALOSOS</t>
  </si>
  <si>
    <t>ZAPATERO</t>
  </si>
  <si>
    <t>CAMPANILLA</t>
  </si>
  <si>
    <t>HUICUNGO</t>
  </si>
  <si>
    <t>JUANJUI</t>
  </si>
  <si>
    <t>PACHIZA</t>
  </si>
  <si>
    <t>PAJARILLO</t>
  </si>
  <si>
    <t>MOYOBAMBA</t>
  </si>
  <si>
    <t>CALZADA</t>
  </si>
  <si>
    <t>HABANA</t>
  </si>
  <si>
    <t>JEPELACIO</t>
  </si>
  <si>
    <t>SORITOR</t>
  </si>
  <si>
    <t>YANTALO</t>
  </si>
  <si>
    <t>PICOTA</t>
  </si>
  <si>
    <t>CASPISAPA</t>
  </si>
  <si>
    <t>PILLUANA</t>
  </si>
  <si>
    <t>PUCACACA</t>
  </si>
  <si>
    <t>SHAMBOYACU</t>
  </si>
  <si>
    <t>TINGO DE PONASA</t>
  </si>
  <si>
    <t>TRES UNIDOS</t>
  </si>
  <si>
    <t>RIOJA</t>
  </si>
  <si>
    <t>AWAJUN</t>
  </si>
  <si>
    <t>ELIAS SOPLIN VARGAS</t>
  </si>
  <si>
    <t>NUEVA CAJAMARCA</t>
  </si>
  <si>
    <t>PARDO MIGUEL</t>
  </si>
  <si>
    <t>POSIC</t>
  </si>
  <si>
    <t>SAN FERNANDO</t>
  </si>
  <si>
    <t>YORONGOS</t>
  </si>
  <si>
    <t>YURACYACU</t>
  </si>
  <si>
    <t>ALBERTO LEVEAU</t>
  </si>
  <si>
    <t>CACATACHI</t>
  </si>
  <si>
    <t>CHAZUTA</t>
  </si>
  <si>
    <t>CHIPURANA</t>
  </si>
  <si>
    <t>HUIMBAYOC</t>
  </si>
  <si>
    <t>JUAN GUERRA</t>
  </si>
  <si>
    <t>LA BANDA DE SHILCAYO</t>
  </si>
  <si>
    <t>MORALES</t>
  </si>
  <si>
    <t>PAPAPLAYA</t>
  </si>
  <si>
    <t>SAUCE</t>
  </si>
  <si>
    <t>SHAPAJA</t>
  </si>
  <si>
    <t>TARAPOTO</t>
  </si>
  <si>
    <t>TOCACHE</t>
  </si>
  <si>
    <t>NUEVO PROGRESO</t>
  </si>
  <si>
    <t>POLVORA</t>
  </si>
  <si>
    <t>SHUNTE</t>
  </si>
  <si>
    <t>UCHIZA</t>
  </si>
  <si>
    <t>TACNA</t>
  </si>
  <si>
    <t>CANDARAVE</t>
  </si>
  <si>
    <t>CAIRANI</t>
  </si>
  <si>
    <t>CAMILACA</t>
  </si>
  <si>
    <t>CURIBAYA</t>
  </si>
  <si>
    <t>HUANUARA</t>
  </si>
  <si>
    <t>QUILAHUANI</t>
  </si>
  <si>
    <t>JORGE BASADRE</t>
  </si>
  <si>
    <t>ILABAYA</t>
  </si>
  <si>
    <t>ITE</t>
  </si>
  <si>
    <t>LOCUMBA</t>
  </si>
  <si>
    <t>ALTO DE LA ALIANZA</t>
  </si>
  <si>
    <t>CALANA</t>
  </si>
  <si>
    <t>CIUDAD NUEVA</t>
  </si>
  <si>
    <t>CORONEL GREGORIO ALBARRACIN LANCHIPA</t>
  </si>
  <si>
    <t>INCLAN</t>
  </si>
  <si>
    <t>LA YARADA LOS PALOS</t>
  </si>
  <si>
    <t>PACHIA</t>
  </si>
  <si>
    <t>POCOLLAY</t>
  </si>
  <si>
    <t>SAMA</t>
  </si>
  <si>
    <t>TARATA</t>
  </si>
  <si>
    <t>ESTIQUE</t>
  </si>
  <si>
    <t>ESTIQUE-PAMPA</t>
  </si>
  <si>
    <t>HEROES ALBARRACIN</t>
  </si>
  <si>
    <t>SITAJARA</t>
  </si>
  <si>
    <t>SUSAPAYA</t>
  </si>
  <si>
    <t>TARUCACHI</t>
  </si>
  <si>
    <t>TICACO</t>
  </si>
  <si>
    <t>TUMBES</t>
  </si>
  <si>
    <t>CONTRALMIRANTE VILLAR</t>
  </si>
  <si>
    <t>CANOAS DE PUNTA SAL</t>
  </si>
  <si>
    <t>CASITAS</t>
  </si>
  <si>
    <t>ZORRITOS</t>
  </si>
  <si>
    <t>CORRALES</t>
  </si>
  <si>
    <t>LA CRUZ</t>
  </si>
  <si>
    <t>PAMPAS DE HOSPITAL</t>
  </si>
  <si>
    <t>SAN JACINTO</t>
  </si>
  <si>
    <t>SAN JUAN DE LA VIRGEN</t>
  </si>
  <si>
    <t>ZARUMILLA</t>
  </si>
  <si>
    <t>AGUAS VERDES</t>
  </si>
  <si>
    <t>MATAPALO</t>
  </si>
  <si>
    <t>PAPAYAL</t>
  </si>
  <si>
    <t>ATALAYA</t>
  </si>
  <si>
    <t>RAYMONDI</t>
  </si>
  <si>
    <t>SEPAHUA</t>
  </si>
  <si>
    <t>TAHUANIA</t>
  </si>
  <si>
    <t>YURUA</t>
  </si>
  <si>
    <t>CORONEL PORTILLO</t>
  </si>
  <si>
    <t>CALLERIA</t>
  </si>
  <si>
    <t>CAMPOVERDE</t>
  </si>
  <si>
    <t>IPARIA</t>
  </si>
  <si>
    <t>MANANTAY</t>
  </si>
  <si>
    <t>MASISEA</t>
  </si>
  <si>
    <t>NUEVA REQUENA</t>
  </si>
  <si>
    <t>YARINACOCHA</t>
  </si>
  <si>
    <t>PADRE ABAD</t>
  </si>
  <si>
    <t>CURIMANA</t>
  </si>
  <si>
    <t>IRAZOLA</t>
  </si>
  <si>
    <t>NESHUYA</t>
  </si>
  <si>
    <t>PURUS</t>
  </si>
  <si>
    <t>Mi Institución Educativa está ubicada en...</t>
  </si>
  <si>
    <t>El departamento de:</t>
  </si>
  <si>
    <t>La provincia de:</t>
  </si>
  <si>
    <t>El distrito de:</t>
  </si>
  <si>
    <t>Ingrese datos según corresponda:</t>
  </si>
  <si>
    <t>Estudiantes</t>
  </si>
  <si>
    <t>Docentes</t>
  </si>
  <si>
    <t>H</t>
  </si>
  <si>
    <t>M</t>
  </si>
  <si>
    <t>Datos adicionales de la Institución Educativa:</t>
  </si>
  <si>
    <t>Público/Privado:</t>
  </si>
  <si>
    <t>Dirección de la Institución Educativa:</t>
  </si>
  <si>
    <t>Todos los datos deben ser llenados y selecionados correctamente.</t>
  </si>
  <si>
    <t>COMPONENTE</t>
  </si>
  <si>
    <t xml:space="preserve">N° de hitos de aplicación del enfoque ambiental incluidos en los procesos de aprendizaje. </t>
  </si>
  <si>
    <t>N° de hitos de aplicación del enfoque ambiental puestos en práctica para la mitigación y adaptación frente al Cambio climático.</t>
  </si>
  <si>
    <t>N° de hitos de aplicación del enfoque ambiental puestos en práctica en el manejo de residuos sólidos.</t>
  </si>
  <si>
    <t>N° de hitos de aplicación del enfoque ambiental puestos en práctica en la promoción de protección de la radiación solar.</t>
  </si>
  <si>
    <t>N° de hitos de aplicación del enfoque ambiental puestos en práctica en la gestión de riesgos de desastres.</t>
  </si>
  <si>
    <t>ACTIVIDAD</t>
  </si>
  <si>
    <t>Actividades ambientales</t>
  </si>
  <si>
    <t>Hitos de aplicación del enfoque ambiental</t>
  </si>
  <si>
    <t>A</t>
  </si>
  <si>
    <t>B</t>
  </si>
  <si>
    <t>C</t>
  </si>
  <si>
    <t>D</t>
  </si>
  <si>
    <t>INDICADOR</t>
  </si>
  <si>
    <t>Indicador</t>
  </si>
  <si>
    <t>Aspectos que la IIEE llegara a este logro, así como dificultades</t>
  </si>
  <si>
    <t>Gestión escolar</t>
  </si>
  <si>
    <t>Educación en ecoeficiencia</t>
  </si>
  <si>
    <t>Gestión del riesgo</t>
  </si>
  <si>
    <t>Educación en salud</t>
  </si>
  <si>
    <t>.</t>
  </si>
  <si>
    <t>Seleccionar</t>
  </si>
  <si>
    <t>CODGEO</t>
  </si>
  <si>
    <t>C010202</t>
  </si>
  <si>
    <t>C010201</t>
  </si>
  <si>
    <t>C010203</t>
  </si>
  <si>
    <t>C010204</t>
  </si>
  <si>
    <t>C010205</t>
  </si>
  <si>
    <t>C010206</t>
  </si>
  <si>
    <t>C010302</t>
  </si>
  <si>
    <t>C010303</t>
  </si>
  <si>
    <t>C010304</t>
  </si>
  <si>
    <t>C010305</t>
  </si>
  <si>
    <t>C010306</t>
  </si>
  <si>
    <t>C010307</t>
  </si>
  <si>
    <t>C010301</t>
  </si>
  <si>
    <t>C010308</t>
  </si>
  <si>
    <t>C010309</t>
  </si>
  <si>
    <t>C010310</t>
  </si>
  <si>
    <t>C010311</t>
  </si>
  <si>
    <t>C010312</t>
  </si>
  <si>
    <t>C010102</t>
  </si>
  <si>
    <t>C010103</t>
  </si>
  <si>
    <t>C010101</t>
  </si>
  <si>
    <t>C010104</t>
  </si>
  <si>
    <t>C010105</t>
  </si>
  <si>
    <t>C010106</t>
  </si>
  <si>
    <t>C010107</t>
  </si>
  <si>
    <t>C010108</t>
  </si>
  <si>
    <t>C010109</t>
  </si>
  <si>
    <t>C010110</t>
  </si>
  <si>
    <t>C010111</t>
  </si>
  <si>
    <t>C010112</t>
  </si>
  <si>
    <t>C010113</t>
  </si>
  <si>
    <t>C010114</t>
  </si>
  <si>
    <t>C010115</t>
  </si>
  <si>
    <t>C010116</t>
  </si>
  <si>
    <t>C010117</t>
  </si>
  <si>
    <t>C010118</t>
  </si>
  <si>
    <t>C010119</t>
  </si>
  <si>
    <t>C010120</t>
  </si>
  <si>
    <t>C010121</t>
  </si>
  <si>
    <t>C010402</t>
  </si>
  <si>
    <t>C010401</t>
  </si>
  <si>
    <t>C010403</t>
  </si>
  <si>
    <t>C010502</t>
  </si>
  <si>
    <t>C010503</t>
  </si>
  <si>
    <t>C010504</t>
  </si>
  <si>
    <t>C010505</t>
  </si>
  <si>
    <t>C010506</t>
  </si>
  <si>
    <t>C010501</t>
  </si>
  <si>
    <t>C010507</t>
  </si>
  <si>
    <t>C010508</t>
  </si>
  <si>
    <t>C010509</t>
  </si>
  <si>
    <t>C010510</t>
  </si>
  <si>
    <t>C010511</t>
  </si>
  <si>
    <t>C010512</t>
  </si>
  <si>
    <t>C010513</t>
  </si>
  <si>
    <t>C010514</t>
  </si>
  <si>
    <t>C010515</t>
  </si>
  <si>
    <t>C010516</t>
  </si>
  <si>
    <t>C010517</t>
  </si>
  <si>
    <t>C010518</t>
  </si>
  <si>
    <t>C010519</t>
  </si>
  <si>
    <t>C010520</t>
  </si>
  <si>
    <t>C010521</t>
  </si>
  <si>
    <t>C010522</t>
  </si>
  <si>
    <t>C010523</t>
  </si>
  <si>
    <t>C010602</t>
  </si>
  <si>
    <t>C010603</t>
  </si>
  <si>
    <t>C010604</t>
  </si>
  <si>
    <t>C010605</t>
  </si>
  <si>
    <t>C010606</t>
  </si>
  <si>
    <t>C010607</t>
  </si>
  <si>
    <t>C010608</t>
  </si>
  <si>
    <t>C010609</t>
  </si>
  <si>
    <t>C010601</t>
  </si>
  <si>
    <t>C010610</t>
  </si>
  <si>
    <t>C010611</t>
  </si>
  <si>
    <t>C010612</t>
  </si>
  <si>
    <t>C010701</t>
  </si>
  <si>
    <t>C010702</t>
  </si>
  <si>
    <t>C010703</t>
  </si>
  <si>
    <t>C010704</t>
  </si>
  <si>
    <t>C010705</t>
  </si>
  <si>
    <t>C010706</t>
  </si>
  <si>
    <t>C010707</t>
  </si>
  <si>
    <t>C020201</t>
  </si>
  <si>
    <t>C020202</t>
  </si>
  <si>
    <t>C020203</t>
  </si>
  <si>
    <t>C020204</t>
  </si>
  <si>
    <t>C020205</t>
  </si>
  <si>
    <t>C020302</t>
  </si>
  <si>
    <t>C020303</t>
  </si>
  <si>
    <t>C020304</t>
  </si>
  <si>
    <t>C020301</t>
  </si>
  <si>
    <t>C020305</t>
  </si>
  <si>
    <t>C020306</t>
  </si>
  <si>
    <t>C020402</t>
  </si>
  <si>
    <t>C020401</t>
  </si>
  <si>
    <t>C020502</t>
  </si>
  <si>
    <t>C020503</t>
  </si>
  <si>
    <t>C020504</t>
  </si>
  <si>
    <t>C020505</t>
  </si>
  <si>
    <t>C020506</t>
  </si>
  <si>
    <t>C020501</t>
  </si>
  <si>
    <t>C020507</t>
  </si>
  <si>
    <t>C020508</t>
  </si>
  <si>
    <t>C020509</t>
  </si>
  <si>
    <t>C020510</t>
  </si>
  <si>
    <t>C020511</t>
  </si>
  <si>
    <t>C020512</t>
  </si>
  <si>
    <t>C020513</t>
  </si>
  <si>
    <t>C020514</t>
  </si>
  <si>
    <t>C020515</t>
  </si>
  <si>
    <t>C020602</t>
  </si>
  <si>
    <t>C020603</t>
  </si>
  <si>
    <t>C020604</t>
  </si>
  <si>
    <t>C020605</t>
  </si>
  <si>
    <t>C020601</t>
  </si>
  <si>
    <t>C020606</t>
  </si>
  <si>
    <t>C020607</t>
  </si>
  <si>
    <t>C020608</t>
  </si>
  <si>
    <t>C020609</t>
  </si>
  <si>
    <t>C020610</t>
  </si>
  <si>
    <t>C020611</t>
  </si>
  <si>
    <t>C020701</t>
  </si>
  <si>
    <t>C020702</t>
  </si>
  <si>
    <t>C020703</t>
  </si>
  <si>
    <t>C020802</t>
  </si>
  <si>
    <t>C020801</t>
  </si>
  <si>
    <t>C020803</t>
  </si>
  <si>
    <t>C020804</t>
  </si>
  <si>
    <t>C020902</t>
  </si>
  <si>
    <t>C020903</t>
  </si>
  <si>
    <t>C020901</t>
  </si>
  <si>
    <t>C020904</t>
  </si>
  <si>
    <t>C020905</t>
  </si>
  <si>
    <t>C020906</t>
  </si>
  <si>
    <t>C020907</t>
  </si>
  <si>
    <t>C020102</t>
  </si>
  <si>
    <t>C020103</t>
  </si>
  <si>
    <t>C020104</t>
  </si>
  <si>
    <t>C020101</t>
  </si>
  <si>
    <t>C020105</t>
  </si>
  <si>
    <t>C020106</t>
  </si>
  <si>
    <t>C020107</t>
  </si>
  <si>
    <t>C020108</t>
  </si>
  <si>
    <t>C020109</t>
  </si>
  <si>
    <t>C020110</t>
  </si>
  <si>
    <t>C020111</t>
  </si>
  <si>
    <t>C020112</t>
  </si>
  <si>
    <t>C021002</t>
  </si>
  <si>
    <t>C021003</t>
  </si>
  <si>
    <t>C021004</t>
  </si>
  <si>
    <t>C021005</t>
  </si>
  <si>
    <t>C021006</t>
  </si>
  <si>
    <t>C021007</t>
  </si>
  <si>
    <t>C021008</t>
  </si>
  <si>
    <t>C021001</t>
  </si>
  <si>
    <t>C021009</t>
  </si>
  <si>
    <t>C021010</t>
  </si>
  <si>
    <t>C021011</t>
  </si>
  <si>
    <t>C021012</t>
  </si>
  <si>
    <t>C021013</t>
  </si>
  <si>
    <t>C021014</t>
  </si>
  <si>
    <t>C021015</t>
  </si>
  <si>
    <t>C021016</t>
  </si>
  <si>
    <t>C021102</t>
  </si>
  <si>
    <t>C021103</t>
  </si>
  <si>
    <t>C021101</t>
  </si>
  <si>
    <t>C021104</t>
  </si>
  <si>
    <t>C021105</t>
  </si>
  <si>
    <t>C021201</t>
  </si>
  <si>
    <t>C021202</t>
  </si>
  <si>
    <t>C021203</t>
  </si>
  <si>
    <t>C021204</t>
  </si>
  <si>
    <t>C021205</t>
  </si>
  <si>
    <t>C021206</t>
  </si>
  <si>
    <t>C021207</t>
  </si>
  <si>
    <t>C021208</t>
  </si>
  <si>
    <t>C021209</t>
  </si>
  <si>
    <t>C021210</t>
  </si>
  <si>
    <t>C021302</t>
  </si>
  <si>
    <t>C021303</t>
  </si>
  <si>
    <t>C021304</t>
  </si>
  <si>
    <t>C021305</t>
  </si>
  <si>
    <t>C021306</t>
  </si>
  <si>
    <t>C021307</t>
  </si>
  <si>
    <t>C021308</t>
  </si>
  <si>
    <t>C021301</t>
  </si>
  <si>
    <t>C021402</t>
  </si>
  <si>
    <t>C021403</t>
  </si>
  <si>
    <t>C021404</t>
  </si>
  <si>
    <t>C021405</t>
  </si>
  <si>
    <t>C021406</t>
  </si>
  <si>
    <t>C021407</t>
  </si>
  <si>
    <t>C021401</t>
  </si>
  <si>
    <t>C021408</t>
  </si>
  <si>
    <t>C021409</t>
  </si>
  <si>
    <t>C021410</t>
  </si>
  <si>
    <t>C021502</t>
  </si>
  <si>
    <t>C021501</t>
  </si>
  <si>
    <t>C021503</t>
  </si>
  <si>
    <t>C021504</t>
  </si>
  <si>
    <t>C021505</t>
  </si>
  <si>
    <t>C021506</t>
  </si>
  <si>
    <t>C021507</t>
  </si>
  <si>
    <t>C021508</t>
  </si>
  <si>
    <t>C021509</t>
  </si>
  <si>
    <t>C021510</t>
  </si>
  <si>
    <t>C021511</t>
  </si>
  <si>
    <t>C021602</t>
  </si>
  <si>
    <t>C021603</t>
  </si>
  <si>
    <t>C021601</t>
  </si>
  <si>
    <t>C021604</t>
  </si>
  <si>
    <t>C021702</t>
  </si>
  <si>
    <t>C021703</t>
  </si>
  <si>
    <t>C021704</t>
  </si>
  <si>
    <t>C021705</t>
  </si>
  <si>
    <t>C021706</t>
  </si>
  <si>
    <t>C021707</t>
  </si>
  <si>
    <t>C021708</t>
  </si>
  <si>
    <t>C021701</t>
  </si>
  <si>
    <t>C021709</t>
  </si>
  <si>
    <t>C021710</t>
  </si>
  <si>
    <t>C021802</t>
  </si>
  <si>
    <t>C021801</t>
  </si>
  <si>
    <t>C021803</t>
  </si>
  <si>
    <t>C021804</t>
  </si>
  <si>
    <t>C021805</t>
  </si>
  <si>
    <t>C021806</t>
  </si>
  <si>
    <t>C021809</t>
  </si>
  <si>
    <t>C021807</t>
  </si>
  <si>
    <t>C021808</t>
  </si>
  <si>
    <t>C021902</t>
  </si>
  <si>
    <t>C021903</t>
  </si>
  <si>
    <t>C021904</t>
  </si>
  <si>
    <t>C021905</t>
  </si>
  <si>
    <t>C021906</t>
  </si>
  <si>
    <t>C021907</t>
  </si>
  <si>
    <t>C021908</t>
  </si>
  <si>
    <t>C021909</t>
  </si>
  <si>
    <t>C021910</t>
  </si>
  <si>
    <t>C021901</t>
  </si>
  <si>
    <t>C022002</t>
  </si>
  <si>
    <t>C022003</t>
  </si>
  <si>
    <t>C022004</t>
  </si>
  <si>
    <t>C022005</t>
  </si>
  <si>
    <t>C022006</t>
  </si>
  <si>
    <t>C022007</t>
  </si>
  <si>
    <t>C022008</t>
  </si>
  <si>
    <t>C022001</t>
  </si>
  <si>
    <t>C030101</t>
  </si>
  <si>
    <t>C030102</t>
  </si>
  <si>
    <t>C030103</t>
  </si>
  <si>
    <t>C030104</t>
  </si>
  <si>
    <t>C030105</t>
  </si>
  <si>
    <t>C030106</t>
  </si>
  <si>
    <t>C030107</t>
  </si>
  <si>
    <t>C030108</t>
  </si>
  <si>
    <t>C030109</t>
  </si>
  <si>
    <t>C030201</t>
  </si>
  <si>
    <t>C030202</t>
  </si>
  <si>
    <t>C030203</t>
  </si>
  <si>
    <t>C030204</t>
  </si>
  <si>
    <t>C030205</t>
  </si>
  <si>
    <t>C030206</t>
  </si>
  <si>
    <t>C030220</t>
  </si>
  <si>
    <t>C030219</t>
  </si>
  <si>
    <t>C030207</t>
  </si>
  <si>
    <t>C030208</t>
  </si>
  <si>
    <t>C030209</t>
  </si>
  <si>
    <t>C030210</t>
  </si>
  <si>
    <t>C030211</t>
  </si>
  <si>
    <t>C030212</t>
  </si>
  <si>
    <t>C030213</t>
  </si>
  <si>
    <t>C030214</t>
  </si>
  <si>
    <t>C030215</t>
  </si>
  <si>
    <t>C030216</t>
  </si>
  <si>
    <t>C030217</t>
  </si>
  <si>
    <t>C030218</t>
  </si>
  <si>
    <t>C030301</t>
  </si>
  <si>
    <t>C030302</t>
  </si>
  <si>
    <t>C030303</t>
  </si>
  <si>
    <t>C030304</t>
  </si>
  <si>
    <t>C030305</t>
  </si>
  <si>
    <t>C030306</t>
  </si>
  <si>
    <t>C030307</t>
  </si>
  <si>
    <t>C030402</t>
  </si>
  <si>
    <t>C030403</t>
  </si>
  <si>
    <t>C030401</t>
  </si>
  <si>
    <t>C030404</t>
  </si>
  <si>
    <t>C030405</t>
  </si>
  <si>
    <t>C030406</t>
  </si>
  <si>
    <t>C030407</t>
  </si>
  <si>
    <t>C030408</t>
  </si>
  <si>
    <t>C030409</t>
  </si>
  <si>
    <t>C030410</t>
  </si>
  <si>
    <t>C030411</t>
  </si>
  <si>
    <t>C030413</t>
  </si>
  <si>
    <t>C030414</t>
  </si>
  <si>
    <t>C030415</t>
  </si>
  <si>
    <t>C030416</t>
  </si>
  <si>
    <t>C030417</t>
  </si>
  <si>
    <t>C030602</t>
  </si>
  <si>
    <t>C030601</t>
  </si>
  <si>
    <t>C030603</t>
  </si>
  <si>
    <t>C030610</t>
  </si>
  <si>
    <t>C030604</t>
  </si>
  <si>
    <t>C030605</t>
  </si>
  <si>
    <t>C030606</t>
  </si>
  <si>
    <t>C030608</t>
  </si>
  <si>
    <t>C030609</t>
  </si>
  <si>
    <t>C030607</t>
  </si>
  <si>
    <t>C030506</t>
  </si>
  <si>
    <t>C030502</t>
  </si>
  <si>
    <t>C030503</t>
  </si>
  <si>
    <t>C030504</t>
  </si>
  <si>
    <t>C030505</t>
  </si>
  <si>
    <t>C030501</t>
  </si>
  <si>
    <t>C030701</t>
  </si>
  <si>
    <t>C030714</t>
  </si>
  <si>
    <t>C030702</t>
  </si>
  <si>
    <t>C030703</t>
  </si>
  <si>
    <t>C030704</t>
  </si>
  <si>
    <t>C030705</t>
  </si>
  <si>
    <t>C030706</t>
  </si>
  <si>
    <t>C030707</t>
  </si>
  <si>
    <t>C030708</t>
  </si>
  <si>
    <t>C030709</t>
  </si>
  <si>
    <t>C030710</t>
  </si>
  <si>
    <t>C030711</t>
  </si>
  <si>
    <t>C030712</t>
  </si>
  <si>
    <t>C030713</t>
  </si>
  <si>
    <t>C040102</t>
  </si>
  <si>
    <t>C040101</t>
  </si>
  <si>
    <t>C040103</t>
  </si>
  <si>
    <t>C040104</t>
  </si>
  <si>
    <t>C040105</t>
  </si>
  <si>
    <t>C040106</t>
  </si>
  <si>
    <t>C040107</t>
  </si>
  <si>
    <t>C040129</t>
  </si>
  <si>
    <t>C040108</t>
  </si>
  <si>
    <t>C040109</t>
  </si>
  <si>
    <t>C040110</t>
  </si>
  <si>
    <t>C040111</t>
  </si>
  <si>
    <t>C040112</t>
  </si>
  <si>
    <t>C040113</t>
  </si>
  <si>
    <t>C040114</t>
  </si>
  <si>
    <t>C040115</t>
  </si>
  <si>
    <t>C040116</t>
  </si>
  <si>
    <t>C040117</t>
  </si>
  <si>
    <t>C040118</t>
  </si>
  <si>
    <t>C040119</t>
  </si>
  <si>
    <t>C040120</t>
  </si>
  <si>
    <t>C040121</t>
  </si>
  <si>
    <t>C040122</t>
  </si>
  <si>
    <t>C040123</t>
  </si>
  <si>
    <t>C040124</t>
  </si>
  <si>
    <t>C040125</t>
  </si>
  <si>
    <t>C040126</t>
  </si>
  <si>
    <t>C040127</t>
  </si>
  <si>
    <t>C040128</t>
  </si>
  <si>
    <t>C040201</t>
  </si>
  <si>
    <t>C040202</t>
  </si>
  <si>
    <t>C040203</t>
  </si>
  <si>
    <t>C040204</t>
  </si>
  <si>
    <t>C040205</t>
  </si>
  <si>
    <t>C040206</t>
  </si>
  <si>
    <t>C040207</t>
  </si>
  <si>
    <t>C040208</t>
  </si>
  <si>
    <t>C040302</t>
  </si>
  <si>
    <t>C040303</t>
  </si>
  <si>
    <t>C040304</t>
  </si>
  <si>
    <t>C040305</t>
  </si>
  <si>
    <t>C040306</t>
  </si>
  <si>
    <t>C040301</t>
  </si>
  <si>
    <t>C040307</t>
  </si>
  <si>
    <t>C040308</t>
  </si>
  <si>
    <t>C040309</t>
  </si>
  <si>
    <t>C040310</t>
  </si>
  <si>
    <t>C040311</t>
  </si>
  <si>
    <t>C040312</t>
  </si>
  <si>
    <t>C040313</t>
  </si>
  <si>
    <t>C040402</t>
  </si>
  <si>
    <t>C040401</t>
  </si>
  <si>
    <t>C040403</t>
  </si>
  <si>
    <t>C040404</t>
  </si>
  <si>
    <t>C040405</t>
  </si>
  <si>
    <t>C040406</t>
  </si>
  <si>
    <t>C040407</t>
  </si>
  <si>
    <t>C040408</t>
  </si>
  <si>
    <t>C040409</t>
  </si>
  <si>
    <t>C040410</t>
  </si>
  <si>
    <t>C040411</t>
  </si>
  <si>
    <t>C040412</t>
  </si>
  <si>
    <t>C040413</t>
  </si>
  <si>
    <t>C040414</t>
  </si>
  <si>
    <t>C040502</t>
  </si>
  <si>
    <t>C040503</t>
  </si>
  <si>
    <t>C040504</t>
  </si>
  <si>
    <t>C040505</t>
  </si>
  <si>
    <t>C040501</t>
  </si>
  <si>
    <t>C040506</t>
  </si>
  <si>
    <t>C040507</t>
  </si>
  <si>
    <t>C040508</t>
  </si>
  <si>
    <t>C040509</t>
  </si>
  <si>
    <t>C040510</t>
  </si>
  <si>
    <t>C040511</t>
  </si>
  <si>
    <t>C040512</t>
  </si>
  <si>
    <t>C040513</t>
  </si>
  <si>
    <t>C040520</t>
  </si>
  <si>
    <t>C040514</t>
  </si>
  <si>
    <t>C040515</t>
  </si>
  <si>
    <t>C040516</t>
  </si>
  <si>
    <t>C040517</t>
  </si>
  <si>
    <t>C040518</t>
  </si>
  <si>
    <t>C040519</t>
  </si>
  <si>
    <t>C040602</t>
  </si>
  <si>
    <t>C040603</t>
  </si>
  <si>
    <t>C040604</t>
  </si>
  <si>
    <t>C040601</t>
  </si>
  <si>
    <t>C040605</t>
  </si>
  <si>
    <t>C040606</t>
  </si>
  <si>
    <t>C040607</t>
  </si>
  <si>
    <t>C040608</t>
  </si>
  <si>
    <t>C040702</t>
  </si>
  <si>
    <t>C040703</t>
  </si>
  <si>
    <t>C040704</t>
  </si>
  <si>
    <t>C040705</t>
  </si>
  <si>
    <t>C040701</t>
  </si>
  <si>
    <t>C040706</t>
  </si>
  <si>
    <t>C040802</t>
  </si>
  <si>
    <t>C040803</t>
  </si>
  <si>
    <t>C040801</t>
  </si>
  <si>
    <t>C040804</t>
  </si>
  <si>
    <t>C040805</t>
  </si>
  <si>
    <t>C040806</t>
  </si>
  <si>
    <t>C040807</t>
  </si>
  <si>
    <t>C040808</t>
  </si>
  <si>
    <t>C040809</t>
  </si>
  <si>
    <t>C040810</t>
  </si>
  <si>
    <t>C040811</t>
  </si>
  <si>
    <t>C050201</t>
  </si>
  <si>
    <t>C050202</t>
  </si>
  <si>
    <t>C050203</t>
  </si>
  <si>
    <t>C050204</t>
  </si>
  <si>
    <t>C050205</t>
  </si>
  <si>
    <t>C050206</t>
  </si>
  <si>
    <t>C050102</t>
  </si>
  <si>
    <t>C050103</t>
  </si>
  <si>
    <t>C050116</t>
  </si>
  <si>
    <t>C050101</t>
  </si>
  <si>
    <t>C050104</t>
  </si>
  <si>
    <t>C050105</t>
  </si>
  <si>
    <t>C050115</t>
  </si>
  <si>
    <t>C050106</t>
  </si>
  <si>
    <t>C050107</t>
  </si>
  <si>
    <t>C050108</t>
  </si>
  <si>
    <t>C050109</t>
  </si>
  <si>
    <t>C050110</t>
  </si>
  <si>
    <t>C050111</t>
  </si>
  <si>
    <t>C050112</t>
  </si>
  <si>
    <t>C050113</t>
  </si>
  <si>
    <t>C050114</t>
  </si>
  <si>
    <t>C050302</t>
  </si>
  <si>
    <t>C050303</t>
  </si>
  <si>
    <t>C050301</t>
  </si>
  <si>
    <t>C050304</t>
  </si>
  <si>
    <t>C050402</t>
  </si>
  <si>
    <t>C050409</t>
  </si>
  <si>
    <t>C050412</t>
  </si>
  <si>
    <t>C050403</t>
  </si>
  <si>
    <t>C050401</t>
  </si>
  <si>
    <t>C050404</t>
  </si>
  <si>
    <t>C050408</t>
  </si>
  <si>
    <t>C050405</t>
  </si>
  <si>
    <t>C050411</t>
  </si>
  <si>
    <t>C050406</t>
  </si>
  <si>
    <t>C050407</t>
  </si>
  <si>
    <t>C050410</t>
  </si>
  <si>
    <t>C050510</t>
  </si>
  <si>
    <t>C050502</t>
  </si>
  <si>
    <t>C050503</t>
  </si>
  <si>
    <t>C050504</t>
  </si>
  <si>
    <t>C050505</t>
  </si>
  <si>
    <t>C050506</t>
  </si>
  <si>
    <t>C050509</t>
  </si>
  <si>
    <t>C050501</t>
  </si>
  <si>
    <t>C050507</t>
  </si>
  <si>
    <t>C050508</t>
  </si>
  <si>
    <t>C050602</t>
  </si>
  <si>
    <t>C050603</t>
  </si>
  <si>
    <t>C050604</t>
  </si>
  <si>
    <t>C050605</t>
  </si>
  <si>
    <t>C050606</t>
  </si>
  <si>
    <t>C050607</t>
  </si>
  <si>
    <t>C050608</t>
  </si>
  <si>
    <t>C050609</t>
  </si>
  <si>
    <t>C050610</t>
  </si>
  <si>
    <t>C050611</t>
  </si>
  <si>
    <t>C050612</t>
  </si>
  <si>
    <t>C050613</t>
  </si>
  <si>
    <t>C050601</t>
  </si>
  <si>
    <t>C050614</t>
  </si>
  <si>
    <t>C050615</t>
  </si>
  <si>
    <t>C050616</t>
  </si>
  <si>
    <t>C050617</t>
  </si>
  <si>
    <t>C050618</t>
  </si>
  <si>
    <t>C050619</t>
  </si>
  <si>
    <t>C050620</t>
  </si>
  <si>
    <t>C050621</t>
  </si>
  <si>
    <t>C050702</t>
  </si>
  <si>
    <t>C050701</t>
  </si>
  <si>
    <t>C050703</t>
  </si>
  <si>
    <t>C050704</t>
  </si>
  <si>
    <t>C050705</t>
  </si>
  <si>
    <t>C050706</t>
  </si>
  <si>
    <t>C050707</t>
  </si>
  <si>
    <t>C050708</t>
  </si>
  <si>
    <t>C050802</t>
  </si>
  <si>
    <t>C050803</t>
  </si>
  <si>
    <t>C050804</t>
  </si>
  <si>
    <t>C050805</t>
  </si>
  <si>
    <t>C050806</t>
  </si>
  <si>
    <t>C050807</t>
  </si>
  <si>
    <t>C050801</t>
  </si>
  <si>
    <t>C050808</t>
  </si>
  <si>
    <t>C050809</t>
  </si>
  <si>
    <t>C050810</t>
  </si>
  <si>
    <t>C050902</t>
  </si>
  <si>
    <t>C050903</t>
  </si>
  <si>
    <t>C050904</t>
  </si>
  <si>
    <t>C050905</t>
  </si>
  <si>
    <t>C050906</t>
  </si>
  <si>
    <t>C050907</t>
  </si>
  <si>
    <t>C050901</t>
  </si>
  <si>
    <t>C050908</t>
  </si>
  <si>
    <t>C050909</t>
  </si>
  <si>
    <t>C050910</t>
  </si>
  <si>
    <t>C050911</t>
  </si>
  <si>
    <t>C051002</t>
  </si>
  <si>
    <t>C051003</t>
  </si>
  <si>
    <t>C051004</t>
  </si>
  <si>
    <t>C051005</t>
  </si>
  <si>
    <t>C051006</t>
  </si>
  <si>
    <t>C051007</t>
  </si>
  <si>
    <t>C051008</t>
  </si>
  <si>
    <t>C051001</t>
  </si>
  <si>
    <t>C051009</t>
  </si>
  <si>
    <t>C051010</t>
  </si>
  <si>
    <t>C051011</t>
  </si>
  <si>
    <t>C051012</t>
  </si>
  <si>
    <t>C051102</t>
  </si>
  <si>
    <t>C051103</t>
  </si>
  <si>
    <t>C051104</t>
  </si>
  <si>
    <t>C051105</t>
  </si>
  <si>
    <t>C051106</t>
  </si>
  <si>
    <t>C051107</t>
  </si>
  <si>
    <t>C051101</t>
  </si>
  <si>
    <t>C051108</t>
  </si>
  <si>
    <t>C060202</t>
  </si>
  <si>
    <t>C060201</t>
  </si>
  <si>
    <t>C060203</t>
  </si>
  <si>
    <t>C060204</t>
  </si>
  <si>
    <t>C060102</t>
  </si>
  <si>
    <t>C060101</t>
  </si>
  <si>
    <t>C060103</t>
  </si>
  <si>
    <t>C060104</t>
  </si>
  <si>
    <t>C060105</t>
  </si>
  <si>
    <t>C060106</t>
  </si>
  <si>
    <t>C060107</t>
  </si>
  <si>
    <t>C060108</t>
  </si>
  <si>
    <t>C060109</t>
  </si>
  <si>
    <t>C060110</t>
  </si>
  <si>
    <t>C060111</t>
  </si>
  <si>
    <t>C060112</t>
  </si>
  <si>
    <t>C060301</t>
  </si>
  <si>
    <t>C060302</t>
  </si>
  <si>
    <t>C060303</t>
  </si>
  <si>
    <t>C060304</t>
  </si>
  <si>
    <t>C060305</t>
  </si>
  <si>
    <t>C060306</t>
  </si>
  <si>
    <t>C060312</t>
  </si>
  <si>
    <t>C060307</t>
  </si>
  <si>
    <t>C060308</t>
  </si>
  <si>
    <t>C060309</t>
  </si>
  <si>
    <t>C060310</t>
  </si>
  <si>
    <t>C060311</t>
  </si>
  <si>
    <t>C060402</t>
  </si>
  <si>
    <t>C060403</t>
  </si>
  <si>
    <t>C060419</t>
  </si>
  <si>
    <t>C060404</t>
  </si>
  <si>
    <t>C060405</t>
  </si>
  <si>
    <t>C060406</t>
  </si>
  <si>
    <t>C060401</t>
  </si>
  <si>
    <t>C060407</t>
  </si>
  <si>
    <t>C060408</t>
  </si>
  <si>
    <t>C060409</t>
  </si>
  <si>
    <t>C060410</t>
  </si>
  <si>
    <t>C060411</t>
  </si>
  <si>
    <t>C060412</t>
  </si>
  <si>
    <t>C060413</t>
  </si>
  <si>
    <t>C060414</t>
  </si>
  <si>
    <t>C060415</t>
  </si>
  <si>
    <t>C060416</t>
  </si>
  <si>
    <t>C060417</t>
  </si>
  <si>
    <t>C060418</t>
  </si>
  <si>
    <t>C060502</t>
  </si>
  <si>
    <t>C060501</t>
  </si>
  <si>
    <t>C060503</t>
  </si>
  <si>
    <t>C060504</t>
  </si>
  <si>
    <t>C060505</t>
  </si>
  <si>
    <t>C060506</t>
  </si>
  <si>
    <t>C060507</t>
  </si>
  <si>
    <t>C060508</t>
  </si>
  <si>
    <t>C060602</t>
  </si>
  <si>
    <t>C060603</t>
  </si>
  <si>
    <t>C060604</t>
  </si>
  <si>
    <t>C060601</t>
  </si>
  <si>
    <t>C060605</t>
  </si>
  <si>
    <t>C060606</t>
  </si>
  <si>
    <t>C060607</t>
  </si>
  <si>
    <t>C060608</t>
  </si>
  <si>
    <t>C060609</t>
  </si>
  <si>
    <t>C060610</t>
  </si>
  <si>
    <t>C060611</t>
  </si>
  <si>
    <t>C060612</t>
  </si>
  <si>
    <t>C060613</t>
  </si>
  <si>
    <t>C060614</t>
  </si>
  <si>
    <t>C060615</t>
  </si>
  <si>
    <t>C060701</t>
  </si>
  <si>
    <t>C060702</t>
  </si>
  <si>
    <t>C060703</t>
  </si>
  <si>
    <t>C060802</t>
  </si>
  <si>
    <t>C060803</t>
  </si>
  <si>
    <t>C060804</t>
  </si>
  <si>
    <t>C060805</t>
  </si>
  <si>
    <t>C060801</t>
  </si>
  <si>
    <t>C060806</t>
  </si>
  <si>
    <t>C060807</t>
  </si>
  <si>
    <t>C060808</t>
  </si>
  <si>
    <t>C060809</t>
  </si>
  <si>
    <t>C060810</t>
  </si>
  <si>
    <t>C060811</t>
  </si>
  <si>
    <t>C060812</t>
  </si>
  <si>
    <t>C060902</t>
  </si>
  <si>
    <t>C060903</t>
  </si>
  <si>
    <t>C060904</t>
  </si>
  <si>
    <t>C060905</t>
  </si>
  <si>
    <t>C060901</t>
  </si>
  <si>
    <t>C060906</t>
  </si>
  <si>
    <t>C060907</t>
  </si>
  <si>
    <t>C061002</t>
  </si>
  <si>
    <t>C061003</t>
  </si>
  <si>
    <t>C061004</t>
  </si>
  <si>
    <t>C061005</t>
  </si>
  <si>
    <t>C061006</t>
  </si>
  <si>
    <t>C061007</t>
  </si>
  <si>
    <t>C061001</t>
  </si>
  <si>
    <t>C061102</t>
  </si>
  <si>
    <t>C061103</t>
  </si>
  <si>
    <t>C061104</t>
  </si>
  <si>
    <t>C061105</t>
  </si>
  <si>
    <t>C061106</t>
  </si>
  <si>
    <t>C061107</t>
  </si>
  <si>
    <t>C061108</t>
  </si>
  <si>
    <t>C061109</t>
  </si>
  <si>
    <t>C061110</t>
  </si>
  <si>
    <t>C061101</t>
  </si>
  <si>
    <t>C061111</t>
  </si>
  <si>
    <t>C061112</t>
  </si>
  <si>
    <t>C061113</t>
  </si>
  <si>
    <t>C061202</t>
  </si>
  <si>
    <t>C061203</t>
  </si>
  <si>
    <t>C061201</t>
  </si>
  <si>
    <t>C061204</t>
  </si>
  <si>
    <t>C061302</t>
  </si>
  <si>
    <t>C061303</t>
  </si>
  <si>
    <t>C061304</t>
  </si>
  <si>
    <t>C061305</t>
  </si>
  <si>
    <t>C061306</t>
  </si>
  <si>
    <t>C061307</t>
  </si>
  <si>
    <t>C061301</t>
  </si>
  <si>
    <t>C061308</t>
  </si>
  <si>
    <t>C061309</t>
  </si>
  <si>
    <t>C061310</t>
  </si>
  <si>
    <t>C061311</t>
  </si>
  <si>
    <t>C070102</t>
  </si>
  <si>
    <t>C070101</t>
  </si>
  <si>
    <t>C070103</t>
  </si>
  <si>
    <t>C070104</t>
  </si>
  <si>
    <t>C070105</t>
  </si>
  <si>
    <t>C070107</t>
  </si>
  <si>
    <t>C070106</t>
  </si>
  <si>
    <t>C080201</t>
  </si>
  <si>
    <t>C080202</t>
  </si>
  <si>
    <t>C080203</t>
  </si>
  <si>
    <t>C080204</t>
  </si>
  <si>
    <t>C080205</t>
  </si>
  <si>
    <t>C080206</t>
  </si>
  <si>
    <t>C080207</t>
  </si>
  <si>
    <t>C080302</t>
  </si>
  <si>
    <t>C080301</t>
  </si>
  <si>
    <t>C080303</t>
  </si>
  <si>
    <t>C080304</t>
  </si>
  <si>
    <t>C080305</t>
  </si>
  <si>
    <t>C080306</t>
  </si>
  <si>
    <t>C080307</t>
  </si>
  <si>
    <t>C080308</t>
  </si>
  <si>
    <t>C080309</t>
  </si>
  <si>
    <t>C080401</t>
  </si>
  <si>
    <t>C080402</t>
  </si>
  <si>
    <t>C080403</t>
  </si>
  <si>
    <t>C080404</t>
  </si>
  <si>
    <t>C080405</t>
  </si>
  <si>
    <t>C080406</t>
  </si>
  <si>
    <t>C080407</t>
  </si>
  <si>
    <t>C080408</t>
  </si>
  <si>
    <t>C080502</t>
  </si>
  <si>
    <t>C080503</t>
  </si>
  <si>
    <t>C080504</t>
  </si>
  <si>
    <t>C080505</t>
  </si>
  <si>
    <t>C080506</t>
  </si>
  <si>
    <t>C080507</t>
  </si>
  <si>
    <t>C080508</t>
  </si>
  <si>
    <t>C080501</t>
  </si>
  <si>
    <t>C080602</t>
  </si>
  <si>
    <t>C080603</t>
  </si>
  <si>
    <t>C080604</t>
  </si>
  <si>
    <t>C080605</t>
  </si>
  <si>
    <t>C080606</t>
  </si>
  <si>
    <t>C080607</t>
  </si>
  <si>
    <t>C080601</t>
  </si>
  <si>
    <t>C080608</t>
  </si>
  <si>
    <t>C080702</t>
  </si>
  <si>
    <t>C080703</t>
  </si>
  <si>
    <t>C080704</t>
  </si>
  <si>
    <t>C080705</t>
  </si>
  <si>
    <t>C080706</t>
  </si>
  <si>
    <t>C080707</t>
  </si>
  <si>
    <t>C080701</t>
  </si>
  <si>
    <t>C080708</t>
  </si>
  <si>
    <t>C080102</t>
  </si>
  <si>
    <t>C080101</t>
  </si>
  <si>
    <t>C080103</t>
  </si>
  <si>
    <t>C080104</t>
  </si>
  <si>
    <t>C080105</t>
  </si>
  <si>
    <t>C080106</t>
  </si>
  <si>
    <t>C080107</t>
  </si>
  <si>
    <t>C080108</t>
  </si>
  <si>
    <t>C080808</t>
  </si>
  <si>
    <t>C080802</t>
  </si>
  <si>
    <t>C080803</t>
  </si>
  <si>
    <t>C080801</t>
  </si>
  <si>
    <t>C080804</t>
  </si>
  <si>
    <t>C080805</t>
  </si>
  <si>
    <t>C080806</t>
  </si>
  <si>
    <t>C080807</t>
  </si>
  <si>
    <t>C080902</t>
  </si>
  <si>
    <t>C080903</t>
  </si>
  <si>
    <t>C080911</t>
  </si>
  <si>
    <t>C080907</t>
  </si>
  <si>
    <t>C080904</t>
  </si>
  <si>
    <t>C080905</t>
  </si>
  <si>
    <t>C080910</t>
  </si>
  <si>
    <t>C080906</t>
  </si>
  <si>
    <t>C080901</t>
  </si>
  <si>
    <t>C080908</t>
  </si>
  <si>
    <t>C080909</t>
  </si>
  <si>
    <t>C080912</t>
  </si>
  <si>
    <t>C081002</t>
  </si>
  <si>
    <t>C081003</t>
  </si>
  <si>
    <t>C081004</t>
  </si>
  <si>
    <t>C081005</t>
  </si>
  <si>
    <t>C081006</t>
  </si>
  <si>
    <t>C081007</t>
  </si>
  <si>
    <t>C081001</t>
  </si>
  <si>
    <t>C081008</t>
  </si>
  <si>
    <t>C081009</t>
  </si>
  <si>
    <t>C081102</t>
  </si>
  <si>
    <t>C081103</t>
  </si>
  <si>
    <t>C081104</t>
  </si>
  <si>
    <t>C081105</t>
  </si>
  <si>
    <t>C081106</t>
  </si>
  <si>
    <t>C081101</t>
  </si>
  <si>
    <t>C081202</t>
  </si>
  <si>
    <t>C081203</t>
  </si>
  <si>
    <t>C081204</t>
  </si>
  <si>
    <t>C081205</t>
  </si>
  <si>
    <t>C081206</t>
  </si>
  <si>
    <t>C081207</t>
  </si>
  <si>
    <t>C081208</t>
  </si>
  <si>
    <t>C081209</t>
  </si>
  <si>
    <t>C081210</t>
  </si>
  <si>
    <t>C081211</t>
  </si>
  <si>
    <t>C081212</t>
  </si>
  <si>
    <t>C081201</t>
  </si>
  <si>
    <t>C081302</t>
  </si>
  <si>
    <t>C081303</t>
  </si>
  <si>
    <t>C081304</t>
  </si>
  <si>
    <t>C081305</t>
  </si>
  <si>
    <t>C081306</t>
  </si>
  <si>
    <t>C081301</t>
  </si>
  <si>
    <t>C081307</t>
  </si>
  <si>
    <t>C090201</t>
  </si>
  <si>
    <t>C090202</t>
  </si>
  <si>
    <t>C090203</t>
  </si>
  <si>
    <t>C090204</t>
  </si>
  <si>
    <t>C090205</t>
  </si>
  <si>
    <t>C090206</t>
  </si>
  <si>
    <t>C090207</t>
  </si>
  <si>
    <t>C090208</t>
  </si>
  <si>
    <t>C090302</t>
  </si>
  <si>
    <t>C090303</t>
  </si>
  <si>
    <t>C090304</t>
  </si>
  <si>
    <t>C090305</t>
  </si>
  <si>
    <t>C090306</t>
  </si>
  <si>
    <t>C090307</t>
  </si>
  <si>
    <t>C090308</t>
  </si>
  <si>
    <t>C090309</t>
  </si>
  <si>
    <t>C090301</t>
  </si>
  <si>
    <t>C090310</t>
  </si>
  <si>
    <t>C090311</t>
  </si>
  <si>
    <t>C090312</t>
  </si>
  <si>
    <t>C090402</t>
  </si>
  <si>
    <t>C090403</t>
  </si>
  <si>
    <t>C090404</t>
  </si>
  <si>
    <t>C090401</t>
  </si>
  <si>
    <t>C090405</t>
  </si>
  <si>
    <t>C090406</t>
  </si>
  <si>
    <t>C090407</t>
  </si>
  <si>
    <t>C090408</t>
  </si>
  <si>
    <t>C090409</t>
  </si>
  <si>
    <t>C090410</t>
  </si>
  <si>
    <t>C090411</t>
  </si>
  <si>
    <t>C090412</t>
  </si>
  <si>
    <t>C090413</t>
  </si>
  <si>
    <t>C090502</t>
  </si>
  <si>
    <t>C090503</t>
  </si>
  <si>
    <t>C090501</t>
  </si>
  <si>
    <t>C090511</t>
  </si>
  <si>
    <t>C090504</t>
  </si>
  <si>
    <t>C090505</t>
  </si>
  <si>
    <t>C090506</t>
  </si>
  <si>
    <t>C090510</t>
  </si>
  <si>
    <t>C090507</t>
  </si>
  <si>
    <t>C090508</t>
  </si>
  <si>
    <t>C090509</t>
  </si>
  <si>
    <t>C090102</t>
  </si>
  <si>
    <t>C090103</t>
  </si>
  <si>
    <t>C090118</t>
  </si>
  <si>
    <t>C090104</t>
  </si>
  <si>
    <t>C090105</t>
  </si>
  <si>
    <t>C090106</t>
  </si>
  <si>
    <t>C090101</t>
  </si>
  <si>
    <t>C090119</t>
  </si>
  <si>
    <t>C090107</t>
  </si>
  <si>
    <t>C090108</t>
  </si>
  <si>
    <t>C090109</t>
  </si>
  <si>
    <t>C090110</t>
  </si>
  <si>
    <t>C090111</t>
  </si>
  <si>
    <t>C090112</t>
  </si>
  <si>
    <t>C090113</t>
  </si>
  <si>
    <t>C090114</t>
  </si>
  <si>
    <t>C090115</t>
  </si>
  <si>
    <t>C090116</t>
  </si>
  <si>
    <t>C090117</t>
  </si>
  <si>
    <t>C090602</t>
  </si>
  <si>
    <t>C090603</t>
  </si>
  <si>
    <t>C090604</t>
  </si>
  <si>
    <t>C090601</t>
  </si>
  <si>
    <t>C090605</t>
  </si>
  <si>
    <t>C090606</t>
  </si>
  <si>
    <t>C090607</t>
  </si>
  <si>
    <t>C090608</t>
  </si>
  <si>
    <t>C090609</t>
  </si>
  <si>
    <t>C090610</t>
  </si>
  <si>
    <t>C090611</t>
  </si>
  <si>
    <t>C090612</t>
  </si>
  <si>
    <t>C090613</t>
  </si>
  <si>
    <t>C090614</t>
  </si>
  <si>
    <t>C090615</t>
  </si>
  <si>
    <t>C090616</t>
  </si>
  <si>
    <t>C090702</t>
  </si>
  <si>
    <t>C090703</t>
  </si>
  <si>
    <t>C090704</t>
  </si>
  <si>
    <t>C090720</t>
  </si>
  <si>
    <t>C090705</t>
  </si>
  <si>
    <t>C090707</t>
  </si>
  <si>
    <t>C090709</t>
  </si>
  <si>
    <t>C090701</t>
  </si>
  <si>
    <t>C090711</t>
  </si>
  <si>
    <t>C090719</t>
  </si>
  <si>
    <t>C090713</t>
  </si>
  <si>
    <t>C090714</t>
  </si>
  <si>
    <t>C090715</t>
  </si>
  <si>
    <t>C090716</t>
  </si>
  <si>
    <t>C090717</t>
  </si>
  <si>
    <t>C090718</t>
  </si>
  <si>
    <t>C100201</t>
  </si>
  <si>
    <t>C100202</t>
  </si>
  <si>
    <t>C100203</t>
  </si>
  <si>
    <t>C100204</t>
  </si>
  <si>
    <t>C100205</t>
  </si>
  <si>
    <t>C100206</t>
  </si>
  <si>
    <t>C100207</t>
  </si>
  <si>
    <t>C100208</t>
  </si>
  <si>
    <t>C100307</t>
  </si>
  <si>
    <t>C100301</t>
  </si>
  <si>
    <t>C100311</t>
  </si>
  <si>
    <t>C100313</t>
  </si>
  <si>
    <t>C100316</t>
  </si>
  <si>
    <t>C100317</t>
  </si>
  <si>
    <t>C100321</t>
  </si>
  <si>
    <t>C100322</t>
  </si>
  <si>
    <t>C100323</t>
  </si>
  <si>
    <t>C100402</t>
  </si>
  <si>
    <t>C100403</t>
  </si>
  <si>
    <t>C100401</t>
  </si>
  <si>
    <t>C100404</t>
  </si>
  <si>
    <t>C100502</t>
  </si>
  <si>
    <t>C100503</t>
  </si>
  <si>
    <t>C100504</t>
  </si>
  <si>
    <t>C100505</t>
  </si>
  <si>
    <t>C100501</t>
  </si>
  <si>
    <t>C100506</t>
  </si>
  <si>
    <t>C100507</t>
  </si>
  <si>
    <t>C100508</t>
  </si>
  <si>
    <t>C100510</t>
  </si>
  <si>
    <t>C100511</t>
  </si>
  <si>
    <t>C100102</t>
  </si>
  <si>
    <t>C100103</t>
  </si>
  <si>
    <t>C100104</t>
  </si>
  <si>
    <t>C100101</t>
  </si>
  <si>
    <t>C100105</t>
  </si>
  <si>
    <t>C100111</t>
  </si>
  <si>
    <t>C100106</t>
  </si>
  <si>
    <t>C100107</t>
  </si>
  <si>
    <t>C100113</t>
  </si>
  <si>
    <t>C100108</t>
  </si>
  <si>
    <t>C100109</t>
  </si>
  <si>
    <t>C100112</t>
  </si>
  <si>
    <t>C100110</t>
  </si>
  <si>
    <t>C101002</t>
  </si>
  <si>
    <t>C101001</t>
  </si>
  <si>
    <t>C101003</t>
  </si>
  <si>
    <t>C101004</t>
  </si>
  <si>
    <t>C101005</t>
  </si>
  <si>
    <t>C101006</t>
  </si>
  <si>
    <t>C101007</t>
  </si>
  <si>
    <t>C100608</t>
  </si>
  <si>
    <t>C100602</t>
  </si>
  <si>
    <t>C100603</t>
  </si>
  <si>
    <t>C100604</t>
  </si>
  <si>
    <t>C100605</t>
  </si>
  <si>
    <t>C100606</t>
  </si>
  <si>
    <t>C100607</t>
  </si>
  <si>
    <t>C100601</t>
  </si>
  <si>
    <t>C100702</t>
  </si>
  <si>
    <t>C100701</t>
  </si>
  <si>
    <t>C100704</t>
  </si>
  <si>
    <t>C100703</t>
  </si>
  <si>
    <t>C100705</t>
  </si>
  <si>
    <t>C100802</t>
  </si>
  <si>
    <t>C100803</t>
  </si>
  <si>
    <t>C100801</t>
  </si>
  <si>
    <t>C100804</t>
  </si>
  <si>
    <t>C100902</t>
  </si>
  <si>
    <t>C100903</t>
  </si>
  <si>
    <t>C100901</t>
  </si>
  <si>
    <t>C100904</t>
  </si>
  <si>
    <t>C100905</t>
  </si>
  <si>
    <t>C101104</t>
  </si>
  <si>
    <t>C101102</t>
  </si>
  <si>
    <t>C101103</t>
  </si>
  <si>
    <t>C101101</t>
  </si>
  <si>
    <t>C101108</t>
  </si>
  <si>
    <t>C101105</t>
  </si>
  <si>
    <t>C101106</t>
  </si>
  <si>
    <t>C101107</t>
  </si>
  <si>
    <t>C110202</t>
  </si>
  <si>
    <t>C110203</t>
  </si>
  <si>
    <t>C110201</t>
  </si>
  <si>
    <t>C110204</t>
  </si>
  <si>
    <t>C110205</t>
  </si>
  <si>
    <t>C110206</t>
  </si>
  <si>
    <t>C110207</t>
  </si>
  <si>
    <t>C110208</t>
  </si>
  <si>
    <t>C110209</t>
  </si>
  <si>
    <t>C110210</t>
  </si>
  <si>
    <t>C110211</t>
  </si>
  <si>
    <t>C110101</t>
  </si>
  <si>
    <t>C110102</t>
  </si>
  <si>
    <t>C110103</t>
  </si>
  <si>
    <t>C110104</t>
  </si>
  <si>
    <t>C110105</t>
  </si>
  <si>
    <t>C110106</t>
  </si>
  <si>
    <t>C110107</t>
  </si>
  <si>
    <t>C110108</t>
  </si>
  <si>
    <t>C110109</t>
  </si>
  <si>
    <t>C110110</t>
  </si>
  <si>
    <t>C110111</t>
  </si>
  <si>
    <t>C110112</t>
  </si>
  <si>
    <t>C110113</t>
  </si>
  <si>
    <t>C110114</t>
  </si>
  <si>
    <t>C110302</t>
  </si>
  <si>
    <t>C110303</t>
  </si>
  <si>
    <t>C110304</t>
  </si>
  <si>
    <t>C110301</t>
  </si>
  <si>
    <t>C110305</t>
  </si>
  <si>
    <t>C110402</t>
  </si>
  <si>
    <t>C110401</t>
  </si>
  <si>
    <t>C110403</t>
  </si>
  <si>
    <t>C110404</t>
  </si>
  <si>
    <t>C110405</t>
  </si>
  <si>
    <t>C110502</t>
  </si>
  <si>
    <t>C110503</t>
  </si>
  <si>
    <t>C110504</t>
  </si>
  <si>
    <t>C110505</t>
  </si>
  <si>
    <t>C110501</t>
  </si>
  <si>
    <t>C110506</t>
  </si>
  <si>
    <t>C110507</t>
  </si>
  <si>
    <t>C110508</t>
  </si>
  <si>
    <t>C120301</t>
  </si>
  <si>
    <t>C120302</t>
  </si>
  <si>
    <t>C120303</t>
  </si>
  <si>
    <t>C120304</t>
  </si>
  <si>
    <t>C120305</t>
  </si>
  <si>
    <t>C120306</t>
  </si>
  <si>
    <t>C120902</t>
  </si>
  <si>
    <t>C120903</t>
  </si>
  <si>
    <t>C120901</t>
  </si>
  <si>
    <t>C120904</t>
  </si>
  <si>
    <t>C120905</t>
  </si>
  <si>
    <t>C120906</t>
  </si>
  <si>
    <t>C120907</t>
  </si>
  <si>
    <t>C120908</t>
  </si>
  <si>
    <t>C120909</t>
  </si>
  <si>
    <t>C120202</t>
  </si>
  <si>
    <t>C120203</t>
  </si>
  <si>
    <t>C120204</t>
  </si>
  <si>
    <t>C120205</t>
  </si>
  <si>
    <t>C120206</t>
  </si>
  <si>
    <t>C120201</t>
  </si>
  <si>
    <t>C120207</t>
  </si>
  <si>
    <t>C120208</t>
  </si>
  <si>
    <t>C120209</t>
  </si>
  <si>
    <t>C120210</t>
  </si>
  <si>
    <t>C120211</t>
  </si>
  <si>
    <t>C120212</t>
  </si>
  <si>
    <t>C120213</t>
  </si>
  <si>
    <t>C120214</t>
  </si>
  <si>
    <t>C120215</t>
  </si>
  <si>
    <t>C120104</t>
  </si>
  <si>
    <t>C120105</t>
  </si>
  <si>
    <t>C120106</t>
  </si>
  <si>
    <t>C120107</t>
  </si>
  <si>
    <t>C120108</t>
  </si>
  <si>
    <t>C120111</t>
  </si>
  <si>
    <t>C120112</t>
  </si>
  <si>
    <t>C120113</t>
  </si>
  <si>
    <t>C120114</t>
  </si>
  <si>
    <t>C120116</t>
  </si>
  <si>
    <t>C120117</t>
  </si>
  <si>
    <t>C120119</t>
  </si>
  <si>
    <t>C120101</t>
  </si>
  <si>
    <t>C120120</t>
  </si>
  <si>
    <t>C120121</t>
  </si>
  <si>
    <t>C120122</t>
  </si>
  <si>
    <t>C120124</t>
  </si>
  <si>
    <t>C120125</t>
  </si>
  <si>
    <t>C120126</t>
  </si>
  <si>
    <t>C120127</t>
  </si>
  <si>
    <t>C120128</t>
  </si>
  <si>
    <t>C120129</t>
  </si>
  <si>
    <t>C120130</t>
  </si>
  <si>
    <t>C120135</t>
  </si>
  <si>
    <t>C120133</t>
  </si>
  <si>
    <t>C120134</t>
  </si>
  <si>
    <t>C120136</t>
  </si>
  <si>
    <t>C120402</t>
  </si>
  <si>
    <t>C120403</t>
  </si>
  <si>
    <t>C120404</t>
  </si>
  <si>
    <t>C120405</t>
  </si>
  <si>
    <t>C120406</t>
  </si>
  <si>
    <t>C120407</t>
  </si>
  <si>
    <t>C120408</t>
  </si>
  <si>
    <t>C120409</t>
  </si>
  <si>
    <t>C120410</t>
  </si>
  <si>
    <t>C120411</t>
  </si>
  <si>
    <t>C120401</t>
  </si>
  <si>
    <t>C120412</t>
  </si>
  <si>
    <t>C120413</t>
  </si>
  <si>
    <t>C120414</t>
  </si>
  <si>
    <t>C120415</t>
  </si>
  <si>
    <t>C120416</t>
  </si>
  <si>
    <t>C120417</t>
  </si>
  <si>
    <t>C120418</t>
  </si>
  <si>
    <t>C120419</t>
  </si>
  <si>
    <t>C120420</t>
  </si>
  <si>
    <t>C120421</t>
  </si>
  <si>
    <t>C120422</t>
  </si>
  <si>
    <t>C120423</t>
  </si>
  <si>
    <t>C120424</t>
  </si>
  <si>
    <t>C120425</t>
  </si>
  <si>
    <t>C120426</t>
  </si>
  <si>
    <t>C120427</t>
  </si>
  <si>
    <t>C120428</t>
  </si>
  <si>
    <t>C120429</t>
  </si>
  <si>
    <t>C120430</t>
  </si>
  <si>
    <t>C120431</t>
  </si>
  <si>
    <t>C120432</t>
  </si>
  <si>
    <t>C120433</t>
  </si>
  <si>
    <t>C120434</t>
  </si>
  <si>
    <t>C120502</t>
  </si>
  <si>
    <t>C120501</t>
  </si>
  <si>
    <t>C120503</t>
  </si>
  <si>
    <t>C120504</t>
  </si>
  <si>
    <t>C120602</t>
  </si>
  <si>
    <t>C120603</t>
  </si>
  <si>
    <t>C120604</t>
  </si>
  <si>
    <t>C120605</t>
  </si>
  <si>
    <t>C120606</t>
  </si>
  <si>
    <t>C120607</t>
  </si>
  <si>
    <t>C120608</t>
  </si>
  <si>
    <t>C120601</t>
  </si>
  <si>
    <t>C120702</t>
  </si>
  <si>
    <t>C120703</t>
  </si>
  <si>
    <t>C120704</t>
  </si>
  <si>
    <t>C120705</t>
  </si>
  <si>
    <t>C120706</t>
  </si>
  <si>
    <t>C120707</t>
  </si>
  <si>
    <t>C120708</t>
  </si>
  <si>
    <t>C120709</t>
  </si>
  <si>
    <t>C120701</t>
  </si>
  <si>
    <t>C120802</t>
  </si>
  <si>
    <t>C120803</t>
  </si>
  <si>
    <t>C120801</t>
  </si>
  <si>
    <t>C120804</t>
  </si>
  <si>
    <t>C120805</t>
  </si>
  <si>
    <t>C120806</t>
  </si>
  <si>
    <t>C120807</t>
  </si>
  <si>
    <t>C120808</t>
  </si>
  <si>
    <t>C120809</t>
  </si>
  <si>
    <t>C120810</t>
  </si>
  <si>
    <t>C130201</t>
  </si>
  <si>
    <t>C130208</t>
  </si>
  <si>
    <t>C130202</t>
  </si>
  <si>
    <t>C130203</t>
  </si>
  <si>
    <t>C130204</t>
  </si>
  <si>
    <t>C130205</t>
  </si>
  <si>
    <t>C130206</t>
  </si>
  <si>
    <t>C130207</t>
  </si>
  <si>
    <t>C130302</t>
  </si>
  <si>
    <t>C130301</t>
  </si>
  <si>
    <t>C130303</t>
  </si>
  <si>
    <t>C130304</t>
  </si>
  <si>
    <t>C130305</t>
  </si>
  <si>
    <t>C130306</t>
  </si>
  <si>
    <t>C130401</t>
  </si>
  <si>
    <t>C130402</t>
  </si>
  <si>
    <t>C130403</t>
  </si>
  <si>
    <t>C131101</t>
  </si>
  <si>
    <t>C131102</t>
  </si>
  <si>
    <t>C131103</t>
  </si>
  <si>
    <t>C131104</t>
  </si>
  <si>
    <t>C130502</t>
  </si>
  <si>
    <t>C130503</t>
  </si>
  <si>
    <t>C130504</t>
  </si>
  <si>
    <t>C130501</t>
  </si>
  <si>
    <t>C130602</t>
  </si>
  <si>
    <t>C130604</t>
  </si>
  <si>
    <t>C130605</t>
  </si>
  <si>
    <t>C130606</t>
  </si>
  <si>
    <t>C130608</t>
  </si>
  <si>
    <t>C130601</t>
  </si>
  <si>
    <t>C130610</t>
  </si>
  <si>
    <t>C130611</t>
  </si>
  <si>
    <t>C130613</t>
  </si>
  <si>
    <t>C130614</t>
  </si>
  <si>
    <t>C130702</t>
  </si>
  <si>
    <t>C130703</t>
  </si>
  <si>
    <t>C130704</t>
  </si>
  <si>
    <t>C130705</t>
  </si>
  <si>
    <t>C130701</t>
  </si>
  <si>
    <t>C130802</t>
  </si>
  <si>
    <t>C130803</t>
  </si>
  <si>
    <t>C130804</t>
  </si>
  <si>
    <t>C130805</t>
  </si>
  <si>
    <t>C130806</t>
  </si>
  <si>
    <t>C130807</t>
  </si>
  <si>
    <t>C130808</t>
  </si>
  <si>
    <t>C130809</t>
  </si>
  <si>
    <t>C130810</t>
  </si>
  <si>
    <t>C130811</t>
  </si>
  <si>
    <t>C130812</t>
  </si>
  <si>
    <t>C130801</t>
  </si>
  <si>
    <t>C130813</t>
  </si>
  <si>
    <t>C130902</t>
  </si>
  <si>
    <t>C130903</t>
  </si>
  <si>
    <t>C130904</t>
  </si>
  <si>
    <t>C130901</t>
  </si>
  <si>
    <t>C130905</t>
  </si>
  <si>
    <t>C130906</t>
  </si>
  <si>
    <t>C130907</t>
  </si>
  <si>
    <t>C130908</t>
  </si>
  <si>
    <t>C131002</t>
  </si>
  <si>
    <t>C131003</t>
  </si>
  <si>
    <t>C131004</t>
  </si>
  <si>
    <t>C131005</t>
  </si>
  <si>
    <t>C131006</t>
  </si>
  <si>
    <t>C131007</t>
  </si>
  <si>
    <t>C131001</t>
  </si>
  <si>
    <t>C131008</t>
  </si>
  <si>
    <t>C130102</t>
  </si>
  <si>
    <t>C130103</t>
  </si>
  <si>
    <t>C130104</t>
  </si>
  <si>
    <t>C130105</t>
  </si>
  <si>
    <t>C130106</t>
  </si>
  <si>
    <t>C130107</t>
  </si>
  <si>
    <t>C130108</t>
  </si>
  <si>
    <t>C130109</t>
  </si>
  <si>
    <t>C130110</t>
  </si>
  <si>
    <t>C130101</t>
  </si>
  <si>
    <t>C130111</t>
  </si>
  <si>
    <t>C131202</t>
  </si>
  <si>
    <t>C131203</t>
  </si>
  <si>
    <t>C131201</t>
  </si>
  <si>
    <t>C140116</t>
  </si>
  <si>
    <t>C140101</t>
  </si>
  <si>
    <t>C140102</t>
  </si>
  <si>
    <t>C140103</t>
  </si>
  <si>
    <t>C140104</t>
  </si>
  <si>
    <t>C140105</t>
  </si>
  <si>
    <t>C140106</t>
  </si>
  <si>
    <t>C140107</t>
  </si>
  <si>
    <t>C140108</t>
  </si>
  <si>
    <t>C140109</t>
  </si>
  <si>
    <t>C140110</t>
  </si>
  <si>
    <t>C140117</t>
  </si>
  <si>
    <t>C140111</t>
  </si>
  <si>
    <t>C140112</t>
  </si>
  <si>
    <t>C140118</t>
  </si>
  <si>
    <t>C140119</t>
  </si>
  <si>
    <t>C140113</t>
  </si>
  <si>
    <t>C140114</t>
  </si>
  <si>
    <t>C140120</t>
  </si>
  <si>
    <t>C140202</t>
  </si>
  <si>
    <t>C140201</t>
  </si>
  <si>
    <t>C140203</t>
  </si>
  <si>
    <t>C140204</t>
  </si>
  <si>
    <t>C140205</t>
  </si>
  <si>
    <t>C140206</t>
  </si>
  <si>
    <t>C140302</t>
  </si>
  <si>
    <t>C140303</t>
  </si>
  <si>
    <t>C140304</t>
  </si>
  <si>
    <t>C140301</t>
  </si>
  <si>
    <t>C140305</t>
  </si>
  <si>
    <t>C140306</t>
  </si>
  <si>
    <t>C140307</t>
  </si>
  <si>
    <t>C140308</t>
  </si>
  <si>
    <t>C140309</t>
  </si>
  <si>
    <t>C140310</t>
  </si>
  <si>
    <t>C140311</t>
  </si>
  <si>
    <t>C140312</t>
  </si>
  <si>
    <t>C150201</t>
  </si>
  <si>
    <t>C150202</t>
  </si>
  <si>
    <t>C150203</t>
  </si>
  <si>
    <t>C150204</t>
  </si>
  <si>
    <t>C150205</t>
  </si>
  <si>
    <t>C150502</t>
  </si>
  <si>
    <t>C150503</t>
  </si>
  <si>
    <t>C150504</t>
  </si>
  <si>
    <t>C150505</t>
  </si>
  <si>
    <t>C150407</t>
  </si>
  <si>
    <t>C150602</t>
  </si>
  <si>
    <t>C150603</t>
  </si>
  <si>
    <t>C150604</t>
  </si>
  <si>
    <t>C150605</t>
  </si>
  <si>
    <t>C150601</t>
  </si>
  <si>
    <t>C150606</t>
  </si>
  <si>
    <t>C150607</t>
  </si>
  <si>
    <t>C150608</t>
  </si>
  <si>
    <t>C150609</t>
  </si>
  <si>
    <t>C150610</t>
  </si>
  <si>
    <t>C150611</t>
  </si>
  <si>
    <t>C150612</t>
  </si>
  <si>
    <t>C150702</t>
  </si>
  <si>
    <t>C150703</t>
  </si>
  <si>
    <t>C150704</t>
  </si>
  <si>
    <t>C150705</t>
  </si>
  <si>
    <t>C150706</t>
  </si>
  <si>
    <t>C150707</t>
  </si>
  <si>
    <t>C150708</t>
  </si>
  <si>
    <t>C150709</t>
  </si>
  <si>
    <t>C150710</t>
  </si>
  <si>
    <t>C150711</t>
  </si>
  <si>
    <t>C150712</t>
  </si>
  <si>
    <t>C150713</t>
  </si>
  <si>
    <t>C150701</t>
  </si>
  <si>
    <t>C150714</t>
  </si>
  <si>
    <t>C150715</t>
  </si>
  <si>
    <t>C150716</t>
  </si>
  <si>
    <t>C150717</t>
  </si>
  <si>
    <t>C150718</t>
  </si>
  <si>
    <t>C150719</t>
  </si>
  <si>
    <t>C150720</t>
  </si>
  <si>
    <t>C150721</t>
  </si>
  <si>
    <t>C150722</t>
  </si>
  <si>
    <t>C150723</t>
  </si>
  <si>
    <t>C150724</t>
  </si>
  <si>
    <t>C150725</t>
  </si>
  <si>
    <t>C150726</t>
  </si>
  <si>
    <t>C150727</t>
  </si>
  <si>
    <t>C150728</t>
  </si>
  <si>
    <t>C150729</t>
  </si>
  <si>
    <t>C150730</t>
  </si>
  <si>
    <t>C150731</t>
  </si>
  <si>
    <t>C150732</t>
  </si>
  <si>
    <t>C150802</t>
  </si>
  <si>
    <t>C150803</t>
  </si>
  <si>
    <t>C150804</t>
  </si>
  <si>
    <t>C150801</t>
  </si>
  <si>
    <t>C150805</t>
  </si>
  <si>
    <t>C150806</t>
  </si>
  <si>
    <t>C150807</t>
  </si>
  <si>
    <t>C150808</t>
  </si>
  <si>
    <t>C150809</t>
  </si>
  <si>
    <t>C150810</t>
  </si>
  <si>
    <t>C150811</t>
  </si>
  <si>
    <t>C150812</t>
  </si>
  <si>
    <t>C150102</t>
  </si>
  <si>
    <t>C150103</t>
  </si>
  <si>
    <t>C150104</t>
  </si>
  <si>
    <t>C150105</t>
  </si>
  <si>
    <t>C150106</t>
  </si>
  <si>
    <t>C150107</t>
  </si>
  <si>
    <t>C150108</t>
  </si>
  <si>
    <t>C150109</t>
  </si>
  <si>
    <t>C150110</t>
  </si>
  <si>
    <t>C150111</t>
  </si>
  <si>
    <t>C150112</t>
  </si>
  <si>
    <t>C150113</t>
  </si>
  <si>
    <t>C150114</t>
  </si>
  <si>
    <t>C150115</t>
  </si>
  <si>
    <t>C150101</t>
  </si>
  <si>
    <t>C150116</t>
  </si>
  <si>
    <t>C150117</t>
  </si>
  <si>
    <t>C150118</t>
  </si>
  <si>
    <t>C150119</t>
  </si>
  <si>
    <t>C150120</t>
  </si>
  <si>
    <t>C150122</t>
  </si>
  <si>
    <t>C150123</t>
  </si>
  <si>
    <t>C150124</t>
  </si>
  <si>
    <t>C150121</t>
  </si>
  <si>
    <t>C150125</t>
  </si>
  <si>
    <t>C150126</t>
  </si>
  <si>
    <t>C150127</t>
  </si>
  <si>
    <t>C150128</t>
  </si>
  <si>
    <t>C150129</t>
  </si>
  <si>
    <t>C150130</t>
  </si>
  <si>
    <t>C150131</t>
  </si>
  <si>
    <t>C150132</t>
  </si>
  <si>
    <t>C150133</t>
  </si>
  <si>
    <t>C150134</t>
  </si>
  <si>
    <t>C150135</t>
  </si>
  <si>
    <t>C150136</t>
  </si>
  <si>
    <t>C150137</t>
  </si>
  <si>
    <t>C150138</t>
  </si>
  <si>
    <t>C150139</t>
  </si>
  <si>
    <t>C150140</t>
  </si>
  <si>
    <t>C150141</t>
  </si>
  <si>
    <t>C150142</t>
  </si>
  <si>
    <t>C150143</t>
  </si>
  <si>
    <t>C150902</t>
  </si>
  <si>
    <t>C150903</t>
  </si>
  <si>
    <t>C150904</t>
  </si>
  <si>
    <t>C150905</t>
  </si>
  <si>
    <t>C150901</t>
  </si>
  <si>
    <t>C150906</t>
  </si>
  <si>
    <t>C151002</t>
  </si>
  <si>
    <t>C151003</t>
  </si>
  <si>
    <t>C151004</t>
  </si>
  <si>
    <t>C151005</t>
  </si>
  <si>
    <t>C151006</t>
  </si>
  <si>
    <t>C151007</t>
  </si>
  <si>
    <t>C151008</t>
  </si>
  <si>
    <t>C151009</t>
  </si>
  <si>
    <t>C151010</t>
  </si>
  <si>
    <t>C151011</t>
  </si>
  <si>
    <t>C151012</t>
  </si>
  <si>
    <t>C151013</t>
  </si>
  <si>
    <t>C151014</t>
  </si>
  <si>
    <t>C151015</t>
  </si>
  <si>
    <t>C151016</t>
  </si>
  <si>
    <t>C151018</t>
  </si>
  <si>
    <t>C151019</t>
  </si>
  <si>
    <t>C151020</t>
  </si>
  <si>
    <t>C151021</t>
  </si>
  <si>
    <t>C151022</t>
  </si>
  <si>
    <t>C151023</t>
  </si>
  <si>
    <t>C151024</t>
  </si>
  <si>
    <t>C151025</t>
  </si>
  <si>
    <t>C151026</t>
  </si>
  <si>
    <t>C151027</t>
  </si>
  <si>
    <t>C151028</t>
  </si>
  <si>
    <t>C151029</t>
  </si>
  <si>
    <t>C151030</t>
  </si>
  <si>
    <t>C151031</t>
  </si>
  <si>
    <t>C151032</t>
  </si>
  <si>
    <t>C151033</t>
  </si>
  <si>
    <t>C151001</t>
  </si>
  <si>
    <t>C160202</t>
  </si>
  <si>
    <t>C160205</t>
  </si>
  <si>
    <t>C160206</t>
  </si>
  <si>
    <t>C160210</t>
  </si>
  <si>
    <t>C160211</t>
  </si>
  <si>
    <t>C160201</t>
  </si>
  <si>
    <t>C160706</t>
  </si>
  <si>
    <t>C160701</t>
  </si>
  <si>
    <t>C160702</t>
  </si>
  <si>
    <t>C160703</t>
  </si>
  <si>
    <t>C160704</t>
  </si>
  <si>
    <t>C160705</t>
  </si>
  <si>
    <t>C160301</t>
  </si>
  <si>
    <t>C160302</t>
  </si>
  <si>
    <t>C160303</t>
  </si>
  <si>
    <t>C160304</t>
  </si>
  <si>
    <t>C160305</t>
  </si>
  <si>
    <t>C160402</t>
  </si>
  <si>
    <t>C160401</t>
  </si>
  <si>
    <t>C160404</t>
  </si>
  <si>
    <t>C160403</t>
  </si>
  <si>
    <t>C160102</t>
  </si>
  <si>
    <t>C160112</t>
  </si>
  <si>
    <t>C160103</t>
  </si>
  <si>
    <t>C160104</t>
  </si>
  <si>
    <t>C160101</t>
  </si>
  <si>
    <t>C160105</t>
  </si>
  <si>
    <t>C160106</t>
  </si>
  <si>
    <t>C160107</t>
  </si>
  <si>
    <t>C160108</t>
  </si>
  <si>
    <t>C160113</t>
  </si>
  <si>
    <t>C160110</t>
  </si>
  <si>
    <t>C160801</t>
  </si>
  <si>
    <t>C160802</t>
  </si>
  <si>
    <t>C160803</t>
  </si>
  <si>
    <t>C160804</t>
  </si>
  <si>
    <t>C160502</t>
  </si>
  <si>
    <t>C160503</t>
  </si>
  <si>
    <t>C160504</t>
  </si>
  <si>
    <t>C160510</t>
  </si>
  <si>
    <t>C160505</t>
  </si>
  <si>
    <t>C160506</t>
  </si>
  <si>
    <t>C160501</t>
  </si>
  <si>
    <t>C160507</t>
  </si>
  <si>
    <t>C160508</t>
  </si>
  <si>
    <t>C160509</t>
  </si>
  <si>
    <t>C160511</t>
  </si>
  <si>
    <t>C160601</t>
  </si>
  <si>
    <t>C160602</t>
  </si>
  <si>
    <t>C160603</t>
  </si>
  <si>
    <t>C160604</t>
  </si>
  <si>
    <t>C160605</t>
  </si>
  <si>
    <t>C160606</t>
  </si>
  <si>
    <t>C170202</t>
  </si>
  <si>
    <t>C170204</t>
  </si>
  <si>
    <t>C170203</t>
  </si>
  <si>
    <t>C170201</t>
  </si>
  <si>
    <t>C170302</t>
  </si>
  <si>
    <t>C170301</t>
  </si>
  <si>
    <t>C170303</t>
  </si>
  <si>
    <t>C170102</t>
  </si>
  <si>
    <t>C170104</t>
  </si>
  <si>
    <t>C170103</t>
  </si>
  <si>
    <t>C170101</t>
  </si>
  <si>
    <t>C180202</t>
  </si>
  <si>
    <t>C180203</t>
  </si>
  <si>
    <t>C180204</t>
  </si>
  <si>
    <t>C180205</t>
  </si>
  <si>
    <t>C180206</t>
  </si>
  <si>
    <t>C180207</t>
  </si>
  <si>
    <t>C180201</t>
  </si>
  <si>
    <t>C180208</t>
  </si>
  <si>
    <t>C180209</t>
  </si>
  <si>
    <t>C180210</t>
  </si>
  <si>
    <t>C180211</t>
  </si>
  <si>
    <t>C180302</t>
  </si>
  <si>
    <t>C180301</t>
  </si>
  <si>
    <t>C180303</t>
  </si>
  <si>
    <t>C180102</t>
  </si>
  <si>
    <t>C180103</t>
  </si>
  <si>
    <t>C180101</t>
  </si>
  <si>
    <t>C180104</t>
  </si>
  <si>
    <t>C180105</t>
  </si>
  <si>
    <t>C180106</t>
  </si>
  <si>
    <t>C190202</t>
  </si>
  <si>
    <t>C190203</t>
  </si>
  <si>
    <t>C190204</t>
  </si>
  <si>
    <t>C190205</t>
  </si>
  <si>
    <t>C190206</t>
  </si>
  <si>
    <t>C190207</t>
  </si>
  <si>
    <t>C190208</t>
  </si>
  <si>
    <t>C190201</t>
  </si>
  <si>
    <t>C190302</t>
  </si>
  <si>
    <t>C190308</t>
  </si>
  <si>
    <t>C190303</t>
  </si>
  <si>
    <t>C190301</t>
  </si>
  <si>
    <t>C190304</t>
  </si>
  <si>
    <t>C190305</t>
  </si>
  <si>
    <t>C190306</t>
  </si>
  <si>
    <t>C190307</t>
  </si>
  <si>
    <t>C190101</t>
  </si>
  <si>
    <t>C190102</t>
  </si>
  <si>
    <t>C190103</t>
  </si>
  <si>
    <t>C190104</t>
  </si>
  <si>
    <t>C190105</t>
  </si>
  <si>
    <t>C190106</t>
  </si>
  <si>
    <t>C190107</t>
  </si>
  <si>
    <t>C190108</t>
  </si>
  <si>
    <t>C190109</t>
  </si>
  <si>
    <t>C190110</t>
  </si>
  <si>
    <t>C190111</t>
  </si>
  <si>
    <t>C190112</t>
  </si>
  <si>
    <t>C190113</t>
  </si>
  <si>
    <t>C200201</t>
  </si>
  <si>
    <t>C200202</t>
  </si>
  <si>
    <t>C200203</t>
  </si>
  <si>
    <t>C200204</t>
  </si>
  <si>
    <t>C200205</t>
  </si>
  <si>
    <t>C200206</t>
  </si>
  <si>
    <t>C200207</t>
  </si>
  <si>
    <t>C200208</t>
  </si>
  <si>
    <t>C200209</t>
  </si>
  <si>
    <t>C200210</t>
  </si>
  <si>
    <t>C200302</t>
  </si>
  <si>
    <t>C200303</t>
  </si>
  <si>
    <t>C200301</t>
  </si>
  <si>
    <t>C200304</t>
  </si>
  <si>
    <t>C200305</t>
  </si>
  <si>
    <t>C200306</t>
  </si>
  <si>
    <t>C200307</t>
  </si>
  <si>
    <t>C200308</t>
  </si>
  <si>
    <t>C200402</t>
  </si>
  <si>
    <t>C200403</t>
  </si>
  <si>
    <t>C200401</t>
  </si>
  <si>
    <t>C200404</t>
  </si>
  <si>
    <t>C200405</t>
  </si>
  <si>
    <t>C200406</t>
  </si>
  <si>
    <t>C200407</t>
  </si>
  <si>
    <t>C200408</t>
  </si>
  <si>
    <t>C200409</t>
  </si>
  <si>
    <t>C200410</t>
  </si>
  <si>
    <t>C200502</t>
  </si>
  <si>
    <t>C200503</t>
  </si>
  <si>
    <t>C200504</t>
  </si>
  <si>
    <t>C200505</t>
  </si>
  <si>
    <t>C200501</t>
  </si>
  <si>
    <t>C200506</t>
  </si>
  <si>
    <t>C200507</t>
  </si>
  <si>
    <t>C200104</t>
  </si>
  <si>
    <t>C200105</t>
  </si>
  <si>
    <t>C200107</t>
  </si>
  <si>
    <t>C200108</t>
  </si>
  <si>
    <t>C200109</t>
  </si>
  <si>
    <t>C200110</t>
  </si>
  <si>
    <t>C200111</t>
  </si>
  <si>
    <t>C200101</t>
  </si>
  <si>
    <t>C200114</t>
  </si>
  <si>
    <t>C200115</t>
  </si>
  <si>
    <t>C200802</t>
  </si>
  <si>
    <t>C200803</t>
  </si>
  <si>
    <t>C200804</t>
  </si>
  <si>
    <t>C200806</t>
  </si>
  <si>
    <t>C200801</t>
  </si>
  <si>
    <t>C200805</t>
  </si>
  <si>
    <t>C200602</t>
  </si>
  <si>
    <t>C200603</t>
  </si>
  <si>
    <t>C200604</t>
  </si>
  <si>
    <t>C200605</t>
  </si>
  <si>
    <t>C200606</t>
  </si>
  <si>
    <t>C200607</t>
  </si>
  <si>
    <t>C200608</t>
  </si>
  <si>
    <t>C200601</t>
  </si>
  <si>
    <t>C200702</t>
  </si>
  <si>
    <t>C200703</t>
  </si>
  <si>
    <t>C200704</t>
  </si>
  <si>
    <t>C200705</t>
  </si>
  <si>
    <t>C200706</t>
  </si>
  <si>
    <t>C200701</t>
  </si>
  <si>
    <t>C210202</t>
  </si>
  <si>
    <t>C210203</t>
  </si>
  <si>
    <t>C210204</t>
  </si>
  <si>
    <t>C210201</t>
  </si>
  <si>
    <t>C210205</t>
  </si>
  <si>
    <t>C210206</t>
  </si>
  <si>
    <t>C210207</t>
  </si>
  <si>
    <t>C210208</t>
  </si>
  <si>
    <t>C210209</t>
  </si>
  <si>
    <t>C210210</t>
  </si>
  <si>
    <t>C210211</t>
  </si>
  <si>
    <t>C210212</t>
  </si>
  <si>
    <t>C210213</t>
  </si>
  <si>
    <t>C210214</t>
  </si>
  <si>
    <t>C210215</t>
  </si>
  <si>
    <t>C210302</t>
  </si>
  <si>
    <t>C210303</t>
  </si>
  <si>
    <t>C210304</t>
  </si>
  <si>
    <t>C210305</t>
  </si>
  <si>
    <t>C210306</t>
  </si>
  <si>
    <t>C210307</t>
  </si>
  <si>
    <t>C210301</t>
  </si>
  <si>
    <t>C210308</t>
  </si>
  <si>
    <t>C210309</t>
  </si>
  <si>
    <t>C210310</t>
  </si>
  <si>
    <t>C210402</t>
  </si>
  <si>
    <t>C210403</t>
  </si>
  <si>
    <t>C210401</t>
  </si>
  <si>
    <t>C210404</t>
  </si>
  <si>
    <t>C210405</t>
  </si>
  <si>
    <t>C210406</t>
  </si>
  <si>
    <t>C210407</t>
  </si>
  <si>
    <t>C210502</t>
  </si>
  <si>
    <t>C210505</t>
  </si>
  <si>
    <t>C210501</t>
  </si>
  <si>
    <t>C210503</t>
  </si>
  <si>
    <t>C210504</t>
  </si>
  <si>
    <t>C210602</t>
  </si>
  <si>
    <t>C210601</t>
  </si>
  <si>
    <t>C210603</t>
  </si>
  <si>
    <t>C210604</t>
  </si>
  <si>
    <t>C210605</t>
  </si>
  <si>
    <t>C210606</t>
  </si>
  <si>
    <t>C210607</t>
  </si>
  <si>
    <t>C210608</t>
  </si>
  <si>
    <t>C210702</t>
  </si>
  <si>
    <t>C210703</t>
  </si>
  <si>
    <t>C210701</t>
  </si>
  <si>
    <t>C210704</t>
  </si>
  <si>
    <t>C210705</t>
  </si>
  <si>
    <t>C210706</t>
  </si>
  <si>
    <t>C210707</t>
  </si>
  <si>
    <t>C210708</t>
  </si>
  <si>
    <t>C210709</t>
  </si>
  <si>
    <t>C210710</t>
  </si>
  <si>
    <t>C210802</t>
  </si>
  <si>
    <t>C210801</t>
  </si>
  <si>
    <t>C210803</t>
  </si>
  <si>
    <t>C210804</t>
  </si>
  <si>
    <t>C210805</t>
  </si>
  <si>
    <t>C210806</t>
  </si>
  <si>
    <t>C210807</t>
  </si>
  <si>
    <t>C210808</t>
  </si>
  <si>
    <t>C210809</t>
  </si>
  <si>
    <t>C210902</t>
  </si>
  <si>
    <t>C210903</t>
  </si>
  <si>
    <t>C210901</t>
  </si>
  <si>
    <t>C210904</t>
  </si>
  <si>
    <t>C210102</t>
  </si>
  <si>
    <t>C210103</t>
  </si>
  <si>
    <t>C210104</t>
  </si>
  <si>
    <t>C210105</t>
  </si>
  <si>
    <t>C210106</t>
  </si>
  <si>
    <t>C210107</t>
  </si>
  <si>
    <t>C210108</t>
  </si>
  <si>
    <t>C210109</t>
  </si>
  <si>
    <t>C210110</t>
  </si>
  <si>
    <t>C210111</t>
  </si>
  <si>
    <t>C210112</t>
  </si>
  <si>
    <t>C210101</t>
  </si>
  <si>
    <t>C210113</t>
  </si>
  <si>
    <t>C210114</t>
  </si>
  <si>
    <t>C210115</t>
  </si>
  <si>
    <t>C211002</t>
  </si>
  <si>
    <t>C211003</t>
  </si>
  <si>
    <t>C211001</t>
  </si>
  <si>
    <t>C211004</t>
  </si>
  <si>
    <t>C211005</t>
  </si>
  <si>
    <t>C211102</t>
  </si>
  <si>
    <t>C211103</t>
  </si>
  <si>
    <t>C211104</t>
  </si>
  <si>
    <t>C211101</t>
  </si>
  <si>
    <t>C211209</t>
  </si>
  <si>
    <t>C211202</t>
  </si>
  <si>
    <t>C211203</t>
  </si>
  <si>
    <t>C211204</t>
  </si>
  <si>
    <t>C211205</t>
  </si>
  <si>
    <t>C211206</t>
  </si>
  <si>
    <t>C211207</t>
  </si>
  <si>
    <t>C211210</t>
  </si>
  <si>
    <t>C211201</t>
  </si>
  <si>
    <t>C211208</t>
  </si>
  <si>
    <t>C211302</t>
  </si>
  <si>
    <t>C211303</t>
  </si>
  <si>
    <t>C211304</t>
  </si>
  <si>
    <t>C211305</t>
  </si>
  <si>
    <t>C211306</t>
  </si>
  <si>
    <t>C211307</t>
  </si>
  <si>
    <t>C211301</t>
  </si>
  <si>
    <t>C220202</t>
  </si>
  <si>
    <t>C220203</t>
  </si>
  <si>
    <t>C220201</t>
  </si>
  <si>
    <t>C220204</t>
  </si>
  <si>
    <t>C220205</t>
  </si>
  <si>
    <t>C220206</t>
  </si>
  <si>
    <t>C220302</t>
  </si>
  <si>
    <t>C220301</t>
  </si>
  <si>
    <t>C220303</t>
  </si>
  <si>
    <t>C220304</t>
  </si>
  <si>
    <t>C220305</t>
  </si>
  <si>
    <t>C220402</t>
  </si>
  <si>
    <t>C220403</t>
  </si>
  <si>
    <t>C220404</t>
  </si>
  <si>
    <t>C220405</t>
  </si>
  <si>
    <t>C220401</t>
  </si>
  <si>
    <t>C220406</t>
  </si>
  <si>
    <t>C220502</t>
  </si>
  <si>
    <t>C220503</t>
  </si>
  <si>
    <t>C220504</t>
  </si>
  <si>
    <t>C220505</t>
  </si>
  <si>
    <t>C220501</t>
  </si>
  <si>
    <t>C220506</t>
  </si>
  <si>
    <t>C220507</t>
  </si>
  <si>
    <t>C220508</t>
  </si>
  <si>
    <t>C220509</t>
  </si>
  <si>
    <t>C220510</t>
  </si>
  <si>
    <t>C220511</t>
  </si>
  <si>
    <t>C220602</t>
  </si>
  <si>
    <t>C220603</t>
  </si>
  <si>
    <t>C220601</t>
  </si>
  <si>
    <t>C220604</t>
  </si>
  <si>
    <t>C220605</t>
  </si>
  <si>
    <t>C220102</t>
  </si>
  <si>
    <t>C220103</t>
  </si>
  <si>
    <t>C220104</t>
  </si>
  <si>
    <t>C220101</t>
  </si>
  <si>
    <t>C220105</t>
  </si>
  <si>
    <t>C220106</t>
  </si>
  <si>
    <t>C220702</t>
  </si>
  <si>
    <t>C220703</t>
  </si>
  <si>
    <t>C220701</t>
  </si>
  <si>
    <t>C220704</t>
  </si>
  <si>
    <t>C220705</t>
  </si>
  <si>
    <t>C220706</t>
  </si>
  <si>
    <t>C220707</t>
  </si>
  <si>
    <t>C220708</t>
  </si>
  <si>
    <t>C220709</t>
  </si>
  <si>
    <t>C220710</t>
  </si>
  <si>
    <t>C220802</t>
  </si>
  <si>
    <t>C220803</t>
  </si>
  <si>
    <t>C220804</t>
  </si>
  <si>
    <t>C220805</t>
  </si>
  <si>
    <t>C220806</t>
  </si>
  <si>
    <t>C220801</t>
  </si>
  <si>
    <t>C220807</t>
  </si>
  <si>
    <t>C220808</t>
  </si>
  <si>
    <t>C220809</t>
  </si>
  <si>
    <t>C220902</t>
  </si>
  <si>
    <t>C220903</t>
  </si>
  <si>
    <t>C220904</t>
  </si>
  <si>
    <t>C220905</t>
  </si>
  <si>
    <t>C220906</t>
  </si>
  <si>
    <t>C220907</t>
  </si>
  <si>
    <t>C220908</t>
  </si>
  <si>
    <t>C220909</t>
  </si>
  <si>
    <t>C220910</t>
  </si>
  <si>
    <t>C220911</t>
  </si>
  <si>
    <t>C220912</t>
  </si>
  <si>
    <t>C220913</t>
  </si>
  <si>
    <t>C220914</t>
  </si>
  <si>
    <t>C220901</t>
  </si>
  <si>
    <t>C221002</t>
  </si>
  <si>
    <t>C221003</t>
  </si>
  <si>
    <t>C221004</t>
  </si>
  <si>
    <t>C221001</t>
  </si>
  <si>
    <t>C221005</t>
  </si>
  <si>
    <t>C230202</t>
  </si>
  <si>
    <t>C230203</t>
  </si>
  <si>
    <t>C230201</t>
  </si>
  <si>
    <t>C230204</t>
  </si>
  <si>
    <t>C230205</t>
  </si>
  <si>
    <t>C230206</t>
  </si>
  <si>
    <t>C230302</t>
  </si>
  <si>
    <t>C230303</t>
  </si>
  <si>
    <t>C230301</t>
  </si>
  <si>
    <t>C230102</t>
  </si>
  <si>
    <t>C230103</t>
  </si>
  <si>
    <t>C230104</t>
  </si>
  <si>
    <t>C230110</t>
  </si>
  <si>
    <t>C230105</t>
  </si>
  <si>
    <t>C230111</t>
  </si>
  <si>
    <t>C230106</t>
  </si>
  <si>
    <t>C230107</t>
  </si>
  <si>
    <t>C230108</t>
  </si>
  <si>
    <t>C230109</t>
  </si>
  <si>
    <t>C230101</t>
  </si>
  <si>
    <t>C230403</t>
  </si>
  <si>
    <t>C230404</t>
  </si>
  <si>
    <t>C230402</t>
  </si>
  <si>
    <t>C230405</t>
  </si>
  <si>
    <t>C230406</t>
  </si>
  <si>
    <t>C230401</t>
  </si>
  <si>
    <t>C230407</t>
  </si>
  <si>
    <t>C230408</t>
  </si>
  <si>
    <t>C240203</t>
  </si>
  <si>
    <t>C240202</t>
  </si>
  <si>
    <t>C240201</t>
  </si>
  <si>
    <t>C240102</t>
  </si>
  <si>
    <t>C240103</t>
  </si>
  <si>
    <t>C240104</t>
  </si>
  <si>
    <t>C240105</t>
  </si>
  <si>
    <t>C240106</t>
  </si>
  <si>
    <t>C240101</t>
  </si>
  <si>
    <t>C240302</t>
  </si>
  <si>
    <t>C240303</t>
  </si>
  <si>
    <t>C240304</t>
  </si>
  <si>
    <t>C240301</t>
  </si>
  <si>
    <t>C250201</t>
  </si>
  <si>
    <t>C250202</t>
  </si>
  <si>
    <t>C250203</t>
  </si>
  <si>
    <t>C250204</t>
  </si>
  <si>
    <t>C250101</t>
  </si>
  <si>
    <t>C250102</t>
  </si>
  <si>
    <t>C250103</t>
  </si>
  <si>
    <t>C250107</t>
  </si>
  <si>
    <t>C250104</t>
  </si>
  <si>
    <t>C250106</t>
  </si>
  <si>
    <t>C250105</t>
  </si>
  <si>
    <t>C250305</t>
  </si>
  <si>
    <t>C250303</t>
  </si>
  <si>
    <t>C250302</t>
  </si>
  <si>
    <t>C250304</t>
  </si>
  <si>
    <t>C250301</t>
  </si>
  <si>
    <t>C250401</t>
  </si>
  <si>
    <t>waffle</t>
  </si>
  <si>
    <t>https://docs.google.com/spreadsheets/d/1CpoNSM5GNUHEw8OJeChbSiqABewzph87VF5k5CY4nUY/pubhtml</t>
  </si>
  <si>
    <t>Gestión Escolar: Gestión Institucional y Gestión Pedagógica</t>
  </si>
  <si>
    <t xml:space="preserve">El Comité Ambiental y sus comisiones, fueron reconocidos mediante Resolución directoral. </t>
  </si>
  <si>
    <t xml:space="preserve">El Comité Ambiental cumplió con la cuota de género y/o interculturalidad (mínimo 30%) en su conformación, según corresponda. </t>
  </si>
  <si>
    <t xml:space="preserve">N° de hitos de aplicación del enfoque ambiental puestos en práctica en la institucionalización del Comité Ambiental. </t>
  </si>
  <si>
    <t>La I.E. incorporó en el PAT las actividades ambientales estandarizadas consideradas en la presente matriz.</t>
  </si>
  <si>
    <t>N° de hitos de aplicación del enfoque ambiental puestos en práctica en la formulación de herramientas de gestión escolar.</t>
  </si>
  <si>
    <t>La I.E. incluyó el enfoque ambiental en la programación curricular anual y unidades didácticas (en las situaciones significativas).</t>
  </si>
  <si>
    <t>La I.E. incluyó en las sesiones de aprendizaje las actividades del calendario ambiental nacional, local y/o comunal, así como los saberes y conocimientos ambientales locales.</t>
  </si>
  <si>
    <t>VA</t>
  </si>
  <si>
    <t>VB</t>
  </si>
  <si>
    <t>VC</t>
  </si>
  <si>
    <t>VD</t>
  </si>
  <si>
    <t>VO</t>
  </si>
  <si>
    <t>Ecoeficiencia</t>
  </si>
  <si>
    <t>Salud</t>
  </si>
  <si>
    <t>La I.E. sensibilizó a las familias de la comunidad educativa y/o comunidad local en la adopción de hábitos de higiene integral.</t>
  </si>
  <si>
    <t>La I.E. sensibilizó a las familias de la comunidad educativa y/o comunidad local, y logra su participación en las actividades de conservación y limpieza de los espacios interiores y exteriores a la I.E como medidas preventivas de enfermedades prevalentes.</t>
  </si>
  <si>
    <t>N° de hitos de aplicación del enfoque ambiental puestos en práctica para el mantenimiento, orden y limpieza de todos los ambientes como medidas de prevención de enfermedades prevalentes.</t>
  </si>
  <si>
    <t>La I.E. sensibilizó a las familias de la comunidad educativa y/o comunidad local sobre las medidas de protección a implementar durante todos el año frente a los efectos nocivos por la exposición a la radiación ultravioleta.</t>
  </si>
  <si>
    <t>Gestión del Riesgo de Desastres</t>
  </si>
  <si>
    <t xml:space="preserve">El PEAI fue incluido en el PAT. </t>
  </si>
  <si>
    <t>El PEAI se implementó con apoyo de instituciones del sector público y/o privado.</t>
  </si>
  <si>
    <t>1. La I.E. cuenta con un Comité Ambiental reconocido e institucionalizado.</t>
  </si>
  <si>
    <t xml:space="preserve">5. La I.E. realizó actividades de manejo de residuos sólidos. </t>
  </si>
  <si>
    <t>8. La I.E. practicó la gestión integral y uso eficiente de los recursos hídricos.</t>
  </si>
  <si>
    <t>Cambio climático</t>
  </si>
  <si>
    <t>4. La I.E. realizó actividades de mitigación y adaptación frente al Cambio climático.</t>
  </si>
  <si>
    <t>Espacio de Vida – EsVi</t>
  </si>
  <si>
    <t>Manejo de Residuos Sólidos – MARES</t>
  </si>
  <si>
    <t>Vida y Verde – VIVE</t>
  </si>
  <si>
    <t>GLOBE Perú</t>
  </si>
  <si>
    <t>Mi Huella – Mido y reduzco mi huella de carbono</t>
  </si>
  <si>
    <t>Gestión de riesgo</t>
  </si>
  <si>
    <t>REGISTRO</t>
  </si>
  <si>
    <t>APELLIDOS</t>
  </si>
  <si>
    <t>NOMBRES</t>
  </si>
  <si>
    <t>TELEFONO</t>
  </si>
  <si>
    <t>CARGO</t>
  </si>
  <si>
    <t>DEPARTAMENTO</t>
  </si>
  <si>
    <t>PROVINCIA</t>
  </si>
  <si>
    <t>DISTRITO</t>
  </si>
  <si>
    <t>NOMBRE</t>
  </si>
  <si>
    <t>CONFIRMACIÓN DE ENVÍO DE DATOS</t>
  </si>
  <si>
    <t>NÚMERO DE REGISTRO DEL ENVIO DE DATOS:</t>
  </si>
  <si>
    <t>FECHA/HORA DE CONFIRMACIÓN DE ENVÍO:</t>
  </si>
  <si>
    <t>DATOS DE LA INSTITUCIÓN EDUCATIVA:</t>
  </si>
  <si>
    <t>Código modular:</t>
  </si>
  <si>
    <t>Nivel educativo:</t>
  </si>
  <si>
    <t>Dependencia:</t>
  </si>
  <si>
    <t>Modalidad educativa</t>
  </si>
  <si>
    <t>Modalidad:</t>
  </si>
  <si>
    <t>DRE/UGEL:</t>
  </si>
  <si>
    <t>Dirección de II.EE.:</t>
  </si>
  <si>
    <t>Nombre de II.EE.:</t>
  </si>
  <si>
    <t>Nivel educativo</t>
  </si>
  <si>
    <t>Proyectos educativos 
ambientales integrales</t>
  </si>
  <si>
    <t>Porcentaje:</t>
  </si>
  <si>
    <t>Respuestas afirmativas:</t>
  </si>
  <si>
    <t>PCI.</t>
  </si>
  <si>
    <t>Plan de Manejo de Residuos Sólidos. PAT.</t>
  </si>
  <si>
    <t>Plan de Trabajo del Comité. PAT.</t>
  </si>
  <si>
    <t>PEI.</t>
  </si>
  <si>
    <t>PAT.</t>
  </si>
  <si>
    <t>Programa Curricular Anual.</t>
  </si>
  <si>
    <t>Fotografías.</t>
  </si>
  <si>
    <t>RI.</t>
  </si>
  <si>
    <t>PAT. Documentos administrativos: Cartas, Oficios, Memo. Lista de Asistencia. Fotografías.</t>
  </si>
  <si>
    <t>Documentos administrativos: Cartas, Oficios, Memo. Actas, Convenios, Acuerdos.</t>
  </si>
  <si>
    <t>Educación para el 
cambio climático</t>
  </si>
  <si>
    <t>NOMBRE DEL PROYECTO EDUCATIVO
AMBIENTAL INTEGRAL</t>
  </si>
  <si>
    <t>CARGO DEL PARTICIPANTE</t>
  </si>
  <si>
    <t>NUMERO DNI</t>
  </si>
  <si>
    <t>CELULAR</t>
  </si>
  <si>
    <t>CORREO ELECTRÓNICO</t>
  </si>
  <si>
    <t>Directivo</t>
  </si>
  <si>
    <t>Coordinador</t>
  </si>
  <si>
    <t>Finalmente, el formato adicional para el diploma de reconocimiento y felicitación es necesario tener presente los datos de directivos, coordinadores, docentes, estudiantes con participación excepcional, siendo como máximo de 15 personas a registrar, detalle aquí:</t>
  </si>
  <si>
    <t/>
  </si>
  <si>
    <t>Documentos administrativos: Cartas, Oficios, Memo.</t>
  </si>
  <si>
    <t>Actas, Convenios, Acuerdos.</t>
  </si>
  <si>
    <t>Lista de Asistencia.</t>
  </si>
  <si>
    <r>
      <t>VALOR FINAL</t>
    </r>
    <r>
      <rPr>
        <sz val="12"/>
        <rFont val="Calibri"/>
        <family val="2"/>
      </rPr>
      <t xml:space="preserve"> (Carga de Datos)</t>
    </r>
  </si>
  <si>
    <r>
      <t>DEL RECOJO DE LA INFORMACIÓN</t>
    </r>
    <r>
      <rPr>
        <sz val="10"/>
        <rFont val="Calibri"/>
        <family val="2"/>
      </rPr>
      <t xml:space="preserve"> (Carga de datos)</t>
    </r>
    <r>
      <rPr>
        <b/>
        <sz val="10"/>
        <rFont val="Calibri"/>
        <family val="2"/>
      </rPr>
      <t>:</t>
    </r>
  </si>
  <si>
    <t>3. La I.E. incluyó en el PCI el enfoque ambiental y empleó recursos pedagógicos ambientales propios de la localidad.</t>
  </si>
  <si>
    <t>6. La I.E. practicó el uso ecoeficiente de la energía.</t>
  </si>
  <si>
    <t>7. La I.E. practicó el empleo de energía renovable.</t>
  </si>
  <si>
    <t>9. La I.E. Implementó el Plan de Salud Escolar en la I.E.</t>
  </si>
  <si>
    <t>11. La I.E. implementó acciones sobre alimentación saludable y sostenible.</t>
  </si>
  <si>
    <t xml:space="preserve">12. La I.E. implementó  acciones para la práctica de la higiene integral (lavado de manos, higiene bucal, aseo y cuidado personal). </t>
  </si>
  <si>
    <t>13. La I.E. implementó actividades de mantenimiento, orden y limpieza de todos los ambientes como práctica cotidiana y para la prevención de enfermedades prevalentes.</t>
  </si>
  <si>
    <t>15. La IE adoptó medidas para la Gestión del Riesgo de Desastres.</t>
  </si>
  <si>
    <t>16. LA I.E. implementó un PEAI como recurso pedagógico y para el desarrollo de la conciencia ambiental y sobre la salud.</t>
  </si>
  <si>
    <t>Las actividades del Comité Ambiental y sus comisiones están incluidas en el PAT.</t>
  </si>
  <si>
    <t>El Comité Ambiental está conformado al menos por un (01) representante de la comunidad local (de instituciones privadas, públicas, organizaciones sociales, líderes y otros).</t>
  </si>
  <si>
    <t xml:space="preserve">El PEI de la I.E incorporó el enfoque ambiental en su visión y en los objetivos y/o metas de gestión escolar centrada en los aprendizajes. </t>
  </si>
  <si>
    <t>El PCI incluyó el enfoque ambiental en los perfiles, los principios pedagógicos, los propósitos, y/o los enfoques metodológicos.</t>
  </si>
  <si>
    <t xml:space="preserve">La I.E. implementó actividades de recuperación de espacios en desuso, incremento y/o mantenimiento de áreas verdes dentro de la I.E., en el marco de la condición de cambio climático. </t>
  </si>
  <si>
    <t xml:space="preserve">La I.E. implementó actividades pedagógicas de valoración y conservación de la diversidad biológica (flora y fauna, terrestre y acuática) y de los servicios ecosistémicos (lo servicios que el ambiente nos brinda), en el marco de la condición de cambio climático. </t>
  </si>
  <si>
    <t xml:space="preserve"> La I.E. implementó actividades pedagógicas de promoción de la producción y consumo responsables (valoración de prácticas compatibles con el cuidado del ambiente y los recursos naturales), en el marco de la condición de cambio climático. </t>
  </si>
  <si>
    <t xml:space="preserve">La I.E. implementó actividades a favor de la recuperación y/o mantenimiento de espacios públicos y áreas verdes aledañas a la I.E. y en la comunidad local (jornadas de limpieza, el abono y/o sembrado de árboles, otras actividades), en el marco de la condición de cambio climático. </t>
  </si>
  <si>
    <t xml:space="preserve">La I.E. coordinó con el gobierno local u otras instituciones aliadas la recolección y transporte de los residuos para la disposición final de los residuos sólidos de la I.E., y/o el reaprovechamiento y comercialización.  </t>
  </si>
  <si>
    <t xml:space="preserve">La I.E. ha adoptado medidas de uso ecoeficiente de la energía incluidos en el PAT. </t>
  </si>
  <si>
    <t>La I.E. implementó actividades pedagógicas  sobre el consumo responsable de la energía, así como prácticas ecoeficientes asociadas (uso de focos ahorradores, entre otros).</t>
  </si>
  <si>
    <t>La I.E.  implementó actividades pedagógicas sobre la importancia del uso de medios de transporte menos nocivos para el ambiente (por ejemplo, transporte público compartido, bicicletas, caminatas, etc.).</t>
  </si>
  <si>
    <t>La I.E. sensibilizó a las familias de la comunidad educativa y/o comunidad local para el uso ecoeficiente de la energía.</t>
  </si>
  <si>
    <t xml:space="preserve">La I.E. ha incluido medidas sobre el empleo de energía renovable en el PAT. </t>
  </si>
  <si>
    <t xml:space="preserve">La I.E. implementó actividades pedagógicas  sobre el uso de energía renovable, de acuerdo a su contexto. </t>
  </si>
  <si>
    <t xml:space="preserve">La I.E. implementó actividades institucionales sobre el uso de la energía renovable (por ejemplo paneles solares), de acuerdo a su contexto.  </t>
  </si>
  <si>
    <t>La I.E. sensibilizó a las familias de la comunidad educativa y/o comunidad local para el empleo de energía renovable.</t>
  </si>
  <si>
    <t>La I.E. ha incluido medidas para el ahorro y buen uso del agua en la I.E., fomentando una nueva cultura del agua, en el PAT.</t>
  </si>
  <si>
    <t>La I.E. ha incluido medidas para el acceso a agua segura en la I.E., fomentando una nueva cultura del agua, en el PAT.</t>
  </si>
  <si>
    <t xml:space="preserve">La I.E. implementó  actividades pedagógicas sobre la gestión integral de los recursos hídricos y una nueva cultura del agua (por ejemplo sobre la protección y conservación de la calidad del agua y de las cuencas hidrográficas; el ahorro y buen uso del agua; el acceso a agua segura; entre otros). </t>
  </si>
  <si>
    <t>La I.E.  sensibilizó a las familias de la comunidad educativa y/o comunidad local para promover la gestión integral de recursos hídricos y una nueva cultura del agua en la I.E. y/o en la comunidad local.</t>
  </si>
  <si>
    <t>La I.E. ha incluido las actividades del Plan de Salud Escolar en el PAT.</t>
  </si>
  <si>
    <t>La I.E. entregó al establecimiento de Salud los Consentimientos Informados firmados del Plan de Salud Escolar que fueron entregados a los padres de familia.</t>
  </si>
  <si>
    <t>La I.E. ha incluido las actividades de Qali Warma en el PAT.</t>
  </si>
  <si>
    <t xml:space="preserve">La I.E. cuenta con una planificación de actividades, así como espacios educativos adecuados, para garantizar la alimentación saludable y sostenible, incluidos en el PAT. </t>
  </si>
  <si>
    <t>La I.E. implementó y promovió actividades pedagógicas para el consumo de alimentos saludables y sostenibles, así como la revalorización y consumo de productos locales.</t>
  </si>
  <si>
    <t>La I.E. implementó y supervisó los quioscos, cafetines, cafeterías y/o comedores escolares así como las loncheras escolares, garantizando el acceso, la disponibilidad y el consumo de una alimentación saludable y sostenible, según la normativa vigente.</t>
  </si>
  <si>
    <t xml:space="preserve">La I.E. sensibilizó a las familias de la comunidad educativa para la adopción de una cultura de alimentación saludable y sostenible, así como la revalorización y consumo de productos locales. </t>
  </si>
  <si>
    <t>La I.E. cuenta con una planificación de actividades, así como espacios educativos adecuados, para garantizar la puesta en práctica de hábitos de higiene integral, incluidos en el PAT.</t>
  </si>
  <si>
    <t>La I.E.  Implementó actividades pedagógicas sobre la importancia y la práctica diaria del lavado de manos (antes y después de las comidas y después del uso de los baños) e higiene bucal.</t>
  </si>
  <si>
    <t xml:space="preserve">La I.E. implementó actividades pedagógicas sobre la importancia y la práctica diaria de aseo y del cuidado personal (baño cotidiano, control de la pediculosis, ropa limpia, etc.). </t>
  </si>
  <si>
    <t>La I.E. cuenta con una planificación de actividades para promover entornos saludables a través del mantenimiento, orden y limpieza al interior y en los espacios exteriores de la I.E., incluidos en el PAT.</t>
  </si>
  <si>
    <t>La I.E. implementó actividades pedagógicas sobre la importancia y la práctica de la limpieza periódica, el orden, la ventilación e iluminación de espacios, como medidas de prevención de enfermedades prevalentes (EDAs, IRAs, Influenza, Dengue y otras de prevalencia local, TBC, entre otros).</t>
  </si>
  <si>
    <t>La I.E. cuenta con una planificación de actividades para la implementación de acciones de protección y prevención de los efectos nocivos de la radiación solar (el uso del gorro/sombrero, gafas, uso permanente de bloqueadores solares, mallas raschel, tiempos para la formación de acuerdo a la normativa vigente, etc.) incluidos en el PAT.</t>
  </si>
  <si>
    <t xml:space="preserve">La I.E. implementó actividades pedagógicas para promover la prevención de los efectos nocivos de la radiación solar. </t>
  </si>
  <si>
    <t>La I.E. implementó medidas y actividades institucionales para la prevención y protección de los efectos nocivos de la radiación solar (por ejemplo la instalación de techos y/o toldos con mallas de tipo raschel en patios, jardines u otros espacios; la dimsinución de los tiempos de las dinámicas de formación escolar al aire libre; entre otros).</t>
  </si>
  <si>
    <t>La I.E. cuenta con una planificación de la gestión del Riesgo de Desastres  incluidos en el PAT.</t>
  </si>
  <si>
    <t xml:space="preserve">La I.E. implementó actividades pedagógicas sobre la gestión del riesgo de desastres, en el marco del enfoque ambiental. </t>
  </si>
  <si>
    <t xml:space="preserve">La I.E. implementó actividades institucionales, incluyendo simulacros, para hacer frente a los desastres, en el marco del enfoque ambiental. </t>
  </si>
  <si>
    <t xml:space="preserve">La I.E. sensibilizó  a las familias de la comunidad educativa y/o comunidad local en la gestión del riesgo frente a los desastres (sismos, friajes, inundaciones, y otros producto del cambio climático, según el contexto). </t>
  </si>
  <si>
    <t xml:space="preserve">La I.E. implementó el PEAI con actividades pedagógicas articuladas mínimo a tres áreas curriculares. </t>
  </si>
  <si>
    <t>La I.E. implementó actividades institucionales para la ejecución del PEAI a lo largo de todo el año escolar.</t>
  </si>
  <si>
    <t>N° de hitos de aplicación del enfoque ambiental puestos en práctica en el uso ecoeficiente de la energía.</t>
  </si>
  <si>
    <t>N° de hitos de aplicación del enfoque ambiental puestos en práctica en la implementación del Plan de salud escolar o del Plan de Salud de la  I.E.</t>
  </si>
  <si>
    <t>N° de hitos de aplicación del enfoque ambiental puestos en práctica en la implementación de acciones de alimentación saludable y sostenible.</t>
  </si>
  <si>
    <t>N° de hitos de aplicación del enfoque ambiental puestos en práctica en la implementación de hábitos de higiene integral.</t>
  </si>
  <si>
    <t>N° de hitos de aplicación del enfoque ambiental puestos en práctica en la implementación del PEAI.</t>
  </si>
  <si>
    <t>Resolución Directoral de conformación del Comité Ambiental.</t>
  </si>
  <si>
    <t>PCI. PAT.</t>
  </si>
  <si>
    <t>Plan de Salud Escolar. PAT.</t>
  </si>
  <si>
    <t>Cargo de entrega. Consentimientos informados firmados.</t>
  </si>
  <si>
    <t>Acta de conformación. PAT.</t>
  </si>
  <si>
    <t>Plan de Trabajo del PEAI. PCI.</t>
  </si>
  <si>
    <t>Cartas u oficios de coordinación del Gobierno regional u otros aliados. PAT.</t>
  </si>
  <si>
    <t>PAT. Cartas, Oficios, Memo.</t>
  </si>
  <si>
    <t>Programa Curricular Anual. Documentos de autorización de visitas y excursiones pedagógicas para el aprendizaje vivencial del enfoque ambiental.</t>
  </si>
  <si>
    <t>PAT. Documentos administrativos: Cartas, Oficios, Memo. Lista de Asistencia.</t>
  </si>
  <si>
    <t>Fotos u otros medios audiovisuales.</t>
  </si>
  <si>
    <t>Cargo de entrega.</t>
  </si>
  <si>
    <t>Consentimientos informados firmados.</t>
  </si>
  <si>
    <t>La I.E. incluyó en el PEI, en el análisis situacional, su situación ambiental y vincula el diagnóstico al enfoque ambiental en la gestión escolar.</t>
  </si>
  <si>
    <t>La I.E. cuenta con un Plan de manejo de residuos sólidos, y actividades de las "3R" (Reducir, Reusar y Reciclar) incluidos en el PAT.</t>
  </si>
  <si>
    <t>La I.E. implementó actividades pedagógicas  sobre el manejo de residuos sólidos y la aplicación de las “3R”: Reducir, Reusar y Reciclar.</t>
  </si>
  <si>
    <t>La I.E. sensibilizó  a las familias de la comunidad educativa y/o comunidad local  sobre el manejo de residuos sólidos y en actividades de las 3R: Reducir, Reusar y Reciclar.</t>
  </si>
  <si>
    <t>Sistema de Monitoreo y Evaluación de la Educación Ambiental en la Gestión Escolar</t>
  </si>
  <si>
    <t>PROYECTOS EDUCATIVOS AMBIENTALES INTEGRADOS</t>
  </si>
  <si>
    <t>Informe del Comité Ambiental.</t>
  </si>
  <si>
    <t>Otros.</t>
  </si>
  <si>
    <t>MATRIZ DE LOGROS AMBIENTALES</t>
  </si>
  <si>
    <t>La Matriz de Logros Ambientales es la herramienta de monitoreo, evaluación y reconocimiento de la aplicación del enfoque ambiental que a nivel de las II.EE. permite estimar el nivel de logro alcanzado en la aplicación transversal del enfoque ambiental en la gestión escolar.</t>
  </si>
  <si>
    <t>El Proyecto Educativo Ambiental Integrado (PEAI) es una herramienta institucional y pedagógica que permite la mejor implementación de las actividades estandarizadas de cada uno de los componentes del enfoque ambiental.</t>
  </si>
  <si>
    <t>Usuario de Qali Warma:</t>
  </si>
  <si>
    <t>Apellidos:</t>
  </si>
  <si>
    <t>Nombres:</t>
  </si>
  <si>
    <t>Teléfono personal:</t>
  </si>
  <si>
    <t>Teléfono de la II.EE.:</t>
  </si>
  <si>
    <t>Cargo que desempeña:</t>
  </si>
  <si>
    <t>Correo electrónico:</t>
  </si>
  <si>
    <t>Plan de Manejo de Residuos Sólidos.</t>
  </si>
  <si>
    <t>Plan de Salud Escolar.</t>
  </si>
  <si>
    <t>Cartas u oficios de coordinación del Gobierno regional u otros aliados.</t>
  </si>
  <si>
    <t xml:space="preserve">La I.E. implementó actividades institucionales orientadas a mantener la limpieza periódica, el orden, la ventilación e iluminación de espacios, así como la desinfección y fumigación de las aulas, los servicios higiénicos, y otros espacios físicos dentro de la I.E. como en los exteriores de la I.E. (el perímetro, jardines y otros).  </t>
  </si>
  <si>
    <t>Matriz</t>
  </si>
  <si>
    <t>Porcentaje en base a respuestas:</t>
  </si>
  <si>
    <t>DOCUMENTOS A ADJUNTAR EN EL EXPEDIENTE, INDICANDO CÓDIGO MODULAR Y NOMBRE DE LA IIEE.</t>
  </si>
  <si>
    <t>Plan de Trabajo del Comité.</t>
  </si>
  <si>
    <t>Acta de conformación.</t>
  </si>
  <si>
    <t>Cartas, Oficios, Memo.</t>
  </si>
  <si>
    <t>Documentos de autorización de visitas y excursiones pedagógicas para el aprendizaje vivencial del enfoque ambiental.</t>
  </si>
  <si>
    <t>2. La I.E. actualizó y/o elaboró sus herramientas de gestión escolar con enfoque ambiental.</t>
  </si>
  <si>
    <t>10. La I.E. implementa el servicio de alimentación provisto por Qali Warma.</t>
  </si>
  <si>
    <t>14. La I.E. adoptó medidas de protección frente a los efectos nocivos por la exposición a la radiación ultravioleta.</t>
  </si>
  <si>
    <t>El Comité de Alimentación Escolar (CAE) está conformado y todos sus miembros han sido capacitados.</t>
  </si>
  <si>
    <t>La I.E. preparó los espacios para las actividades del Plan de Salud Escolar.</t>
  </si>
  <si>
    <t>El CAE coordinó con el proveedor del servicio alimentario las fechas y horarios de entrega de alimentos a la IE.</t>
  </si>
  <si>
    <t>La I.E. incorporó en su Reglamento Interno al Comité Ambiental.</t>
  </si>
  <si>
    <t>La I.E. incluyó en las sesiones de aprendizaje visitas pedagógicas a espacios naturales y culturales (áreas naturales protegidas, rutas de ecoturismo, proyectos de conservación, bosques comunitarios, playas locales, etc.).</t>
  </si>
  <si>
    <t>La I.E. estableció con el Establecimiento de Salud de su ámbito el cronograma de las actividades del Plan de Salud Escolar.</t>
  </si>
  <si>
    <t>El CAE organizó los turnos y roles en la IE para la recepción, preparación y servido de los alimentos.</t>
  </si>
  <si>
    <t>N° de hitos de aplicación del enfoque ambiental puestos en práctica en el empleo de energía renovable.</t>
  </si>
  <si>
    <t>N° de hitos de aplicación del enfoque ambiental puestos en práctica en el cuidado y el uso ecoeficiente de los recursos hídricos, fomentando una nueva cultura del agua.</t>
  </si>
  <si>
    <t>N° de hitos de aplicación del enfoque ambiental puestos en práctica para la provisión del servicio de alimentación de Qali Warma.</t>
  </si>
  <si>
    <t>UGEL CAJABAMBA</t>
  </si>
  <si>
    <t>UGEL SAN MARCOS</t>
  </si>
  <si>
    <t>UGEL 01 - EL PORVENIR</t>
  </si>
  <si>
    <t>UGEL 01 SAN JUAN DE MIRAFLORES</t>
  </si>
  <si>
    <t>UGEL 02 - LA ESPERANZA</t>
  </si>
  <si>
    <t>UGEL 02 RIMAC</t>
  </si>
  <si>
    <t>UGEL 03 - TRUJILLO NOR OESTE</t>
  </si>
  <si>
    <t>UGEL 04 - TRUJILLO SUR ESTE</t>
  </si>
  <si>
    <t>UGEL 04 COMAS</t>
  </si>
  <si>
    <t>UGEL 05 SAN JUAN DE LURIGANCHO</t>
  </si>
  <si>
    <t>UGEL 06 ATE</t>
  </si>
  <si>
    <t>UGEL 07 SAN BORJA</t>
  </si>
  <si>
    <t>UGEL 09 HUAURA</t>
  </si>
  <si>
    <t>UGEL 10 HUARAL</t>
  </si>
  <si>
    <t>UGEL 11 CAJATAMBO</t>
  </si>
  <si>
    <t>UGEL 12 CANTA</t>
  </si>
  <si>
    <t>UGEL 13 YAUYOS</t>
  </si>
  <si>
    <t>UGEL 14 OYON</t>
  </si>
  <si>
    <t>UGEL 15 HUAROCHIRI</t>
  </si>
  <si>
    <t>UGEL 16 BARRANCA</t>
  </si>
  <si>
    <t>UGEL ABANCAY</t>
  </si>
  <si>
    <t>UGEL ACOBAMBA</t>
  </si>
  <si>
    <t>UGEL ACOMAYO</t>
  </si>
  <si>
    <t>UGEL AIJA</t>
  </si>
  <si>
    <t>UGEL ALTO AMAZONAS-SAN LORENZO</t>
  </si>
  <si>
    <t>UGEL ALTO AMAZONAS-YURIMAGUAS</t>
  </si>
  <si>
    <t>UGEL AMBO</t>
  </si>
  <si>
    <t>UGEL ANDAHUAYLAS</t>
  </si>
  <si>
    <t>UGEL ANGARAES</t>
  </si>
  <si>
    <t>UGEL ANTA</t>
  </si>
  <si>
    <t>UGEL ANTABAMBA</t>
  </si>
  <si>
    <t>UGEL ANTONIO RAYMONDI</t>
  </si>
  <si>
    <t>UGEL AREQUIPA NORTE</t>
  </si>
  <si>
    <t>UGEL AREQUIPA SUR</t>
  </si>
  <si>
    <t>UGEL ASCOPE</t>
  </si>
  <si>
    <t>UGEL ASUNCION</t>
  </si>
  <si>
    <t>UGEL ATALAYA</t>
  </si>
  <si>
    <t>UGEL AYABACA</t>
  </si>
  <si>
    <t>UGEL AYMARAES</t>
  </si>
  <si>
    <t>UGEL AZANGARO</t>
  </si>
  <si>
    <t>UGEL BAGUA</t>
  </si>
  <si>
    <t>UGEL BELLAVISTA</t>
  </si>
  <si>
    <t>UGEL BOLIVAR</t>
  </si>
  <si>
    <t>UGEL BOLOGNESI</t>
  </si>
  <si>
    <t>UGEL BONGARA</t>
  </si>
  <si>
    <t>UGEL CAJAMARCA</t>
  </si>
  <si>
    <t>UGEL CALCA</t>
  </si>
  <si>
    <t>UGEL CAMANA</t>
  </si>
  <si>
    <t>UGEL CANAS</t>
  </si>
  <si>
    <t>UGEL CANCHIS</t>
  </si>
  <si>
    <t>UGEL CANDARAVE</t>
  </si>
  <si>
    <t>UGEL CANGALLO</t>
  </si>
  <si>
    <t>UGEL CARABAYA</t>
  </si>
  <si>
    <t>UGEL CARAVELI</t>
  </si>
  <si>
    <t>UGEL CARHUAZ</t>
  </si>
  <si>
    <t>UGEL CARLOS FERMIN FITZCARRALD</t>
  </si>
  <si>
    <t>UGEL CASMA</t>
  </si>
  <si>
    <t>UGEL CASTILLA</t>
  </si>
  <si>
    <t>UGEL CASTROVIRREYNA</t>
  </si>
  <si>
    <t>UGEL CAYLLOMA</t>
  </si>
  <si>
    <t>UGEL CELENDIN</t>
  </si>
  <si>
    <t>UGEL CHACHAPOYAS</t>
  </si>
  <si>
    <t>UGEL CHANCHAMAYO</t>
  </si>
  <si>
    <t>UGEL CHEPEN</t>
  </si>
  <si>
    <t>UGEL CHICLAYO</t>
  </si>
  <si>
    <t>UGEL CHINCHA</t>
  </si>
  <si>
    <t>UGEL CHINCHEROS</t>
  </si>
  <si>
    <t>UGEL CHOTA</t>
  </si>
  <si>
    <t>UGEL CHUCUITO</t>
  </si>
  <si>
    <t>UGEL CHULUCANAS</t>
  </si>
  <si>
    <t>UGEL CHUMBIVILCAS</t>
  </si>
  <si>
    <t>UGEL CHUPACA</t>
  </si>
  <si>
    <t>UGEL CHURCAMPA</t>
  </si>
  <si>
    <t>UGEL CONCEPCION</t>
  </si>
  <si>
    <t>UGEL CONDESUYOS</t>
  </si>
  <si>
    <t>UGEL CONDORCANQUI</t>
  </si>
  <si>
    <t>UGEL CONTRALMIRANTE VILLAR</t>
  </si>
  <si>
    <t>UGEL CONTUMAZA</t>
  </si>
  <si>
    <t>UGEL CORONEL PORTILLO</t>
  </si>
  <si>
    <t>UGEL CORONGO</t>
  </si>
  <si>
    <t>UGEL COTABAMBAS</t>
  </si>
  <si>
    <t>UGEL CRUCERO</t>
  </si>
  <si>
    <t>UGEL CUSCO</t>
  </si>
  <si>
    <t>UGEL CUTERVO</t>
  </si>
  <si>
    <t>UGEL DANIEL ALCIDES CARRION</t>
  </si>
  <si>
    <t>UGEL DOS DE MAYO</t>
  </si>
  <si>
    <t>UGEL EL COLLAO</t>
  </si>
  <si>
    <t>UGEL EL DORADO</t>
  </si>
  <si>
    <t>UGEL ESPINAR</t>
  </si>
  <si>
    <t>UGEL GENERAL SANCHEZ CERRO</t>
  </si>
  <si>
    <t>UGEL GRAN CHIMU</t>
  </si>
  <si>
    <t>UGEL GRAU</t>
  </si>
  <si>
    <t>UGEL HUACAYBAMBA</t>
  </si>
  <si>
    <t>UGEL HUALGAYOC</t>
  </si>
  <si>
    <t>UGEL HUALLAGA</t>
  </si>
  <si>
    <t>UGEL HUAMALIES</t>
  </si>
  <si>
    <t>UGEL HUAMANGA</t>
  </si>
  <si>
    <t>UGEL HUANCABAMBA</t>
  </si>
  <si>
    <t>UGEL HUANCANE</t>
  </si>
  <si>
    <t>UGEL HUANCARAMA</t>
  </si>
  <si>
    <t>UGEL HUANCASANCOS</t>
  </si>
  <si>
    <t>UGEL HUANCAVELICA</t>
  </si>
  <si>
    <t>UGEL HUANCAYO</t>
  </si>
  <si>
    <t>UGEL HUANTA</t>
  </si>
  <si>
    <t>UGEL HUANUCO</t>
  </si>
  <si>
    <t>UGEL HUARAZ</t>
  </si>
  <si>
    <t>UGEL HUARI</t>
  </si>
  <si>
    <t>UGEL HUARMACA</t>
  </si>
  <si>
    <t>UGEL HUARMEY</t>
  </si>
  <si>
    <t>UGEL HUAYLAS</t>
  </si>
  <si>
    <t>UGEL HUAYTARA</t>
  </si>
  <si>
    <t>UGEL IBIR-IMAZA</t>
  </si>
  <si>
    <t>UGEL ICA</t>
  </si>
  <si>
    <t>UGEL ILO</t>
  </si>
  <si>
    <t>UGEL ISLAY</t>
  </si>
  <si>
    <t>UGEL JAEN</t>
  </si>
  <si>
    <t>UGEL JAUJA</t>
  </si>
  <si>
    <t>UGEL JORGE BASADRE</t>
  </si>
  <si>
    <t>UGEL JULCAN</t>
  </si>
  <si>
    <t>UGEL JUNIN</t>
  </si>
  <si>
    <t>UGEL LA CONVENCION</t>
  </si>
  <si>
    <t>UGEL LA JOYA</t>
  </si>
  <si>
    <t>UGEL LA MAR</t>
  </si>
  <si>
    <t>UGEL LA UNION</t>
  </si>
  <si>
    <t>UGEL LAMAS</t>
  </si>
  <si>
    <t>UGEL LAMBAYEQUE</t>
  </si>
  <si>
    <t>UGEL LAMPA</t>
  </si>
  <si>
    <t>UGEL LAURICOCHA</t>
  </si>
  <si>
    <t>UGEL LEONCIO PRADO</t>
  </si>
  <si>
    <t>UGEL LORETO - NAUTA</t>
  </si>
  <si>
    <t>UGEL LUCANAS</t>
  </si>
  <si>
    <t>UGEL LUYA</t>
  </si>
  <si>
    <t>UGEL MANU</t>
  </si>
  <si>
    <t>UGEL MARISCAL CACERES</t>
  </si>
  <si>
    <t>UGEL MARISCAL LUZURIAGA</t>
  </si>
  <si>
    <t>UGEL MARISCAL NIETO</t>
  </si>
  <si>
    <t>UGEL MAYNAS</t>
  </si>
  <si>
    <t>UGEL MELGAR</t>
  </si>
  <si>
    <t>UGEL MOHO</t>
  </si>
  <si>
    <t>UGEL MORROPON</t>
  </si>
  <si>
    <t>UGEL MOYOBAMBA</t>
  </si>
  <si>
    <t>UGEL NAZCA</t>
  </si>
  <si>
    <t>UGEL OCROS</t>
  </si>
  <si>
    <t>UGEL OTUZCO</t>
  </si>
  <si>
    <t>UGEL OXAPAMPA</t>
  </si>
  <si>
    <t>UGEL PACASMAYO</t>
  </si>
  <si>
    <t>UGEL PACHITEA</t>
  </si>
  <si>
    <t>UGEL PADRE ABAD</t>
  </si>
  <si>
    <t>UGEL PAITA</t>
  </si>
  <si>
    <t>UGEL PALLASCA</t>
  </si>
  <si>
    <t>UGEL PALPA</t>
  </si>
  <si>
    <t>UGEL PANGOA</t>
  </si>
  <si>
    <t>UGEL PARINACOCHAS</t>
  </si>
  <si>
    <t>UGEL PARURO</t>
  </si>
  <si>
    <t>UGEL PASCO</t>
  </si>
  <si>
    <t>UGEL PATAZ</t>
  </si>
  <si>
    <t>UGEL PAUCAR DE SARASARA</t>
  </si>
  <si>
    <t>UGEL PAUCARTAMBO</t>
  </si>
  <si>
    <t>UGEL PICHANAKI</t>
  </si>
  <si>
    <t>UGEL PICHARI-KIMBIRI</t>
  </si>
  <si>
    <t>UGEL PICOTA</t>
  </si>
  <si>
    <t>UGEL PISCO</t>
  </si>
  <si>
    <t>UGEL PIURA</t>
  </si>
  <si>
    <t>UGEL POMABAMBA</t>
  </si>
  <si>
    <t>UGEL PUERTO INCA</t>
  </si>
  <si>
    <t>UGEL PUNO</t>
  </si>
  <si>
    <t>UGEL PURUS</t>
  </si>
  <si>
    <t>UGEL PUTUMAYO</t>
  </si>
  <si>
    <t>UGEL QUISPICANCHI</t>
  </si>
  <si>
    <t>UGEL RAMON CASTILLA-CABALLOCOCHA</t>
  </si>
  <si>
    <t>UGEL RECUAY</t>
  </si>
  <si>
    <t>UGEL REQUENA</t>
  </si>
  <si>
    <t>UGEL RIO ENE-MANTARO</t>
  </si>
  <si>
    <t>UGEL RIO TAMBO</t>
  </si>
  <si>
    <t>UGEL RIOJA</t>
  </si>
  <si>
    <t>UGEL RODRIGUEZ DE MENDOZA</t>
  </si>
  <si>
    <t>UGEL SAN ANTONIO DE PUTINA</t>
  </si>
  <si>
    <t>UGEL SAN IGNACIO</t>
  </si>
  <si>
    <t>UGEL SAN MARTIN</t>
  </si>
  <si>
    <t>UGEL SAN MIGUEL</t>
  </si>
  <si>
    <t>UGEL SAN PABLO</t>
  </si>
  <si>
    <t>UGEL SAN ROMAN</t>
  </si>
  <si>
    <t>UGEL SANCHEZ CARRION</t>
  </si>
  <si>
    <t>UGEL SANDIA</t>
  </si>
  <si>
    <t>UGEL SANTA</t>
  </si>
  <si>
    <t>UGEL SANTA CRUZ</t>
  </si>
  <si>
    <t>UGEL SANTIAGO DE CHUCO</t>
  </si>
  <si>
    <t>UGEL SATIPO</t>
  </si>
  <si>
    <t>UGEL SECHURA</t>
  </si>
  <si>
    <t>UGEL SIHUAS</t>
  </si>
  <si>
    <t>UGEL SUCRE</t>
  </si>
  <si>
    <t>UGEL SULLANA</t>
  </si>
  <si>
    <t>UGEL SURCUBAMBA</t>
  </si>
  <si>
    <t>UGEL TACNA</t>
  </si>
  <si>
    <t>UGEL TAHUAMANU</t>
  </si>
  <si>
    <t>UGEL TALARA</t>
  </si>
  <si>
    <t>UGEL TAMBOGRANDE</t>
  </si>
  <si>
    <t>UGEL TAMBOPATA</t>
  </si>
  <si>
    <t>UGEL TARATA</t>
  </si>
  <si>
    <t>UGEL TARMA</t>
  </si>
  <si>
    <t>UGEL TAYACAJA</t>
  </si>
  <si>
    <t>UGEL TOCACHE</t>
  </si>
  <si>
    <t>UGEL TUMBES</t>
  </si>
  <si>
    <t>UGEL UCAYALI-CONTAMANA</t>
  </si>
  <si>
    <t>UGEL URUBAMBA</t>
  </si>
  <si>
    <t>UGEL UTCUBAMBA</t>
  </si>
  <si>
    <t>UGEL VENTANILLA</t>
  </si>
  <si>
    <t>UGEL VICTOR FAJARDO</t>
  </si>
  <si>
    <t>UGEL VILCASHUAMAN</t>
  </si>
  <si>
    <t>UGEL VIRU</t>
  </si>
  <si>
    <t>UGEL YAROWILCA</t>
  </si>
  <si>
    <t>UGEL YAULI</t>
  </si>
  <si>
    <t>UGEL YUNGAY</t>
  </si>
  <si>
    <t>UGEL YUNGUYO</t>
  </si>
  <si>
    <t>UGEL ZARUMILLA</t>
  </si>
  <si>
    <t>BIENVENIDO</t>
  </si>
  <si>
    <t>Datos del director de la Institución Educativa:</t>
  </si>
  <si>
    <t>PROYECTO EJECUTADO EN EL 2016</t>
  </si>
  <si>
    <t>EMAIL</t>
  </si>
  <si>
    <t>FONOIIEE</t>
  </si>
  <si>
    <t>VALIDACION1</t>
  </si>
  <si>
    <t>Versión de la Herramienta: 1.5</t>
  </si>
  <si>
    <t>Cuenta con Plan de Salud Escolar:</t>
  </si>
  <si>
    <t>Nombre de DRE o UGEL</t>
  </si>
  <si>
    <t xml:space="preserve">Nombres del coodinador </t>
  </si>
  <si>
    <t xml:space="preserve">Apellidos del coodinador </t>
  </si>
  <si>
    <t>Plan de Salud Escolar</t>
  </si>
  <si>
    <t>Qali Warma</t>
  </si>
  <si>
    <t>Dirección de la IIEE:</t>
  </si>
  <si>
    <t>Otro proyecto 1</t>
  </si>
  <si>
    <t>Otro proyecto 2</t>
  </si>
  <si>
    <t>Otro proyecto 3</t>
  </si>
  <si>
    <t>PROYECTO EJECUTADO EN EL 2017</t>
  </si>
  <si>
    <t>PROYECTO EJECUTADO EN EL 2018</t>
  </si>
  <si>
    <t>PROYECTO EJECUTADO EN EL 2019</t>
  </si>
  <si>
    <t>PROYECTO EJECUTADO EN EL 2020</t>
  </si>
  <si>
    <t>PROYECTO EJECUTADO EN EL 2021</t>
  </si>
  <si>
    <t>PROYECTO EJECUTADO EN EL 2022</t>
  </si>
  <si>
    <t>PROYECTO EJECUTADO EN EL 2023</t>
  </si>
  <si>
    <t>Nombre del proyecto</t>
  </si>
  <si>
    <t>GESTION ESCOLAR</t>
  </si>
  <si>
    <t>P1A</t>
  </si>
  <si>
    <t>P1B</t>
  </si>
  <si>
    <t>P1C</t>
  </si>
  <si>
    <t>P1D</t>
  </si>
  <si>
    <t>P1E</t>
  </si>
  <si>
    <t>P2A</t>
  </si>
  <si>
    <t>P2B</t>
  </si>
  <si>
    <t>P2C</t>
  </si>
  <si>
    <t>P2D</t>
  </si>
  <si>
    <t>P2E</t>
  </si>
  <si>
    <t>EDUCACION PARA EL CAMBIO CLIMATICO</t>
  </si>
  <si>
    <t>EDUCACION EN ECOEFICIENCIA</t>
  </si>
  <si>
    <t>EDUCACION EN SALUD</t>
  </si>
  <si>
    <t>GESTION DEL RIESGO DE DESASTRES</t>
  </si>
  <si>
    <t>VALIDACION2</t>
  </si>
  <si>
    <t>CODREG</t>
  </si>
  <si>
    <t>Salud SALUD</t>
  </si>
  <si>
    <t>Salud QALI WARMA</t>
  </si>
  <si>
    <t>P3A</t>
  </si>
  <si>
    <t>P3B</t>
  </si>
  <si>
    <t>P3C</t>
  </si>
  <si>
    <t>P3D</t>
  </si>
  <si>
    <t>P3E</t>
  </si>
  <si>
    <t>P4A</t>
  </si>
  <si>
    <t>P4B</t>
  </si>
  <si>
    <t>P4C</t>
  </si>
  <si>
    <t>P4D</t>
  </si>
  <si>
    <t>P4E</t>
  </si>
  <si>
    <t>Medios de verificación</t>
  </si>
  <si>
    <t>P5A</t>
  </si>
  <si>
    <t>P5B</t>
  </si>
  <si>
    <t>P5C</t>
  </si>
  <si>
    <t>P5D</t>
  </si>
  <si>
    <t>P5E</t>
  </si>
  <si>
    <t>P6A</t>
  </si>
  <si>
    <t>P6B</t>
  </si>
  <si>
    <t>P6C</t>
  </si>
  <si>
    <t>P6D</t>
  </si>
  <si>
    <t>P6E</t>
  </si>
  <si>
    <t>PORCENTAJE</t>
  </si>
  <si>
    <t>FINAL</t>
  </si>
  <si>
    <t>VALIDACION4.1</t>
  </si>
  <si>
    <t>VALIDACION4.2</t>
  </si>
  <si>
    <t>VALIDACION4.3</t>
  </si>
  <si>
    <t>VALIDACION4.4</t>
  </si>
  <si>
    <t>VALIDACION4.5</t>
  </si>
  <si>
    <t>VALIDACION4</t>
  </si>
  <si>
    <t>N</t>
  </si>
  <si>
    <t>PEIA</t>
  </si>
  <si>
    <t>VALIDACIONPEIA</t>
  </si>
  <si>
    <t>Zona</t>
  </si>
  <si>
    <t>Nombre de DRE o UGEL que supervisa la IE:</t>
  </si>
  <si>
    <t>Apellidos y nombres del coodinador del comité ambiental de la IE:</t>
  </si>
  <si>
    <t>Otros proyectos:</t>
  </si>
  <si>
    <t>Si la IE no aparece registrada en el ESCALE, ingrese los datos en los siguientes recuadros:</t>
  </si>
  <si>
    <t>P01A</t>
  </si>
  <si>
    <t>P01B</t>
  </si>
  <si>
    <t>P01C</t>
  </si>
  <si>
    <t>P01D</t>
  </si>
  <si>
    <t>P01E</t>
  </si>
  <si>
    <t>P02A</t>
  </si>
  <si>
    <t>P02B</t>
  </si>
  <si>
    <t>P02C</t>
  </si>
  <si>
    <t>P02D</t>
  </si>
  <si>
    <t>P02E</t>
  </si>
  <si>
    <t>P03A</t>
  </si>
  <si>
    <t>P03B</t>
  </si>
  <si>
    <t>P03C</t>
  </si>
  <si>
    <t>P03D</t>
  </si>
  <si>
    <t>P03E</t>
  </si>
  <si>
    <t>P04A</t>
  </si>
  <si>
    <t>P04B</t>
  </si>
  <si>
    <t>P04C</t>
  </si>
  <si>
    <t>P04D</t>
  </si>
  <si>
    <t>P04E</t>
  </si>
  <si>
    <t>P05A</t>
  </si>
  <si>
    <t>P05B</t>
  </si>
  <si>
    <t>P05C</t>
  </si>
  <si>
    <t>P05D</t>
  </si>
  <si>
    <t>P05E</t>
  </si>
  <si>
    <t>P06A</t>
  </si>
  <si>
    <t>P06B</t>
  </si>
  <si>
    <t>P06C</t>
  </si>
  <si>
    <t>P06D</t>
  </si>
  <si>
    <t>P06E</t>
  </si>
  <si>
    <t>P07A</t>
  </si>
  <si>
    <t>P07B</t>
  </si>
  <si>
    <t>P07C</t>
  </si>
  <si>
    <t>P07D</t>
  </si>
  <si>
    <t>P07E</t>
  </si>
  <si>
    <t>P08A</t>
  </si>
  <si>
    <t>P08B</t>
  </si>
  <si>
    <t>P08C</t>
  </si>
  <si>
    <t>P08D</t>
  </si>
  <si>
    <t>P08E</t>
  </si>
  <si>
    <t>MARCAR EL/LOS COMPONENTES CON LOS QUE HA TRABAJADO</t>
  </si>
  <si>
    <t>Debe de llenar los campos solicitados para realizar el envio de los datos.</t>
  </si>
  <si>
    <t>%</t>
  </si>
  <si>
    <t>&amp;</t>
  </si>
  <si>
    <t>O</t>
  </si>
  <si>
    <t>Y</t>
  </si>
  <si>
    <t>b</t>
  </si>
  <si>
    <t>h</t>
  </si>
  <si>
    <t>Š</t>
  </si>
  <si>
    <t></t>
  </si>
  <si>
    <t>§</t>
  </si>
  <si>
    <t>¨</t>
  </si>
  <si>
    <t>þ</t>
  </si>
  <si>
    <t>J</t>
  </si>
  <si>
    <t>P</t>
  </si>
  <si>
    <t>Q</t>
  </si>
  <si>
    <t>z</t>
  </si>
  <si>
    <t>~</t>
  </si>
  <si>
    <t>á</t>
  </si>
  <si>
    <t>REGION</t>
  </si>
  <si>
    <t>UNIDAD EJECUTORA</t>
  </si>
  <si>
    <t>UGEL</t>
  </si>
  <si>
    <t>001-56: 01 SAN JUAN DE MIRAFLORES</t>
  </si>
  <si>
    <t>002-57: 02 SAN MARTIN DE PORRAS</t>
  </si>
  <si>
    <t>003-58: 03 CERCADO</t>
  </si>
  <si>
    <t>UGEL 03 BRENA</t>
  </si>
  <si>
    <t>004-59: 04 COMAS</t>
  </si>
  <si>
    <t>005-60: 05 SAN JUAN DE LURIGANCHO</t>
  </si>
  <si>
    <t>006-61: 06 VITARTE</t>
  </si>
  <si>
    <t>007-62: 07 SAN BORJA</t>
  </si>
  <si>
    <t>303. EDUCACION BAGUA CAPITAL</t>
  </si>
  <si>
    <t>300. EDUCACION AMAZONAS</t>
  </si>
  <si>
    <t>302. EDUCACION CONDORCANQUI</t>
  </si>
  <si>
    <t>301. EDUCACION BAGUA</t>
  </si>
  <si>
    <t>304. EDUCACION AIJA</t>
  </si>
  <si>
    <t>312. EDUCACION ANTONIO RAIMONDI</t>
  </si>
  <si>
    <t>314. EDUCACION ASUNCION</t>
  </si>
  <si>
    <t>313. EDUCACION BOLOGNESI</t>
  </si>
  <si>
    <t>315. EDUCACION CARHUAZ</t>
  </si>
  <si>
    <t>307. EDUCACION CARLOS F. FITZCARRALD</t>
  </si>
  <si>
    <t>310. EDUCACION CASMA</t>
  </si>
  <si>
    <t>320. EDUCACION CORONGO</t>
  </si>
  <si>
    <t>311. EDUCACION HUARAZ</t>
  </si>
  <si>
    <t>308. EDUCACION HUARI</t>
  </si>
  <si>
    <t>303. EDUCACION HUARMEY</t>
  </si>
  <si>
    <t>302. EDUCACION HUAYLAS</t>
  </si>
  <si>
    <t>316. EDUCACION MARISCAL LUZURIAGA</t>
  </si>
  <si>
    <t>317. EDUCACION OCROS</t>
  </si>
  <si>
    <t>309. EDUCACION PALLASCA</t>
  </si>
  <si>
    <t>305. EDUCACION POMABAMBA</t>
  </si>
  <si>
    <t>318. EDUCACION RECUAY</t>
  </si>
  <si>
    <t>301. EDUCACION SANTA</t>
  </si>
  <si>
    <t>306. EDUCACION SIHUAS</t>
  </si>
  <si>
    <t>319. EDUCACION YUNGAY</t>
  </si>
  <si>
    <t>307. EDUCACION ABANCAY</t>
  </si>
  <si>
    <t>301. EDUCACION CHANKA</t>
  </si>
  <si>
    <t>308. EDUCACION ANTABAMBA</t>
  </si>
  <si>
    <t>306. EDUCACION AYMARAES</t>
  </si>
  <si>
    <t>303. EDUCACION CHINCHEROS</t>
  </si>
  <si>
    <t>302. EDUCACION COTABAMBAS</t>
  </si>
  <si>
    <t>304. EDUCACION GRAU</t>
  </si>
  <si>
    <t>305. EDUCACION HUANCARAMA</t>
  </si>
  <si>
    <t>302. EDUCACION AREQUIPA NORTE</t>
  </si>
  <si>
    <t>303. EDUCACION AREQUIPA SUR</t>
  </si>
  <si>
    <t>300. EDUCACION AREQUIPA</t>
  </si>
  <si>
    <t>301. EDUCACION CENTRO AYACUCHO</t>
  </si>
  <si>
    <t>308. EDUCACION HUAMANGA</t>
  </si>
  <si>
    <t>312. EDUCACION HUANCASANCOS</t>
  </si>
  <si>
    <t>305. EDUCACION HUANTA</t>
  </si>
  <si>
    <t>307. EDUCACION VRAE LA MAR</t>
  </si>
  <si>
    <t>302. EDUCACION LUCANAS</t>
  </si>
  <si>
    <t>303. EDUCACION SARA SARA</t>
  </si>
  <si>
    <t>304. EDUCACION SUR PAUZA</t>
  </si>
  <si>
    <t>309. EDUCACION UGEL SUCRE</t>
  </si>
  <si>
    <t>310. EDUCACION UGEL VICTOR FAJARDO</t>
  </si>
  <si>
    <t>311. EDUCACION VILCASHUAMAN</t>
  </si>
  <si>
    <t>306. EDUCACION UGEL CAJABAMBA</t>
  </si>
  <si>
    <t>309. EDUCACION UGEL CAJAMARCA</t>
  </si>
  <si>
    <t>308. EDUCACION UGEL CELENDIN</t>
  </si>
  <si>
    <t>301. EDUCACION CHOTA</t>
  </si>
  <si>
    <t>311. EDUCACION UGEL CONTUMAZA</t>
  </si>
  <si>
    <t>302. EDUCACION CUTERVO</t>
  </si>
  <si>
    <t>307. EDUCACION UGEL BAMBAMARCA</t>
  </si>
  <si>
    <t>303. EDUCACION JAEN</t>
  </si>
  <si>
    <t>304. EDUCACION SAN IGNACIO</t>
  </si>
  <si>
    <t>310. EDUCACION UGEL SAN MARCOS</t>
  </si>
  <si>
    <t>312. EDUCACION UGEL SAN MIGUEL</t>
  </si>
  <si>
    <t>313. EDUCACION UGEL SAN PABLO</t>
  </si>
  <si>
    <t>305. EDUCACION UGEL SANTA CRUZ</t>
  </si>
  <si>
    <t>303. EDUCACION QUISPICANCHIS</t>
  </si>
  <si>
    <t>300. EDUCACION CUSCO</t>
  </si>
  <si>
    <t>311. UGEL CALCA</t>
  </si>
  <si>
    <t>302. EDUCACION CANCHIS</t>
  </si>
  <si>
    <t>305. EDUCACION CHUMBIVILCAS</t>
  </si>
  <si>
    <t>312. UGEL CUSCO</t>
  </si>
  <si>
    <t>310. EDUCACION ESPINAR</t>
  </si>
  <si>
    <t>304. EDUCACION LA CONVENCION</t>
  </si>
  <si>
    <t>306. UGEL PARURO</t>
  </si>
  <si>
    <t>309. EDUCACION PAUCARTAMBO</t>
  </si>
  <si>
    <t>308. UGEL URUBAMBA</t>
  </si>
  <si>
    <t>008. GERENCIA SUB-REGIONAL ACOBAMBA</t>
  </si>
  <si>
    <t>307. EDUCACION UGEL ANGARAES</t>
  </si>
  <si>
    <t>006. GERENCIA SUB-REGIONAL CASTROVIRREYNA</t>
  </si>
  <si>
    <t>005. GERENCIA SUB-REGIONAL CHURCAMPA</t>
  </si>
  <si>
    <t>300. EDUCACION HUANCAVELICA</t>
  </si>
  <si>
    <t>007. GERENCIA SUB-REGIONAL HUAYTARA</t>
  </si>
  <si>
    <t>002. GERENCIA SUB-REGIONAL TAYACAJA</t>
  </si>
  <si>
    <t>308. EDUCACION UGEL AMBO</t>
  </si>
  <si>
    <t>303. EDUCACION DOS DE MAYO</t>
  </si>
  <si>
    <t>307. EDUCACION UGEL HUACAYBAMBA</t>
  </si>
  <si>
    <t>305. EDUCACION UGEL HUAMALIES</t>
  </si>
  <si>
    <t>311. EDUCACION UGEL HUANUCO</t>
  </si>
  <si>
    <t>309. EDUCACION UGEL LAURICOCHA</t>
  </si>
  <si>
    <t>302. EDUCACION LEONCIO PRADO</t>
  </si>
  <si>
    <t>301. EDUCACION MARANON</t>
  </si>
  <si>
    <t>UGEL MARANON</t>
  </si>
  <si>
    <t>304. EDUCACION UGEL PACHITEA</t>
  </si>
  <si>
    <t>306. EDUCACION UGEL PUERTO INCA</t>
  </si>
  <si>
    <t>310. EDUCACION UGEL YAROWILCA</t>
  </si>
  <si>
    <t>301. EDUCACION CHINCHA</t>
  </si>
  <si>
    <t>300. EDUCACION ICA</t>
  </si>
  <si>
    <t>302. EDUCACION NASCA</t>
  </si>
  <si>
    <t>304. EDUCACION PALPA</t>
  </si>
  <si>
    <t>303. EDUCACION PISCO</t>
  </si>
  <si>
    <t>303. EDUCACION CHANCHAMAYO</t>
  </si>
  <si>
    <t>306. EDUCACION CHUPACA</t>
  </si>
  <si>
    <t>305. EDUCACION CONCEPCION</t>
  </si>
  <si>
    <t>304. EDUCACION HUANCAYO</t>
  </si>
  <si>
    <t>307. EDUCACION JAUJA</t>
  </si>
  <si>
    <t>309. EDUCACION PROVINCIA DE JUNIN</t>
  </si>
  <si>
    <t>302. EDUCACION SATIPO</t>
  </si>
  <si>
    <t>301. EDUCACION TARMA</t>
  </si>
  <si>
    <t>308. EDUCACION YAULI - LA OROYA</t>
  </si>
  <si>
    <t>313. EDUCACION EL PORVENIR</t>
  </si>
  <si>
    <t>314. EDUCACION LA ESPERANZA</t>
  </si>
  <si>
    <t>315. EDUCACION TRUJILLO NOR OESTE</t>
  </si>
  <si>
    <t>316. EDUCACION TRUJILLO SUR ESTE</t>
  </si>
  <si>
    <t>303. EDUCACION ASCOPE</t>
  </si>
  <si>
    <t>309. EDUCACION BOLIVAR</t>
  </si>
  <si>
    <t>301. EDUCACION CHEPEN</t>
  </si>
  <si>
    <t>304. EDUCACION GRAN CHIMU</t>
  </si>
  <si>
    <t>311. EDUCACION JULCAN</t>
  </si>
  <si>
    <t>305. EDUCACION OTUZCO</t>
  </si>
  <si>
    <t>302. EDUCACION PACASMAYO</t>
  </si>
  <si>
    <t>308. EDUCACION PATAZ</t>
  </si>
  <si>
    <t>307. EDUCACION SANCHEZ CARRION</t>
  </si>
  <si>
    <t>306. EDUCACION SANTIAGO DE CHUCO</t>
  </si>
  <si>
    <t>312. EDUCACION VIRU</t>
  </si>
  <si>
    <t>300. EDUCACION CHICLAYO</t>
  </si>
  <si>
    <t>303. EDUCACION FERRENAFE</t>
  </si>
  <si>
    <t>UGEL FERRENAFE</t>
  </si>
  <si>
    <t>302. EDUCACION LAMBAYEQUE</t>
  </si>
  <si>
    <t>306. EDUCACION DATEM DEL MARANON</t>
  </si>
  <si>
    <t>301. EDUCACION ALTO AMAZONAS</t>
  </si>
  <si>
    <t>305. EDUCACION NAUTA</t>
  </si>
  <si>
    <t>300. EDUCACION LORETO</t>
  </si>
  <si>
    <t>303. EDUCACION MARISCAL RAMON CASTILLA</t>
  </si>
  <si>
    <t>304. EDUCACION REQUENA</t>
  </si>
  <si>
    <t>302. EDUCACION CONTAMANA</t>
  </si>
  <si>
    <t>300. EDUCACION MADRE DE DIOS</t>
  </si>
  <si>
    <t>303. EDUCACION SANCHEZ CERRO</t>
  </si>
  <si>
    <t>301. EDUCACION ILO</t>
  </si>
  <si>
    <t>302. EDUCACION MARISCAL NIETO</t>
  </si>
  <si>
    <t>302. EDUCACION DANIEL A. CARRION</t>
  </si>
  <si>
    <t>301. EDUCACION OXAPAMPA</t>
  </si>
  <si>
    <t>303. UGEL PASCO</t>
  </si>
  <si>
    <t>308. EDUCACION UGEL AYABACA</t>
  </si>
  <si>
    <t>303. EDUCACION ALTO PIURA</t>
  </si>
  <si>
    <t>309. UNIDAD DE GESTION EDUCATIVA LOCAL HUANCABAMBA</t>
  </si>
  <si>
    <t>310. UNIDAD DE GESTION EDUCATIVA LOCAL HUARMACA</t>
  </si>
  <si>
    <t>300. EDUCACION PIURA</t>
  </si>
  <si>
    <t>307. EDUCACION UGEL MORROPON</t>
  </si>
  <si>
    <t>305. EDUCACION UGEL DE PAITA</t>
  </si>
  <si>
    <t>302. EDUCACION LUCIANO CASTILLO COLONNA</t>
  </si>
  <si>
    <t>306. EDUCACION UGEL DE TALARA</t>
  </si>
  <si>
    <t>303. EDUCACION AZANGARO</t>
  </si>
  <si>
    <t>309. EDUCACION CARABAYA MACUSANI</t>
  </si>
  <si>
    <t>307. EDUCACION CHUCUITO JULI</t>
  </si>
  <si>
    <t>314. EDUCACION CRUCERO</t>
  </si>
  <si>
    <t>306. EDUCACION COLLAO</t>
  </si>
  <si>
    <t>304. EDUCACION HUANCANE</t>
  </si>
  <si>
    <t>312. EDUCACION LAMPA</t>
  </si>
  <si>
    <t>302. EDUCACION MELGAR</t>
  </si>
  <si>
    <t>313. EDUCACION MOHO</t>
  </si>
  <si>
    <t>311. UGEL PUNO</t>
  </si>
  <si>
    <t>305. EDUCACION PUTINA</t>
  </si>
  <si>
    <t>301. EDUCACION SAN ROMAN</t>
  </si>
  <si>
    <t>310. EDUCACION SANDIA</t>
  </si>
  <si>
    <t>308. EDUCACION YUNGUYO</t>
  </si>
  <si>
    <t>307. EDUCACION BELLAVISTA</t>
  </si>
  <si>
    <t>301. EDUCACION BAJO MAYO</t>
  </si>
  <si>
    <t>302. EDUCACION HUALLAGA CENTRAL</t>
  </si>
  <si>
    <t>305. EDUCACION LAMAS</t>
  </si>
  <si>
    <t>300. EDUCACION SAN MARTIN</t>
  </si>
  <si>
    <t>306. EDUCACION RIOJA</t>
  </si>
  <si>
    <t>303. EDUCACION ALTO HUALLAGA</t>
  </si>
  <si>
    <t>300. EDUCACION TACNA</t>
  </si>
  <si>
    <t>301. UGEL TACNA</t>
  </si>
  <si>
    <t>302. EDUCACION UGEL CONTRALMIRANTE VILLAR ZORRITOS</t>
  </si>
  <si>
    <t>301. EDUCACION UGEL TUMBES</t>
  </si>
  <si>
    <t>303. EDUCACION UGEL ZARUMILLA</t>
  </si>
  <si>
    <t>302. EDUCACION ATALAYA</t>
  </si>
  <si>
    <t>303. EDUCACION CORONEL PORTILLO</t>
  </si>
  <si>
    <t>304. EDUCACION PADRE ABAD</t>
  </si>
  <si>
    <t>301. EDUCACION PURUS</t>
  </si>
  <si>
    <t>301. EDUCACION CANETE</t>
  </si>
  <si>
    <t>UGEL 08 CANETE</t>
  </si>
  <si>
    <t>302. EDUCACION HUAURA</t>
  </si>
  <si>
    <t>303. EDUCACION HUARAL</t>
  </si>
  <si>
    <t>304. EDUCACION CAJATAMBO</t>
  </si>
  <si>
    <t>305. EDUCACION CANTA</t>
  </si>
  <si>
    <t>306. EDUCACION YAUYOS</t>
  </si>
  <si>
    <t>307. EDUCACION OYON</t>
  </si>
  <si>
    <t>308. EDUCACION HUAROCHIRI</t>
  </si>
  <si>
    <t>309. EDUCACION BARRANCA</t>
  </si>
  <si>
    <t>300. EDUCACION CALLAO</t>
  </si>
  <si>
    <t>DRE CALLAO</t>
  </si>
  <si>
    <t>302. EDUCACION VENTANILLA</t>
  </si>
  <si>
    <t>SI/NO</t>
  </si>
  <si>
    <t>VALIDAALGUNPEIA</t>
  </si>
  <si>
    <t>-</t>
  </si>
  <si>
    <t>Código Modular</t>
  </si>
  <si>
    <t>Nombre de Institución Educativa - ESCALE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</si>
</sst>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00000"/>
    <numFmt numFmtId="165" formatCode="dddd\,\ dd\-mm\-yyyy\,\ hh:mm:ss"/>
    <numFmt numFmtId="166" formatCode="00000000"/>
  </numFmts>
  <fonts count="64" x14ac:knownFonts="1">
    <font>
      <sz val="10"/>
      <color theme="1"/>
      <name val="Calibri"/>
      <family val="2"/>
    </font>
    <font>
      <sz val="11"/>
      <color theme="1"/>
      <name val="Calibri"/>
      <family val="2"/>
      <scheme val="minor"/>
    </font>
    <font>
      <sz val="8"/>
      <color theme="0" tint="-0.499984740745262"/>
      <name val="Calibri"/>
      <family val="2"/>
    </font>
    <font>
      <sz val="10"/>
      <name val="Calibri"/>
      <family val="2"/>
    </font>
    <font>
      <sz val="8"/>
      <color theme="1" tint="0.499984740745262"/>
      <name val="Calibri"/>
      <family val="2"/>
    </font>
    <font>
      <sz val="8"/>
      <color theme="1" tint="0.34998626667073579"/>
      <name val="Calibri"/>
      <family val="2"/>
    </font>
    <font>
      <sz val="10"/>
      <color theme="1" tint="0.499984740745262"/>
      <name val="Calibri"/>
      <family val="2"/>
    </font>
    <font>
      <sz val="10"/>
      <color theme="1" tint="0.34998626667073579"/>
      <name val="Calibri"/>
      <family val="2"/>
    </font>
    <font>
      <sz val="20"/>
      <color theme="0" tint="-0.14999847407452621"/>
      <name val="Webdings"/>
      <family val="1"/>
      <charset val="2"/>
    </font>
    <font>
      <sz val="12"/>
      <name val="Calibri"/>
      <family val="2"/>
    </font>
    <font>
      <sz val="28"/>
      <color rgb="FF0000FF"/>
      <name val="Webdings"/>
      <family val="1"/>
      <charset val="2"/>
    </font>
    <font>
      <sz val="14"/>
      <color theme="1"/>
      <name val="Calibri"/>
      <family val="2"/>
    </font>
    <font>
      <u/>
      <sz val="10"/>
      <color theme="10"/>
      <name val="Calibri"/>
      <family val="2"/>
    </font>
    <font>
      <b/>
      <sz val="10"/>
      <color theme="1"/>
      <name val="Calibri"/>
      <family val="2"/>
    </font>
    <font>
      <b/>
      <sz val="10"/>
      <name val="Calibri"/>
      <family val="2"/>
    </font>
    <font>
      <b/>
      <sz val="36"/>
      <color theme="1" tint="0.249977111117893"/>
      <name val="Eras Bold ITC"/>
      <family val="2"/>
    </font>
    <font>
      <sz val="10"/>
      <color theme="1" tint="0.249977111117893"/>
      <name val="Eras Bold ITC"/>
      <family val="2"/>
    </font>
    <font>
      <sz val="11"/>
      <color theme="1" tint="0.34998626667073579"/>
      <name val="Eras Bold ITC"/>
      <family val="2"/>
    </font>
    <font>
      <b/>
      <sz val="16"/>
      <color theme="1" tint="0.249977111117893"/>
      <name val="Eras Bold ITC"/>
      <family val="2"/>
    </font>
    <font>
      <sz val="12"/>
      <color theme="1"/>
      <name val="Calibri"/>
      <family val="2"/>
    </font>
    <font>
      <b/>
      <i/>
      <sz val="12"/>
      <color theme="1" tint="0.249977111117893"/>
      <name val="Calibri"/>
      <family val="2"/>
    </font>
    <font>
      <b/>
      <sz val="9"/>
      <name val="Calibri"/>
      <family val="2"/>
    </font>
    <font>
      <b/>
      <sz val="9"/>
      <color theme="1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sz val="7"/>
      <name val="Calibri"/>
      <family val="2"/>
    </font>
    <font>
      <sz val="7"/>
      <color theme="1"/>
      <name val="Calibri"/>
      <family val="2"/>
    </font>
    <font>
      <b/>
      <i/>
      <sz val="14"/>
      <name val="Calibri"/>
      <family val="2"/>
    </font>
    <font>
      <sz val="24"/>
      <color rgb="FF0000FF"/>
      <name val="Webdings"/>
      <family val="1"/>
      <charset val="2"/>
    </font>
    <font>
      <sz val="16"/>
      <color rgb="FF0000FF"/>
      <name val="Webdings"/>
      <family val="1"/>
      <charset val="2"/>
    </font>
    <font>
      <sz val="10"/>
      <color theme="1" tint="0.499984740745262"/>
      <name val="Arial Narrow"/>
      <family val="2"/>
    </font>
    <font>
      <sz val="10"/>
      <color rgb="FF000000"/>
      <name val="Arial"/>
      <family val="2"/>
    </font>
    <font>
      <sz val="10"/>
      <color theme="0"/>
      <name val="Calibri"/>
      <family val="2"/>
    </font>
    <font>
      <sz val="10"/>
      <color theme="0" tint="-4.9989318521683403E-2"/>
      <name val="Calibri"/>
      <family val="2"/>
    </font>
    <font>
      <b/>
      <sz val="20"/>
      <color theme="1" tint="0.249977111117893"/>
      <name val="Eras Bold ITC"/>
      <family val="2"/>
    </font>
    <font>
      <b/>
      <sz val="12"/>
      <name val="Calibri"/>
      <family val="2"/>
    </font>
    <font>
      <sz val="20"/>
      <color theme="1" tint="0.249977111117893"/>
      <name val="Eras Bold ITC"/>
      <family val="2"/>
    </font>
    <font>
      <sz val="10"/>
      <color theme="1" tint="0.249977111117893"/>
      <name val="Calibri"/>
      <family val="2"/>
    </font>
    <font>
      <sz val="12"/>
      <color theme="1" tint="0.249977111117893"/>
      <name val="Courier New"/>
      <family val="3"/>
    </font>
    <font>
      <sz val="10"/>
      <color theme="1" tint="0.249977111117893"/>
      <name val="Courier New"/>
      <family val="3"/>
    </font>
    <font>
      <sz val="9"/>
      <name val="Calibri"/>
      <family val="2"/>
    </font>
    <font>
      <u/>
      <sz val="10"/>
      <color theme="0" tint="-4.9989318521683403E-2"/>
      <name val="Calibri"/>
      <family val="2"/>
    </font>
    <font>
      <sz val="16"/>
      <color theme="1" tint="0.249977111117893"/>
      <name val="Eras Bold ITC"/>
      <family val="2"/>
    </font>
    <font>
      <b/>
      <sz val="8"/>
      <name val="Calibri"/>
      <family val="2"/>
    </font>
    <font>
      <b/>
      <sz val="24"/>
      <color theme="1" tint="0.249977111117893"/>
      <name val="Eras Bold ITC"/>
      <family val="2"/>
    </font>
    <font>
      <sz val="10"/>
      <color theme="8"/>
      <name val="Calibri"/>
      <family val="2"/>
    </font>
    <font>
      <sz val="10"/>
      <color rgb="FF7030A0"/>
      <name val="Calibri"/>
      <family val="2"/>
    </font>
    <font>
      <sz val="10"/>
      <color rgb="FFC00000"/>
      <name val="Calibri"/>
      <family val="2"/>
    </font>
    <font>
      <sz val="10"/>
      <color theme="6" tint="0.79998168889431442"/>
      <name val="Calibri"/>
      <family val="2"/>
    </font>
    <font>
      <sz val="10"/>
      <color theme="5" tint="-0.249977111117893"/>
      <name val="Calibri"/>
      <family val="2"/>
    </font>
    <font>
      <b/>
      <sz val="11"/>
      <color theme="1" tint="0.249977111117893"/>
      <name val="Calibri"/>
      <family val="2"/>
    </font>
    <font>
      <b/>
      <sz val="11"/>
      <name val="Calibri"/>
      <family val="2"/>
      <scheme val="minor"/>
    </font>
    <font>
      <sz val="12"/>
      <color rgb="FFC00000"/>
      <name val="Calibri"/>
      <family val="2"/>
    </font>
    <font>
      <sz val="10"/>
      <color rgb="FFC00000"/>
      <name val="Arial Narrow"/>
      <family val="2"/>
    </font>
    <font>
      <sz val="11"/>
      <color rgb="FFC00000"/>
      <name val="Calibri"/>
      <family val="2"/>
      <scheme val="minor"/>
    </font>
    <font>
      <i/>
      <sz val="12"/>
      <name val="Calibri"/>
      <family val="2"/>
    </font>
    <font>
      <i/>
      <sz val="12"/>
      <color theme="1"/>
      <name val="Calibri"/>
      <family val="2"/>
    </font>
    <font>
      <b/>
      <i/>
      <sz val="11"/>
      <color rgb="FFC00000"/>
      <name val="Calibri"/>
      <family val="2"/>
    </font>
    <font>
      <sz val="11"/>
      <color rgb="FFC00000"/>
      <name val="Calibr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C00000"/>
      <name val="Calibri"/>
      <family val="2"/>
      <scheme val="minor"/>
    </font>
    <font>
      <sz val="9"/>
      <color theme="2"/>
      <name val="Calibri"/>
      <family val="2"/>
    </font>
    <font>
      <sz val="12"/>
      <color theme="0" tint="-4.9989318521683403E-2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ADCD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0F9FF"/>
        <bgColor indexed="64"/>
      </patternFill>
    </fill>
    <fill>
      <patternFill patternType="solid">
        <fgColor rgb="FFF0F3FF"/>
        <bgColor indexed="64"/>
      </patternFill>
    </fill>
    <fill>
      <patternFill patternType="solid">
        <fgColor rgb="FFF0FCFF"/>
        <bgColor indexed="64"/>
      </patternFill>
    </fill>
    <fill>
      <patternFill patternType="solid">
        <fgColor rgb="FFF0F6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43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0" tint="-0.1499679555650502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2" fillId="0" borderId="0" applyNumberFormat="0" applyFill="0" applyBorder="0" applyAlignment="0" applyProtection="0"/>
    <xf numFmtId="0" fontId="31" fillId="0" borderId="0"/>
    <xf numFmtId="0" fontId="1" fillId="0" borderId="0"/>
  </cellStyleXfs>
  <cellXfs count="576">
    <xf numFmtId="0" fontId="0" fillId="0" borderId="0" xfId="0"/>
    <xf numFmtId="0" fontId="2" fillId="2" borderId="1" xfId="0" applyFont="1" applyFill="1" applyBorder="1" applyAlignment="1" applyProtection="1">
      <alignment horizontal="left" vertical="center"/>
      <protection hidden="1"/>
    </xf>
    <xf numFmtId="0" fontId="0" fillId="2" borderId="2" xfId="0" applyFill="1" applyBorder="1" applyAlignment="1" applyProtection="1">
      <alignment horizontal="center" vertical="center"/>
      <protection hidden="1"/>
    </xf>
    <xf numFmtId="0" fontId="3" fillId="2" borderId="3" xfId="0" applyFont="1" applyFill="1" applyBorder="1" applyAlignment="1" applyProtection="1">
      <alignment horizontal="center" vertical="center"/>
      <protection hidden="1"/>
    </xf>
    <xf numFmtId="0" fontId="4" fillId="2" borderId="3" xfId="0" applyFont="1" applyFill="1" applyBorder="1" applyAlignment="1" applyProtection="1">
      <alignment horizontal="center" vertical="center"/>
      <protection hidden="1"/>
    </xf>
    <xf numFmtId="0" fontId="5" fillId="2" borderId="3" xfId="0" applyFont="1" applyFill="1" applyBorder="1" applyAlignment="1" applyProtection="1">
      <alignment horizontal="center" vertical="center"/>
      <protection hidden="1"/>
    </xf>
    <xf numFmtId="0" fontId="2" fillId="2" borderId="4" xfId="0" applyFont="1" applyFill="1" applyBorder="1" applyAlignment="1" applyProtection="1">
      <alignment horizontal="right" vertical="center"/>
      <protection hidden="1"/>
    </xf>
    <xf numFmtId="0" fontId="3" fillId="2" borderId="5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Border="1" applyAlignment="1" applyProtection="1">
      <alignment horizontal="center" vertical="center"/>
      <protection hidden="1"/>
    </xf>
    <xf numFmtId="0" fontId="3" fillId="2" borderId="6" xfId="0" applyFont="1" applyFill="1" applyBorder="1" applyAlignment="1" applyProtection="1">
      <alignment horizontal="center" vertical="center"/>
      <protection hidden="1"/>
    </xf>
    <xf numFmtId="0" fontId="2" fillId="2" borderId="7" xfId="0" applyFont="1" applyFill="1" applyBorder="1" applyAlignment="1" applyProtection="1">
      <alignment horizontal="left" vertical="center"/>
      <protection hidden="1"/>
    </xf>
    <xf numFmtId="0" fontId="0" fillId="2" borderId="8" xfId="0" applyFill="1" applyBorder="1" applyAlignment="1" applyProtection="1">
      <alignment horizontal="center" vertical="center"/>
      <protection hidden="1"/>
    </xf>
    <xf numFmtId="0" fontId="3" fillId="2" borderId="8" xfId="0" applyFont="1" applyFill="1" applyBorder="1" applyAlignment="1" applyProtection="1">
      <alignment horizontal="center" vertical="center"/>
      <protection hidden="1"/>
    </xf>
    <xf numFmtId="0" fontId="6" fillId="2" borderId="8" xfId="0" applyFont="1" applyFill="1" applyBorder="1" applyAlignment="1" applyProtection="1">
      <alignment horizontal="center" vertical="center"/>
      <protection hidden="1"/>
    </xf>
    <xf numFmtId="0" fontId="7" fillId="2" borderId="8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right" vertical="center"/>
      <protection hidden="1"/>
    </xf>
    <xf numFmtId="0" fontId="0" fillId="0" borderId="10" xfId="0" applyBorder="1"/>
    <xf numFmtId="0" fontId="9" fillId="2" borderId="0" xfId="0" applyFont="1" applyFill="1" applyBorder="1" applyAlignment="1" applyProtection="1">
      <alignment horizontal="left" vertical="center"/>
      <protection hidden="1"/>
    </xf>
    <xf numFmtId="0" fontId="10" fillId="2" borderId="0" xfId="0" applyFont="1" applyFill="1" applyBorder="1" applyAlignment="1" applyProtection="1">
      <alignment horizontal="center" vertical="center"/>
      <protection hidden="1"/>
    </xf>
    <xf numFmtId="0" fontId="3" fillId="2" borderId="24" xfId="0" applyFont="1" applyFill="1" applyBorder="1" applyAlignment="1" applyProtection="1">
      <alignment horizontal="center" vertical="center"/>
      <protection hidden="1"/>
    </xf>
    <xf numFmtId="0" fontId="0" fillId="0" borderId="25" xfId="0" applyFill="1" applyBorder="1"/>
    <xf numFmtId="0" fontId="0" fillId="0" borderId="10" xfId="0" applyBorder="1" applyAlignment="1"/>
    <xf numFmtId="0" fontId="33" fillId="2" borderId="0" xfId="0" applyFont="1" applyFill="1" applyBorder="1" applyAlignment="1" applyProtection="1">
      <alignment horizontal="center" vertical="center"/>
      <protection hidden="1"/>
    </xf>
    <xf numFmtId="0" fontId="0" fillId="18" borderId="10" xfId="0" applyFill="1" applyBorder="1"/>
    <xf numFmtId="0" fontId="14" fillId="2" borderId="0" xfId="0" applyFont="1" applyFill="1" applyBorder="1" applyAlignment="1" applyProtection="1">
      <alignment horizontal="left" vertical="center"/>
      <protection hidden="1"/>
    </xf>
    <xf numFmtId="0" fontId="3" fillId="2" borderId="7" xfId="0" applyFont="1" applyFill="1" applyBorder="1" applyAlignment="1" applyProtection="1">
      <alignment horizontal="center" vertical="center"/>
      <protection hidden="1"/>
    </xf>
    <xf numFmtId="0" fontId="3" fillId="2" borderId="9" xfId="0" applyFont="1" applyFill="1" applyBorder="1" applyAlignment="1" applyProtection="1">
      <alignment horizontal="center" vertical="center"/>
      <protection hidden="1"/>
    </xf>
    <xf numFmtId="0" fontId="3" fillId="2" borderId="19" xfId="0" applyFont="1" applyFill="1" applyBorder="1" applyAlignment="1" applyProtection="1">
      <alignment horizontal="center" vertical="center"/>
      <protection hidden="1"/>
    </xf>
    <xf numFmtId="0" fontId="3" fillId="2" borderId="4" xfId="0" applyFont="1" applyFill="1" applyBorder="1" applyAlignment="1" applyProtection="1">
      <alignment horizontal="center" vertical="center"/>
      <protection hidden="1"/>
    </xf>
    <xf numFmtId="0" fontId="33" fillId="2" borderId="8" xfId="0" applyFont="1" applyFill="1" applyBorder="1" applyAlignment="1" applyProtection="1">
      <alignment horizontal="center" vertical="center"/>
      <protection hidden="1"/>
    </xf>
    <xf numFmtId="0" fontId="33" fillId="2" borderId="3" xfId="0" applyFont="1" applyFill="1" applyBorder="1" applyAlignment="1" applyProtection="1">
      <alignment horizontal="center" vertical="center"/>
      <protection hidden="1"/>
    </xf>
    <xf numFmtId="0" fontId="33" fillId="2" borderId="28" xfId="0" applyFont="1" applyFill="1" applyBorder="1" applyAlignment="1" applyProtection="1">
      <alignment horizontal="center" vertical="center"/>
      <protection hidden="1"/>
    </xf>
    <xf numFmtId="0" fontId="4" fillId="2" borderId="0" xfId="0" applyFont="1" applyFill="1" applyBorder="1" applyAlignment="1" applyProtection="1">
      <alignment horizontal="center" vertical="center"/>
      <protection hidden="1"/>
    </xf>
    <xf numFmtId="0" fontId="5" fillId="2" borderId="0" xfId="0" applyFont="1" applyFill="1" applyBorder="1" applyAlignment="1" applyProtection="1">
      <alignment horizontal="center" vertical="center"/>
      <protection hidden="1"/>
    </xf>
    <xf numFmtId="0" fontId="2" fillId="2" borderId="6" xfId="0" applyFont="1" applyFill="1" applyBorder="1" applyAlignment="1" applyProtection="1">
      <alignment horizontal="right" vertical="center"/>
      <protection hidden="1"/>
    </xf>
    <xf numFmtId="0" fontId="32" fillId="0" borderId="0" xfId="0" applyFont="1" applyProtection="1">
      <protection hidden="1"/>
    </xf>
    <xf numFmtId="0" fontId="0" fillId="0" borderId="0" xfId="0" applyProtection="1">
      <protection hidden="1"/>
    </xf>
    <xf numFmtId="0" fontId="0" fillId="2" borderId="0" xfId="0" applyFill="1" applyProtection="1">
      <protection hidden="1"/>
    </xf>
    <xf numFmtId="0" fontId="33" fillId="2" borderId="0" xfId="0" applyFont="1" applyFill="1" applyBorder="1" applyAlignment="1" applyProtection="1">
      <alignment horizontal="left" vertical="center"/>
      <protection hidden="1"/>
    </xf>
    <xf numFmtId="0" fontId="41" fillId="2" borderId="0" xfId="1" applyFont="1" applyFill="1" applyBorder="1" applyAlignment="1" applyProtection="1">
      <alignment horizontal="left" vertical="center"/>
      <protection hidden="1"/>
    </xf>
    <xf numFmtId="0" fontId="9" fillId="2" borderId="0" xfId="0" applyFont="1" applyFill="1" applyBorder="1" applyAlignment="1" applyProtection="1">
      <alignment horizontal="left" vertical="center" indent="1"/>
      <protection hidden="1"/>
    </xf>
    <xf numFmtId="9" fontId="0" fillId="0" borderId="0" xfId="0" applyNumberFormat="1" applyProtection="1">
      <protection hidden="1"/>
    </xf>
    <xf numFmtId="0" fontId="0" fillId="2" borderId="2" xfId="0" applyFill="1" applyBorder="1" applyAlignment="1" applyProtection="1">
      <alignment horizontal="center" vertical="center"/>
      <protection hidden="1"/>
    </xf>
    <xf numFmtId="0" fontId="0" fillId="2" borderId="23" xfId="0" applyFill="1" applyBorder="1" applyAlignment="1" applyProtection="1">
      <alignment wrapText="1" shrinkToFit="1"/>
      <protection hidden="1"/>
    </xf>
    <xf numFmtId="0" fontId="0" fillId="5" borderId="23" xfId="0" applyFill="1" applyBorder="1" applyAlignment="1" applyProtection="1">
      <protection locked="0"/>
    </xf>
    <xf numFmtId="0" fontId="9" fillId="2" borderId="2" xfId="0" applyFont="1" applyFill="1" applyBorder="1" applyAlignment="1" applyProtection="1">
      <alignment vertical="center" wrapText="1"/>
      <protection hidden="1"/>
    </xf>
    <xf numFmtId="0" fontId="9" fillId="2" borderId="2" xfId="0" applyFont="1" applyFill="1" applyBorder="1" applyAlignment="1" applyProtection="1">
      <alignment vertical="center"/>
      <protection hidden="1"/>
    </xf>
    <xf numFmtId="0" fontId="0" fillId="2" borderId="2" xfId="0" applyFill="1" applyBorder="1" applyAlignment="1" applyProtection="1">
      <alignment horizontal="center" vertical="center"/>
      <protection hidden="1"/>
    </xf>
    <xf numFmtId="0" fontId="0" fillId="2" borderId="23" xfId="0" applyFill="1" applyBorder="1" applyAlignment="1" applyProtection="1">
      <alignment wrapText="1" shrinkToFit="1"/>
      <protection hidden="1"/>
    </xf>
    <xf numFmtId="0" fontId="0" fillId="5" borderId="23" xfId="0" applyFill="1" applyBorder="1" applyAlignment="1" applyProtection="1">
      <protection locked="0"/>
    </xf>
    <xf numFmtId="0" fontId="45" fillId="0" borderId="0" xfId="0" applyFont="1"/>
    <xf numFmtId="0" fontId="46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0" fontId="47" fillId="0" borderId="0" xfId="0" applyFont="1"/>
    <xf numFmtId="0" fontId="23" fillId="4" borderId="20" xfId="0" applyFont="1" applyFill="1" applyBorder="1" applyAlignment="1" applyProtection="1">
      <alignment vertical="center" wrapText="1"/>
      <protection hidden="1"/>
    </xf>
    <xf numFmtId="0" fontId="24" fillId="4" borderId="20" xfId="0" applyFont="1" applyFill="1" applyBorder="1" applyAlignment="1" applyProtection="1">
      <alignment vertical="center" wrapText="1"/>
      <protection hidden="1"/>
    </xf>
    <xf numFmtId="0" fontId="25" fillId="2" borderId="21" xfId="0" applyFont="1" applyFill="1" applyBorder="1" applyAlignment="1" applyProtection="1">
      <alignment vertical="center" wrapText="1" shrinkToFit="1"/>
      <protection hidden="1"/>
    </xf>
    <xf numFmtId="0" fontId="26" fillId="2" borderId="22" xfId="0" applyFont="1" applyFill="1" applyBorder="1" applyAlignment="1" applyProtection="1">
      <alignment vertical="center" wrapText="1" shrinkToFit="1"/>
      <protection hidden="1"/>
    </xf>
    <xf numFmtId="0" fontId="23" fillId="2" borderId="19" xfId="0" applyFont="1" applyFill="1" applyBorder="1" applyAlignment="1" applyProtection="1">
      <alignment vertical="center" wrapText="1" shrinkToFit="1"/>
      <protection hidden="1"/>
    </xf>
    <xf numFmtId="0" fontId="24" fillId="2" borderId="3" xfId="0" applyFont="1" applyFill="1" applyBorder="1" applyAlignment="1" applyProtection="1">
      <alignment vertical="center" wrapText="1" shrinkToFit="1"/>
      <protection hidden="1"/>
    </xf>
    <xf numFmtId="0" fontId="24" fillId="2" borderId="4" xfId="0" applyFont="1" applyFill="1" applyBorder="1" applyAlignment="1" applyProtection="1">
      <alignment vertical="center" wrapText="1" shrinkToFit="1"/>
      <protection hidden="1"/>
    </xf>
    <xf numFmtId="0" fontId="3" fillId="3" borderId="20" xfId="0" applyFont="1" applyFill="1" applyBorder="1" applyAlignment="1" applyProtection="1">
      <alignment vertical="center" wrapText="1"/>
      <protection locked="0"/>
    </xf>
    <xf numFmtId="0" fontId="0" fillId="3" borderId="20" xfId="0" applyFill="1" applyBorder="1" applyAlignment="1" applyProtection="1">
      <alignment vertical="center" wrapText="1"/>
      <protection locked="0"/>
    </xf>
    <xf numFmtId="0" fontId="26" fillId="2" borderId="21" xfId="0" applyFont="1" applyFill="1" applyBorder="1" applyAlignment="1" applyProtection="1">
      <alignment vertical="center" wrapText="1" shrinkToFit="1"/>
      <protection hidden="1"/>
    </xf>
    <xf numFmtId="0" fontId="24" fillId="2" borderId="5" xfId="0" applyFont="1" applyFill="1" applyBorder="1" applyAlignment="1" applyProtection="1">
      <alignment vertical="center" wrapText="1" shrinkToFit="1"/>
      <protection hidden="1"/>
    </xf>
    <xf numFmtId="0" fontId="24" fillId="2" borderId="0" xfId="0" applyFont="1" applyFill="1" applyBorder="1" applyAlignment="1" applyProtection="1">
      <alignment vertical="center" wrapText="1" shrinkToFit="1"/>
      <protection hidden="1"/>
    </xf>
    <xf numFmtId="0" fontId="24" fillId="2" borderId="6" xfId="0" applyFont="1" applyFill="1" applyBorder="1" applyAlignment="1" applyProtection="1">
      <alignment vertical="center" wrapText="1" shrinkToFit="1"/>
      <protection hidden="1"/>
    </xf>
    <xf numFmtId="0" fontId="3" fillId="5" borderId="21" xfId="0" applyFont="1" applyFill="1" applyBorder="1" applyAlignment="1" applyProtection="1">
      <alignment vertical="center" wrapText="1"/>
      <protection locked="0"/>
    </xf>
    <xf numFmtId="0" fontId="0" fillId="5" borderId="22" xfId="0" applyFill="1" applyBorder="1" applyAlignment="1" applyProtection="1">
      <alignment vertical="center" wrapText="1"/>
      <protection locked="0"/>
    </xf>
    <xf numFmtId="0" fontId="0" fillId="5" borderId="21" xfId="0" applyFill="1" applyBorder="1" applyAlignment="1" applyProtection="1">
      <alignment vertical="center" wrapText="1"/>
      <protection locked="0"/>
    </xf>
    <xf numFmtId="0" fontId="24" fillId="14" borderId="26" xfId="0" applyFont="1" applyFill="1" applyBorder="1" applyAlignment="1" applyProtection="1">
      <alignment vertical="center" wrapText="1" shrinkToFit="1"/>
      <protection hidden="1"/>
    </xf>
    <xf numFmtId="0" fontId="26" fillId="15" borderId="26" xfId="0" applyFont="1" applyFill="1" applyBorder="1" applyAlignment="1" applyProtection="1">
      <alignment vertical="center" wrapText="1" shrinkToFit="1"/>
      <protection hidden="1"/>
    </xf>
    <xf numFmtId="0" fontId="26" fillId="0" borderId="26" xfId="0" applyFont="1" applyBorder="1" applyAlignment="1" applyProtection="1">
      <alignment vertical="center" wrapText="1" shrinkToFit="1"/>
      <protection hidden="1"/>
    </xf>
    <xf numFmtId="0" fontId="24" fillId="0" borderId="5" xfId="0" applyFont="1" applyBorder="1" applyAlignment="1" applyProtection="1">
      <alignment vertical="center" wrapText="1" shrinkToFit="1"/>
      <protection hidden="1"/>
    </xf>
    <xf numFmtId="0" fontId="24" fillId="0" borderId="0" xfId="0" applyFont="1" applyAlignment="1" applyProtection="1">
      <alignment vertical="center" wrapText="1" shrinkToFit="1"/>
      <protection hidden="1"/>
    </xf>
    <xf numFmtId="0" fontId="24" fillId="0" borderId="6" xfId="0" applyFont="1" applyBorder="1" applyAlignment="1" applyProtection="1">
      <alignment vertical="center" wrapText="1" shrinkToFit="1"/>
      <protection hidden="1"/>
    </xf>
    <xf numFmtId="0" fontId="24" fillId="14" borderId="28" xfId="0" applyFont="1" applyFill="1" applyBorder="1" applyAlignment="1" applyProtection="1">
      <alignment vertical="center" wrapText="1" shrinkToFit="1"/>
      <protection hidden="1"/>
    </xf>
    <xf numFmtId="0" fontId="26" fillId="15" borderId="28" xfId="0" applyFont="1" applyFill="1" applyBorder="1" applyAlignment="1" applyProtection="1">
      <alignment vertical="center" wrapText="1" shrinkToFit="1"/>
      <protection hidden="1"/>
    </xf>
    <xf numFmtId="0" fontId="26" fillId="0" borderId="28" xfId="0" applyFont="1" applyBorder="1" applyAlignment="1" applyProtection="1">
      <alignment vertical="center" wrapText="1" shrinkToFit="1"/>
      <protection hidden="1"/>
    </xf>
    <xf numFmtId="0" fontId="24" fillId="14" borderId="27" xfId="0" applyFont="1" applyFill="1" applyBorder="1" applyAlignment="1" applyProtection="1">
      <alignment vertical="center" wrapText="1" shrinkToFit="1"/>
      <protection hidden="1"/>
    </xf>
    <xf numFmtId="0" fontId="26" fillId="0" borderId="27" xfId="0" applyFont="1" applyBorder="1" applyAlignment="1" applyProtection="1">
      <alignment vertical="center" wrapText="1" shrinkToFit="1"/>
      <protection hidden="1"/>
    </xf>
    <xf numFmtId="0" fontId="24" fillId="0" borderId="7" xfId="0" applyFont="1" applyBorder="1" applyAlignment="1" applyProtection="1">
      <alignment vertical="center" wrapText="1" shrinkToFit="1"/>
      <protection hidden="1"/>
    </xf>
    <xf numFmtId="0" fontId="24" fillId="0" borderId="8" xfId="0" applyFont="1" applyBorder="1" applyAlignment="1" applyProtection="1">
      <alignment vertical="center" wrapText="1" shrinkToFit="1"/>
      <protection hidden="1"/>
    </xf>
    <xf numFmtId="0" fontId="24" fillId="0" borderId="9" xfId="0" applyFont="1" applyBorder="1" applyAlignment="1" applyProtection="1">
      <alignment vertical="center" wrapText="1" shrinkToFit="1"/>
      <protection hidden="1"/>
    </xf>
    <xf numFmtId="0" fontId="26" fillId="15" borderId="27" xfId="0" applyFont="1" applyFill="1" applyBorder="1" applyAlignment="1" applyProtection="1">
      <alignment vertical="center" wrapText="1" shrinkToFit="1"/>
      <protection hidden="1"/>
    </xf>
    <xf numFmtId="0" fontId="0" fillId="20" borderId="10" xfId="0" applyFill="1" applyBorder="1" applyAlignment="1"/>
    <xf numFmtId="9" fontId="46" fillId="0" borderId="0" xfId="0" applyNumberFormat="1" applyFont="1"/>
    <xf numFmtId="0" fontId="0" fillId="21" borderId="10" xfId="0" applyFill="1" applyBorder="1" applyAlignment="1"/>
    <xf numFmtId="0" fontId="52" fillId="2" borderId="0" xfId="0" applyFont="1" applyFill="1" applyBorder="1" applyAlignment="1" applyProtection="1">
      <alignment horizontal="left" vertical="center"/>
      <protection hidden="1"/>
    </xf>
    <xf numFmtId="0" fontId="2" fillId="2" borderId="32" xfId="0" applyFont="1" applyFill="1" applyBorder="1" applyAlignment="1" applyProtection="1">
      <alignment horizontal="left" vertical="center"/>
      <protection hidden="1"/>
    </xf>
    <xf numFmtId="0" fontId="0" fillId="2" borderId="31" xfId="0" applyFill="1" applyBorder="1" applyAlignment="1" applyProtection="1">
      <alignment horizontal="center" vertical="center"/>
      <protection hidden="1"/>
    </xf>
    <xf numFmtId="0" fontId="3" fillId="2" borderId="31" xfId="0" applyFont="1" applyFill="1" applyBorder="1" applyAlignment="1" applyProtection="1">
      <alignment horizontal="center" vertical="center"/>
      <protection hidden="1"/>
    </xf>
    <xf numFmtId="0" fontId="4" fillId="2" borderId="31" xfId="0" applyFont="1" applyFill="1" applyBorder="1" applyAlignment="1" applyProtection="1">
      <alignment horizontal="center" vertical="center"/>
      <protection hidden="1"/>
    </xf>
    <xf numFmtId="0" fontId="5" fillId="2" borderId="31" xfId="0" applyFont="1" applyFill="1" applyBorder="1" applyAlignment="1" applyProtection="1">
      <alignment horizontal="center" vertical="center"/>
      <protection hidden="1"/>
    </xf>
    <xf numFmtId="0" fontId="2" fillId="2" borderId="33" xfId="0" applyFont="1" applyFill="1" applyBorder="1" applyAlignment="1" applyProtection="1">
      <alignment horizontal="right" vertical="center"/>
      <protection hidden="1"/>
    </xf>
    <xf numFmtId="0" fontId="3" fillId="2" borderId="34" xfId="0" applyFont="1" applyFill="1" applyBorder="1" applyAlignment="1" applyProtection="1">
      <alignment horizontal="center" vertical="center"/>
      <protection hidden="1"/>
    </xf>
    <xf numFmtId="0" fontId="3" fillId="2" borderId="35" xfId="0" applyFont="1" applyFill="1" applyBorder="1" applyAlignment="1" applyProtection="1">
      <alignment horizontal="center" vertical="center"/>
      <protection hidden="1"/>
    </xf>
    <xf numFmtId="0" fontId="2" fillId="2" borderId="36" xfId="0" applyFont="1" applyFill="1" applyBorder="1" applyAlignment="1" applyProtection="1">
      <alignment horizontal="left" vertical="center"/>
      <protection hidden="1"/>
    </xf>
    <xf numFmtId="0" fontId="0" fillId="2" borderId="30" xfId="0" applyFill="1" applyBorder="1" applyAlignment="1" applyProtection="1">
      <alignment horizontal="center" vertical="center"/>
      <protection hidden="1"/>
    </xf>
    <xf numFmtId="0" fontId="3" fillId="2" borderId="30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2" fillId="2" borderId="37" xfId="0" applyFont="1" applyFill="1" applyBorder="1" applyAlignment="1" applyProtection="1">
      <alignment horizontal="right" vertical="center"/>
      <protection hidden="1"/>
    </xf>
    <xf numFmtId="0" fontId="48" fillId="2" borderId="0" xfId="0" applyFont="1" applyFill="1" applyBorder="1" applyAlignment="1" applyProtection="1">
      <alignment horizontal="left" vertical="center"/>
      <protection hidden="1"/>
    </xf>
    <xf numFmtId="0" fontId="30" fillId="2" borderId="0" xfId="0" applyFont="1" applyFill="1" applyBorder="1" applyAlignment="1" applyProtection="1">
      <alignment horizontal="left" vertical="center" indent="1"/>
      <protection hidden="1"/>
    </xf>
    <xf numFmtId="0" fontId="29" fillId="2" borderId="0" xfId="0" applyFont="1" applyFill="1" applyBorder="1" applyAlignment="1" applyProtection="1">
      <alignment horizontal="center" vertical="center"/>
      <protection hidden="1"/>
    </xf>
    <xf numFmtId="0" fontId="53" fillId="2" borderId="0" xfId="0" applyFont="1" applyFill="1" applyBorder="1" applyAlignment="1" applyProtection="1">
      <alignment horizontal="left" vertical="center"/>
      <protection hidden="1"/>
    </xf>
    <xf numFmtId="0" fontId="54" fillId="2" borderId="0" xfId="0" applyFont="1" applyFill="1" applyBorder="1" applyAlignment="1" applyProtection="1">
      <alignment horizontal="left" vertical="center"/>
      <protection hidden="1"/>
    </xf>
    <xf numFmtId="0" fontId="28" fillId="2" borderId="0" xfId="0" applyFont="1" applyFill="1" applyBorder="1" applyAlignment="1" applyProtection="1">
      <alignment vertical="center"/>
      <protection hidden="1"/>
    </xf>
    <xf numFmtId="0" fontId="24" fillId="2" borderId="27" xfId="0" applyFont="1" applyFill="1" applyBorder="1" applyAlignment="1" applyProtection="1">
      <alignment vertical="center" wrapText="1" shrinkToFit="1"/>
      <protection hidden="1"/>
    </xf>
    <xf numFmtId="0" fontId="26" fillId="2" borderId="27" xfId="0" applyFont="1" applyFill="1" applyBorder="1" applyAlignment="1" applyProtection="1">
      <alignment vertical="center" wrapText="1" shrinkToFit="1"/>
      <protection hidden="1"/>
    </xf>
    <xf numFmtId="0" fontId="59" fillId="0" borderId="0" xfId="0" applyFont="1"/>
    <xf numFmtId="0" fontId="60" fillId="0" borderId="10" xfId="0" applyFont="1" applyFill="1" applyBorder="1" applyAlignment="1">
      <alignment vertical="center"/>
    </xf>
    <xf numFmtId="0" fontId="59" fillId="0" borderId="0" xfId="0" applyFont="1" applyAlignment="1">
      <alignment horizontal="center" vertical="center" wrapText="1"/>
    </xf>
    <xf numFmtId="0" fontId="61" fillId="0" borderId="10" xfId="0" applyFont="1" applyFill="1" applyBorder="1" applyAlignment="1">
      <alignment vertical="center"/>
    </xf>
    <xf numFmtId="0" fontId="60" fillId="22" borderId="10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hidden="1"/>
    </xf>
    <xf numFmtId="0" fontId="3" fillId="2" borderId="5" xfId="0" applyFont="1" applyFill="1" applyBorder="1" applyAlignment="1" applyProtection="1">
      <alignment vertical="center"/>
      <protection hidden="1"/>
    </xf>
    <xf numFmtId="0" fontId="2" fillId="2" borderId="6" xfId="0" applyFont="1" applyFill="1" applyBorder="1" applyAlignment="1" applyProtection="1">
      <alignment vertical="center"/>
      <protection hidden="1"/>
    </xf>
    <xf numFmtId="0" fontId="3" fillId="2" borderId="6" xfId="0" applyFont="1" applyFill="1" applyBorder="1" applyAlignment="1" applyProtection="1">
      <alignment vertical="center"/>
      <protection hidden="1"/>
    </xf>
    <xf numFmtId="0" fontId="3" fillId="2" borderId="0" xfId="0" applyFont="1" applyFill="1" applyBorder="1" applyAlignment="1" applyProtection="1">
      <alignment horizontal="left" vertical="top" wrapText="1" shrinkToFit="1"/>
      <protection hidden="1"/>
    </xf>
    <xf numFmtId="0" fontId="3" fillId="2" borderId="0" xfId="0" applyFont="1" applyFill="1" applyBorder="1" applyAlignment="1" applyProtection="1">
      <alignment horizontal="left" vertical="top" wrapText="1" shrinkToFit="1"/>
      <protection hidden="1"/>
    </xf>
    <xf numFmtId="0" fontId="0" fillId="17" borderId="0" xfId="0" applyFont="1" applyFill="1" applyBorder="1" applyAlignment="1">
      <alignment vertical="center"/>
    </xf>
    <xf numFmtId="0" fontId="0" fillId="17" borderId="0" xfId="0" applyFont="1" applyFill="1" applyAlignment="1">
      <alignment vertical="center"/>
    </xf>
    <xf numFmtId="0" fontId="0" fillId="17" borderId="0" xfId="0" applyFont="1" applyFill="1" applyBorder="1" applyAlignment="1">
      <alignment horizontal="center" vertical="center"/>
    </xf>
    <xf numFmtId="0" fontId="0" fillId="17" borderId="0" xfId="0" applyFont="1" applyFill="1" applyAlignment="1">
      <alignment horizontal="center" vertical="center"/>
    </xf>
    <xf numFmtId="0" fontId="40" fillId="2" borderId="19" xfId="0" applyFont="1" applyFill="1" applyBorder="1" applyAlignment="1" applyProtection="1">
      <alignment vertical="center" wrapText="1"/>
      <protection hidden="1"/>
    </xf>
    <xf numFmtId="0" fontId="62" fillId="2" borderId="5" xfId="0" applyFont="1" applyFill="1" applyBorder="1" applyAlignment="1" applyProtection="1">
      <alignment vertical="center" wrapText="1"/>
      <protection hidden="1"/>
    </xf>
    <xf numFmtId="0" fontId="0" fillId="17" borderId="0" xfId="0" applyFill="1"/>
    <xf numFmtId="0" fontId="40" fillId="2" borderId="3" xfId="0" applyFont="1" applyFill="1" applyBorder="1" applyAlignment="1" applyProtection="1">
      <alignment vertical="center" wrapText="1"/>
      <protection hidden="1"/>
    </xf>
    <xf numFmtId="0" fontId="40" fillId="2" borderId="4" xfId="0" applyFont="1" applyFill="1" applyBorder="1" applyAlignment="1" applyProtection="1">
      <alignment vertical="center" wrapText="1"/>
      <protection hidden="1"/>
    </xf>
    <xf numFmtId="0" fontId="40" fillId="2" borderId="0" xfId="0" applyFont="1" applyFill="1" applyBorder="1" applyAlignment="1" applyProtection="1">
      <alignment horizontal="center" vertical="center" wrapText="1"/>
      <protection hidden="1"/>
    </xf>
    <xf numFmtId="0" fontId="40" fillId="2" borderId="6" xfId="0" applyFont="1" applyFill="1" applyBorder="1" applyAlignment="1" applyProtection="1">
      <alignment vertical="center" wrapText="1"/>
      <protection hidden="1"/>
    </xf>
    <xf numFmtId="0" fontId="40" fillId="2" borderId="7" xfId="0" applyFont="1" applyFill="1" applyBorder="1" applyAlignment="1" applyProtection="1">
      <alignment vertical="center" wrapText="1"/>
      <protection hidden="1"/>
    </xf>
    <xf numFmtId="0" fontId="40" fillId="2" borderId="8" xfId="0" applyFont="1" applyFill="1" applyBorder="1" applyAlignment="1" applyProtection="1">
      <alignment vertical="center" wrapText="1"/>
      <protection hidden="1"/>
    </xf>
    <xf numFmtId="0" fontId="40" fillId="2" borderId="9" xfId="0" applyFont="1" applyFill="1" applyBorder="1" applyAlignment="1" applyProtection="1">
      <alignment vertical="center" wrapText="1"/>
      <protection hidden="1"/>
    </xf>
    <xf numFmtId="0" fontId="0" fillId="0" borderId="41" xfId="0" applyBorder="1"/>
    <xf numFmtId="0" fontId="33" fillId="2" borderId="34" xfId="0" applyFont="1" applyFill="1" applyBorder="1" applyAlignment="1" applyProtection="1">
      <alignment horizontal="left" vertical="center"/>
      <protection hidden="1"/>
    </xf>
    <xf numFmtId="0" fontId="63" fillId="2" borderId="0" xfId="0" applyFont="1" applyFill="1" applyBorder="1" applyAlignment="1" applyProtection="1">
      <alignment horizontal="left" vertical="center"/>
      <protection hidden="1"/>
    </xf>
    <xf numFmtId="0" fontId="8" fillId="2" borderId="0" xfId="0" applyFont="1" applyFill="1" applyBorder="1" applyAlignment="1" applyProtection="1">
      <alignment horizontal="center" vertical="center"/>
      <protection hidden="1"/>
    </xf>
    <xf numFmtId="0" fontId="15" fillId="2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55" fillId="5" borderId="1" xfId="0" applyFont="1" applyFill="1" applyBorder="1" applyAlignment="1" applyProtection="1">
      <alignment horizontal="left" vertical="center" indent="2"/>
      <protection locked="0"/>
    </xf>
    <xf numFmtId="0" fontId="56" fillId="5" borderId="2" xfId="0" applyFont="1" applyFill="1" applyBorder="1" applyAlignment="1" applyProtection="1">
      <alignment horizontal="left" vertical="center" indent="2"/>
      <protection locked="0"/>
    </xf>
    <xf numFmtId="0" fontId="56" fillId="5" borderId="11" xfId="0" applyFont="1" applyFill="1" applyBorder="1" applyAlignment="1" applyProtection="1">
      <alignment horizontal="left" vertical="center" indent="2"/>
      <protection locked="0"/>
    </xf>
    <xf numFmtId="0" fontId="56" fillId="5" borderId="12" xfId="0" applyFont="1" applyFill="1" applyBorder="1" applyAlignment="1" applyProtection="1">
      <alignment horizontal="left" vertical="center" indent="2"/>
      <protection locked="0"/>
    </xf>
    <xf numFmtId="0" fontId="56" fillId="5" borderId="13" xfId="0" applyFont="1" applyFill="1" applyBorder="1" applyAlignment="1" applyProtection="1">
      <alignment horizontal="left" vertical="center" indent="2"/>
      <protection locked="0"/>
    </xf>
    <xf numFmtId="0" fontId="56" fillId="5" borderId="14" xfId="0" applyFont="1" applyFill="1" applyBorder="1" applyAlignment="1" applyProtection="1">
      <alignment horizontal="left" vertical="center" indent="2"/>
      <protection locked="0"/>
    </xf>
    <xf numFmtId="0" fontId="57" fillId="12" borderId="32" xfId="0" applyFont="1" applyFill="1" applyBorder="1" applyAlignment="1" applyProtection="1">
      <alignment horizontal="center" vertical="center"/>
      <protection hidden="1"/>
    </xf>
    <xf numFmtId="0" fontId="58" fillId="12" borderId="31" xfId="0" applyFont="1" applyFill="1" applyBorder="1" applyAlignment="1" applyProtection="1">
      <alignment horizontal="center" vertical="center"/>
      <protection hidden="1"/>
    </xf>
    <xf numFmtId="0" fontId="58" fillId="12" borderId="33" xfId="0" applyFont="1" applyFill="1" applyBorder="1" applyAlignment="1" applyProtection="1">
      <alignment horizontal="center" vertical="center"/>
      <protection hidden="1"/>
    </xf>
    <xf numFmtId="0" fontId="58" fillId="12" borderId="36" xfId="0" applyFont="1" applyFill="1" applyBorder="1" applyAlignment="1" applyProtection="1">
      <alignment horizontal="center" vertical="center"/>
      <protection hidden="1"/>
    </xf>
    <xf numFmtId="0" fontId="58" fillId="12" borderId="30" xfId="0" applyFont="1" applyFill="1" applyBorder="1" applyAlignment="1" applyProtection="1">
      <alignment horizontal="center" vertical="center"/>
      <protection hidden="1"/>
    </xf>
    <xf numFmtId="0" fontId="58" fillId="12" borderId="37" xfId="0" applyFont="1" applyFill="1" applyBorder="1" applyAlignment="1" applyProtection="1">
      <alignment horizontal="center" vertical="center"/>
      <protection hidden="1"/>
    </xf>
    <xf numFmtId="0" fontId="28" fillId="2" borderId="0" xfId="0" applyFont="1" applyFill="1" applyBorder="1" applyAlignment="1" applyProtection="1">
      <alignment horizontal="center" vertical="center"/>
      <protection hidden="1"/>
    </xf>
    <xf numFmtId="0" fontId="9" fillId="3" borderId="1" xfId="0" applyFont="1" applyFill="1" applyBorder="1" applyAlignment="1" applyProtection="1">
      <alignment horizontal="left" vertical="center" indent="2"/>
      <protection locked="0"/>
    </xf>
    <xf numFmtId="0" fontId="19" fillId="3" borderId="2" xfId="0" applyFont="1" applyFill="1" applyBorder="1" applyAlignment="1" applyProtection="1">
      <alignment horizontal="left" vertical="center" indent="2"/>
      <protection locked="0"/>
    </xf>
    <xf numFmtId="0" fontId="19" fillId="3" borderId="11" xfId="0" applyFont="1" applyFill="1" applyBorder="1" applyAlignment="1" applyProtection="1">
      <alignment horizontal="left" vertical="center" indent="2"/>
      <protection locked="0"/>
    </xf>
    <xf numFmtId="0" fontId="19" fillId="3" borderId="12" xfId="0" applyFont="1" applyFill="1" applyBorder="1" applyAlignment="1" applyProtection="1">
      <alignment horizontal="left" vertical="center" indent="2"/>
      <protection locked="0"/>
    </xf>
    <xf numFmtId="0" fontId="19" fillId="3" borderId="13" xfId="0" applyFont="1" applyFill="1" applyBorder="1" applyAlignment="1" applyProtection="1">
      <alignment horizontal="left" vertical="center" indent="2"/>
      <protection locked="0"/>
    </xf>
    <xf numFmtId="0" fontId="19" fillId="3" borderId="14" xfId="0" applyFont="1" applyFill="1" applyBorder="1" applyAlignment="1" applyProtection="1">
      <alignment horizontal="left" vertical="center" indent="2"/>
      <protection locked="0"/>
    </xf>
    <xf numFmtId="0" fontId="9" fillId="3" borderId="1" xfId="0" applyFont="1" applyFill="1" applyBorder="1" applyAlignment="1" applyProtection="1">
      <alignment horizontal="center" vertical="center"/>
      <protection locked="0"/>
    </xf>
    <xf numFmtId="0" fontId="19" fillId="3" borderId="2" xfId="0" applyFont="1" applyFill="1" applyBorder="1" applyAlignment="1" applyProtection="1">
      <alignment horizontal="center" vertical="center"/>
      <protection locked="0"/>
    </xf>
    <xf numFmtId="0" fontId="19" fillId="3" borderId="11" xfId="0" applyFont="1" applyFill="1" applyBorder="1" applyAlignment="1" applyProtection="1">
      <alignment horizontal="center" vertical="center"/>
      <protection locked="0"/>
    </xf>
    <xf numFmtId="0" fontId="19" fillId="3" borderId="12" xfId="0" applyFont="1" applyFill="1" applyBorder="1" applyAlignment="1" applyProtection="1">
      <alignment horizontal="center" vertical="center"/>
      <protection locked="0"/>
    </xf>
    <xf numFmtId="0" fontId="19" fillId="3" borderId="13" xfId="0" applyFont="1" applyFill="1" applyBorder="1" applyAlignment="1" applyProtection="1">
      <alignment horizontal="center" vertical="center"/>
      <protection locked="0"/>
    </xf>
    <xf numFmtId="0" fontId="19" fillId="3" borderId="14" xfId="0" applyFont="1" applyFill="1" applyBorder="1" applyAlignment="1" applyProtection="1">
      <alignment horizontal="center" vertical="center"/>
      <protection locked="0"/>
    </xf>
    <xf numFmtId="0" fontId="12" fillId="3" borderId="1" xfId="1" applyFill="1" applyBorder="1" applyAlignment="1" applyProtection="1">
      <alignment horizontal="left" vertical="center" indent="2"/>
      <protection locked="0"/>
    </xf>
    <xf numFmtId="0" fontId="3" fillId="5" borderId="1" xfId="0" applyFont="1" applyFill="1" applyBorder="1" applyAlignment="1" applyProtection="1">
      <alignment horizontal="left" vertical="center" indent="1"/>
      <protection locked="0" hidden="1"/>
    </xf>
    <xf numFmtId="0" fontId="0" fillId="5" borderId="2" xfId="0" applyFont="1" applyFill="1" applyBorder="1" applyAlignment="1" applyProtection="1">
      <alignment horizontal="left" vertical="center" indent="1"/>
      <protection locked="0" hidden="1"/>
    </xf>
    <xf numFmtId="0" fontId="0" fillId="5" borderId="12" xfId="0" applyFont="1" applyFill="1" applyBorder="1" applyAlignment="1" applyProtection="1">
      <alignment horizontal="left" vertical="center" indent="1"/>
      <protection locked="0" hidden="1"/>
    </xf>
    <xf numFmtId="0" fontId="0" fillId="5" borderId="13" xfId="0" applyFont="1" applyFill="1" applyBorder="1" applyAlignment="1" applyProtection="1">
      <alignment horizontal="left" vertical="center" indent="1"/>
      <protection locked="0" hidden="1"/>
    </xf>
    <xf numFmtId="0" fontId="0" fillId="5" borderId="1" xfId="0" applyFont="1" applyFill="1" applyBorder="1" applyAlignment="1" applyProtection="1">
      <alignment horizontal="center" vertical="center" wrapText="1"/>
      <protection locked="0"/>
    </xf>
    <xf numFmtId="0" fontId="0" fillId="5" borderId="2" xfId="0" applyFont="1" applyFill="1" applyBorder="1" applyAlignment="1" applyProtection="1">
      <alignment horizontal="center" vertical="center" wrapText="1"/>
      <protection locked="0"/>
    </xf>
    <xf numFmtId="0" fontId="0" fillId="5" borderId="2" xfId="0" applyFill="1" applyBorder="1" applyAlignment="1" applyProtection="1">
      <alignment horizontal="center" vertical="center" wrapText="1"/>
      <protection locked="0"/>
    </xf>
    <xf numFmtId="0" fontId="0" fillId="5" borderId="11" xfId="0" applyFill="1" applyBorder="1" applyAlignment="1" applyProtection="1">
      <alignment horizontal="center" vertical="center" wrapText="1"/>
      <protection locked="0"/>
    </xf>
    <xf numFmtId="0" fontId="0" fillId="5" borderId="12" xfId="0" applyFill="1" applyBorder="1" applyAlignment="1" applyProtection="1">
      <alignment horizontal="center" vertical="center" wrapText="1"/>
      <protection locked="0"/>
    </xf>
    <xf numFmtId="0" fontId="0" fillId="5" borderId="13" xfId="0" applyFill="1" applyBorder="1" applyAlignment="1" applyProtection="1">
      <alignment horizontal="center" vertical="center" wrapText="1"/>
      <protection locked="0"/>
    </xf>
    <xf numFmtId="0" fontId="0" fillId="5" borderId="14" xfId="0" applyFill="1" applyBorder="1" applyAlignment="1" applyProtection="1">
      <alignment horizontal="center" vertical="center" wrapText="1"/>
      <protection locked="0"/>
    </xf>
    <xf numFmtId="0" fontId="0" fillId="5" borderId="1" xfId="0" applyFont="1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11" xfId="0" applyFill="1" applyBorder="1" applyAlignment="1" applyProtection="1">
      <alignment horizontal="center" vertical="center"/>
      <protection locked="0"/>
    </xf>
    <xf numFmtId="0" fontId="0" fillId="5" borderId="12" xfId="0" applyFill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3" fontId="19" fillId="3" borderId="1" xfId="0" applyNumberFormat="1" applyFont="1" applyFill="1" applyBorder="1" applyAlignment="1" applyProtection="1">
      <alignment horizontal="center" vertical="center" shrinkToFit="1"/>
      <protection locked="0"/>
    </xf>
    <xf numFmtId="3" fontId="19" fillId="3" borderId="11" xfId="0" applyNumberFormat="1" applyFont="1" applyFill="1" applyBorder="1" applyAlignment="1" applyProtection="1">
      <alignment horizontal="center" vertical="center" shrinkToFit="1"/>
      <protection locked="0"/>
    </xf>
    <xf numFmtId="3" fontId="19" fillId="3" borderId="12" xfId="0" applyNumberFormat="1" applyFont="1" applyFill="1" applyBorder="1" applyAlignment="1" applyProtection="1">
      <alignment horizontal="center" vertical="center" shrinkToFit="1"/>
      <protection locked="0"/>
    </xf>
    <xf numFmtId="3" fontId="19" fillId="3" borderId="14" xfId="0" applyNumberFormat="1" applyFont="1" applyFill="1" applyBorder="1" applyAlignment="1" applyProtection="1">
      <alignment horizontal="center" vertical="center" shrinkToFit="1"/>
      <protection locked="0"/>
    </xf>
    <xf numFmtId="0" fontId="14" fillId="2" borderId="1" xfId="0" applyFont="1" applyFill="1" applyBorder="1" applyAlignment="1" applyProtection="1">
      <alignment horizontal="center" vertical="center" wrapText="1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0" fontId="0" fillId="0" borderId="14" xfId="0" applyBorder="1" applyAlignment="1" applyProtection="1">
      <alignment horizontal="center" vertical="center"/>
      <protection hidden="1"/>
    </xf>
    <xf numFmtId="164" fontId="9" fillId="3" borderId="1" xfId="0" applyNumberFormat="1" applyFont="1" applyFill="1" applyBorder="1" applyAlignment="1" applyProtection="1">
      <alignment horizontal="center" vertical="center"/>
      <protection locked="0"/>
    </xf>
    <xf numFmtId="164" fontId="19" fillId="3" borderId="2" xfId="0" applyNumberFormat="1" applyFont="1" applyFill="1" applyBorder="1" applyAlignment="1" applyProtection="1">
      <alignment horizontal="center" vertical="center"/>
      <protection locked="0"/>
    </xf>
    <xf numFmtId="164" fontId="19" fillId="3" borderId="11" xfId="0" applyNumberFormat="1" applyFont="1" applyFill="1" applyBorder="1" applyAlignment="1" applyProtection="1">
      <alignment horizontal="center" vertical="center"/>
      <protection locked="0"/>
    </xf>
    <xf numFmtId="164" fontId="19" fillId="3" borderId="12" xfId="0" applyNumberFormat="1" applyFont="1" applyFill="1" applyBorder="1" applyAlignment="1" applyProtection="1">
      <alignment horizontal="center" vertical="center"/>
      <protection locked="0"/>
    </xf>
    <xf numFmtId="164" fontId="19" fillId="3" borderId="13" xfId="0" applyNumberFormat="1" applyFont="1" applyFill="1" applyBorder="1" applyAlignment="1" applyProtection="1">
      <alignment horizontal="center" vertical="center"/>
      <protection locked="0"/>
    </xf>
    <xf numFmtId="164" fontId="19" fillId="3" borderId="14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 indent="2"/>
      <protection locked="0"/>
    </xf>
    <xf numFmtId="0" fontId="0" fillId="0" borderId="11" xfId="0" applyBorder="1" applyAlignment="1" applyProtection="1">
      <alignment horizontal="left" vertical="center" indent="2"/>
      <protection locked="0"/>
    </xf>
    <xf numFmtId="0" fontId="0" fillId="0" borderId="12" xfId="0" applyBorder="1" applyAlignment="1" applyProtection="1">
      <alignment horizontal="left" vertical="center" indent="2"/>
      <protection locked="0"/>
    </xf>
    <xf numFmtId="0" fontId="0" fillId="0" borderId="13" xfId="0" applyBorder="1" applyAlignment="1" applyProtection="1">
      <alignment horizontal="left" vertical="center" indent="2"/>
      <protection locked="0"/>
    </xf>
    <xf numFmtId="0" fontId="0" fillId="0" borderId="14" xfId="0" applyBorder="1" applyAlignment="1" applyProtection="1">
      <alignment horizontal="left" vertical="center" indent="2"/>
      <protection locked="0"/>
    </xf>
    <xf numFmtId="0" fontId="13" fillId="2" borderId="1" xfId="0" applyFont="1" applyFill="1" applyBorder="1" applyAlignment="1" applyProtection="1">
      <alignment horizontal="center" vertical="center" wrapText="1"/>
      <protection hidden="1"/>
    </xf>
    <xf numFmtId="0" fontId="13" fillId="2" borderId="2" xfId="0" applyFont="1" applyFill="1" applyBorder="1" applyAlignment="1" applyProtection="1">
      <alignment horizontal="center" vertical="center" wrapText="1"/>
      <protection hidden="1"/>
    </xf>
    <xf numFmtId="0" fontId="0" fillId="2" borderId="2" xfId="0" applyFill="1" applyBorder="1" applyAlignment="1" applyProtection="1">
      <alignment horizontal="center" vertical="center"/>
      <protection hidden="1"/>
    </xf>
    <xf numFmtId="0" fontId="0" fillId="2" borderId="11" xfId="0" applyFill="1" applyBorder="1" applyAlignment="1" applyProtection="1">
      <alignment horizontal="center" vertical="center"/>
      <protection hidden="1"/>
    </xf>
    <xf numFmtId="0" fontId="0" fillId="2" borderId="12" xfId="0" applyFill="1" applyBorder="1" applyAlignment="1" applyProtection="1">
      <alignment horizontal="center" vertical="center"/>
      <protection hidden="1"/>
    </xf>
    <xf numFmtId="0" fontId="0" fillId="2" borderId="13" xfId="0" applyFill="1" applyBorder="1" applyAlignment="1" applyProtection="1">
      <alignment horizontal="center" vertical="center"/>
      <protection hidden="1"/>
    </xf>
    <xf numFmtId="0" fontId="0" fillId="2" borderId="14" xfId="0" applyFill="1" applyBorder="1" applyAlignment="1" applyProtection="1">
      <alignment horizontal="center" vertical="center"/>
      <protection hidden="1"/>
    </xf>
    <xf numFmtId="0" fontId="13" fillId="2" borderId="16" xfId="0" applyFont="1" applyFill="1" applyBorder="1" applyAlignment="1" applyProtection="1">
      <alignment horizontal="center" vertical="center"/>
      <protection hidden="1"/>
    </xf>
    <xf numFmtId="0" fontId="0" fillId="2" borderId="18" xfId="0" applyFill="1" applyBorder="1" applyAlignment="1" applyProtection="1">
      <alignment horizontal="center" vertical="center"/>
      <protection hidden="1"/>
    </xf>
    <xf numFmtId="0" fontId="0" fillId="2" borderId="17" xfId="0" applyFill="1" applyBorder="1" applyAlignment="1" applyProtection="1">
      <alignment horizontal="center" vertical="center"/>
      <protection hidden="1"/>
    </xf>
    <xf numFmtId="0" fontId="13" fillId="2" borderId="18" xfId="0" applyFont="1" applyFill="1" applyBorder="1" applyAlignment="1" applyProtection="1">
      <alignment horizontal="center" vertical="center"/>
      <protection hidden="1"/>
    </xf>
    <xf numFmtId="0" fontId="3" fillId="6" borderId="16" xfId="0" applyFont="1" applyFill="1" applyBorder="1" applyAlignment="1" applyProtection="1">
      <alignment horizontal="left" vertical="center" indent="2"/>
      <protection hidden="1"/>
    </xf>
    <xf numFmtId="0" fontId="0" fillId="0" borderId="18" xfId="0" applyBorder="1" applyAlignment="1" applyProtection="1">
      <alignment horizontal="left" vertical="center" indent="2"/>
      <protection hidden="1"/>
    </xf>
    <xf numFmtId="0" fontId="0" fillId="0" borderId="17" xfId="0" applyBorder="1" applyAlignment="1" applyProtection="1">
      <alignment horizontal="left" vertical="center" indent="2"/>
      <protection hidden="1"/>
    </xf>
    <xf numFmtId="0" fontId="0" fillId="3" borderId="2" xfId="0" applyFill="1" applyBorder="1" applyAlignment="1" applyProtection="1">
      <alignment horizontal="left" vertical="center" indent="2"/>
      <protection locked="0"/>
    </xf>
    <xf numFmtId="0" fontId="0" fillId="3" borderId="11" xfId="0" applyFill="1" applyBorder="1" applyAlignment="1" applyProtection="1">
      <alignment horizontal="left" vertical="center" indent="2"/>
      <protection locked="0"/>
    </xf>
    <xf numFmtId="0" fontId="0" fillId="3" borderId="12" xfId="0" applyFill="1" applyBorder="1" applyAlignment="1" applyProtection="1">
      <alignment horizontal="left" vertical="center" indent="2"/>
      <protection locked="0"/>
    </xf>
    <xf numFmtId="0" fontId="0" fillId="3" borderId="13" xfId="0" applyFill="1" applyBorder="1" applyAlignment="1" applyProtection="1">
      <alignment horizontal="left" vertical="center" indent="2"/>
      <protection locked="0"/>
    </xf>
    <xf numFmtId="0" fontId="0" fillId="3" borderId="14" xfId="0" applyFill="1" applyBorder="1" applyAlignment="1" applyProtection="1">
      <alignment horizontal="left" vertical="center" indent="2"/>
      <protection locked="0"/>
    </xf>
    <xf numFmtId="0" fontId="9" fillId="5" borderId="1" xfId="0" applyFont="1" applyFill="1" applyBorder="1" applyAlignment="1" applyProtection="1">
      <alignment horizontal="center" vertical="center"/>
      <protection locked="0"/>
    </xf>
    <xf numFmtId="0" fontId="19" fillId="5" borderId="2" xfId="0" applyFont="1" applyFill="1" applyBorder="1" applyAlignment="1" applyProtection="1">
      <alignment horizontal="center" vertical="center"/>
      <protection locked="0"/>
    </xf>
    <xf numFmtId="0" fontId="19" fillId="5" borderId="11" xfId="0" applyFont="1" applyFill="1" applyBorder="1" applyAlignment="1" applyProtection="1">
      <alignment horizontal="center" vertical="center"/>
      <protection locked="0"/>
    </xf>
    <xf numFmtId="0" fontId="19" fillId="5" borderId="12" xfId="0" applyFont="1" applyFill="1" applyBorder="1" applyAlignment="1" applyProtection="1">
      <alignment horizontal="center" vertical="center"/>
      <protection locked="0"/>
    </xf>
    <xf numFmtId="0" fontId="19" fillId="5" borderId="13" xfId="0" applyFont="1" applyFill="1" applyBorder="1" applyAlignment="1" applyProtection="1">
      <alignment horizontal="center" vertical="center"/>
      <protection locked="0"/>
    </xf>
    <xf numFmtId="0" fontId="19" fillId="5" borderId="14" xfId="0" applyFont="1" applyFill="1" applyBorder="1" applyAlignment="1" applyProtection="1">
      <alignment horizontal="center" vertical="center"/>
      <protection locked="0"/>
    </xf>
    <xf numFmtId="0" fontId="3" fillId="6" borderId="1" xfId="0" applyFont="1" applyFill="1" applyBorder="1" applyAlignment="1" applyProtection="1">
      <alignment horizontal="left" vertical="center" indent="1"/>
      <protection hidden="1"/>
    </xf>
    <xf numFmtId="0" fontId="0" fillId="6" borderId="2" xfId="0" applyFont="1" applyFill="1" applyBorder="1" applyAlignment="1" applyProtection="1">
      <alignment horizontal="left" vertical="center" indent="1"/>
      <protection hidden="1"/>
    </xf>
    <xf numFmtId="0" fontId="0" fillId="6" borderId="12" xfId="0" applyFont="1" applyFill="1" applyBorder="1" applyAlignment="1" applyProtection="1">
      <alignment horizontal="left" vertical="center" indent="1"/>
      <protection hidden="1"/>
    </xf>
    <xf numFmtId="0" fontId="0" fillId="6" borderId="13" xfId="0" applyFont="1" applyFill="1" applyBorder="1" applyAlignment="1" applyProtection="1">
      <alignment horizontal="left" vertical="center" indent="1"/>
      <protection hidden="1"/>
    </xf>
    <xf numFmtId="0" fontId="9" fillId="5" borderId="1" xfId="0" applyFont="1" applyFill="1" applyBorder="1" applyAlignment="1" applyProtection="1">
      <alignment horizontal="left" vertical="center" indent="2"/>
      <protection locked="0"/>
    </xf>
    <xf numFmtId="0" fontId="0" fillId="5" borderId="1" xfId="0" applyFont="1" applyFill="1" applyBorder="1" applyAlignment="1" applyProtection="1">
      <alignment horizontal="center" vertical="center" wrapText="1" shrinkToFit="1"/>
      <protection locked="0"/>
    </xf>
    <xf numFmtId="0" fontId="0" fillId="5" borderId="2" xfId="0" applyFont="1" applyFill="1" applyBorder="1" applyAlignment="1" applyProtection="1">
      <alignment horizontal="center" vertical="center" wrapText="1" shrinkToFit="1"/>
      <protection locked="0"/>
    </xf>
    <xf numFmtId="0" fontId="0" fillId="5" borderId="2" xfId="0" applyFill="1" applyBorder="1" applyAlignment="1" applyProtection="1">
      <alignment horizontal="center" vertical="center" wrapText="1" shrinkToFit="1"/>
      <protection locked="0"/>
    </xf>
    <xf numFmtId="0" fontId="0" fillId="5" borderId="11" xfId="0" applyFill="1" applyBorder="1" applyAlignment="1" applyProtection="1">
      <alignment horizontal="center" vertical="center" wrapText="1" shrinkToFit="1"/>
      <protection locked="0"/>
    </xf>
    <xf numFmtId="0" fontId="0" fillId="5" borderId="12" xfId="0" applyFill="1" applyBorder="1" applyAlignment="1" applyProtection="1">
      <alignment horizontal="center" vertical="center" wrapText="1" shrinkToFit="1"/>
      <protection locked="0"/>
    </xf>
    <xf numFmtId="0" fontId="0" fillId="5" borderId="13" xfId="0" applyFill="1" applyBorder="1" applyAlignment="1" applyProtection="1">
      <alignment horizontal="center" vertical="center" wrapText="1" shrinkToFit="1"/>
      <protection locked="0"/>
    </xf>
    <xf numFmtId="0" fontId="0" fillId="5" borderId="14" xfId="0" applyFill="1" applyBorder="1" applyAlignment="1" applyProtection="1">
      <alignment horizontal="center" vertical="center" wrapText="1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9" fillId="2" borderId="0" xfId="0" applyFont="1" applyFill="1" applyBorder="1" applyAlignment="1" applyProtection="1">
      <alignment horizontal="left" wrapText="1"/>
      <protection hidden="1"/>
    </xf>
    <xf numFmtId="0" fontId="9" fillId="2" borderId="13" xfId="0" applyFont="1" applyFill="1" applyBorder="1" applyAlignment="1" applyProtection="1">
      <alignment horizontal="left" wrapText="1"/>
      <protection hidden="1"/>
    </xf>
    <xf numFmtId="0" fontId="14" fillId="2" borderId="1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2" xfId="0" applyNumberFormat="1" applyFont="1" applyBorder="1" applyAlignment="1" applyProtection="1">
      <alignment horizontal="center" vertical="center"/>
      <protection hidden="1"/>
    </xf>
    <xf numFmtId="0" fontId="13" fillId="0" borderId="11" xfId="0" applyNumberFormat="1" applyFont="1" applyBorder="1" applyAlignment="1" applyProtection="1">
      <alignment horizontal="center" vertical="center"/>
      <protection hidden="1"/>
    </xf>
    <xf numFmtId="0" fontId="13" fillId="0" borderId="12" xfId="0" applyNumberFormat="1" applyFont="1" applyBorder="1" applyAlignment="1" applyProtection="1">
      <alignment horizontal="center" vertical="center"/>
      <protection hidden="1"/>
    </xf>
    <xf numFmtId="0" fontId="13" fillId="0" borderId="13" xfId="0" applyNumberFormat="1" applyFont="1" applyBorder="1" applyAlignment="1" applyProtection="1">
      <alignment horizontal="center" vertical="center"/>
      <protection hidden="1"/>
    </xf>
    <xf numFmtId="0" fontId="13" fillId="0" borderId="14" xfId="0" applyNumberFormat="1" applyFont="1" applyBorder="1" applyAlignment="1" applyProtection="1">
      <alignment horizontal="center" vertical="center"/>
      <protection hidden="1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13" fillId="0" borderId="2" xfId="0" applyFont="1" applyBorder="1" applyAlignment="1" applyProtection="1">
      <alignment horizontal="center" vertical="center"/>
      <protection hidden="1"/>
    </xf>
    <xf numFmtId="0" fontId="13" fillId="0" borderId="15" xfId="0" applyFont="1" applyBorder="1" applyAlignment="1" applyProtection="1">
      <alignment horizontal="center" vertical="center"/>
      <protection hidden="1"/>
    </xf>
    <xf numFmtId="0" fontId="13" fillId="0" borderId="0" xfId="0" applyFont="1" applyBorder="1" applyAlignment="1" applyProtection="1">
      <alignment horizontal="center" vertical="center"/>
      <protection hidden="1"/>
    </xf>
    <xf numFmtId="0" fontId="3" fillId="5" borderId="16" xfId="0" applyFont="1" applyFill="1" applyBorder="1" applyAlignment="1" applyProtection="1">
      <alignment horizontal="left" vertical="center" indent="1"/>
      <protection locked="0"/>
    </xf>
    <xf numFmtId="0" fontId="0" fillId="5" borderId="18" xfId="0" applyFill="1" applyBorder="1" applyAlignment="1" applyProtection="1">
      <alignment horizontal="left" vertical="center" indent="1"/>
      <protection locked="0"/>
    </xf>
    <xf numFmtId="0" fontId="0" fillId="5" borderId="17" xfId="0" applyFill="1" applyBorder="1" applyAlignment="1" applyProtection="1">
      <alignment horizontal="left" vertical="center" indent="1"/>
      <protection locked="0"/>
    </xf>
    <xf numFmtId="0" fontId="0" fillId="5" borderId="16" xfId="0" applyFill="1" applyBorder="1" applyAlignment="1" applyProtection="1">
      <alignment horizontal="left" vertical="center" indent="1"/>
      <protection locked="0"/>
    </xf>
    <xf numFmtId="0" fontId="27" fillId="12" borderId="32" xfId="0" applyFont="1" applyFill="1" applyBorder="1" applyAlignment="1" applyProtection="1">
      <alignment horizontal="center" vertical="center"/>
      <protection hidden="1"/>
    </xf>
    <xf numFmtId="0" fontId="11" fillId="12" borderId="31" xfId="0" applyFont="1" applyFill="1" applyBorder="1" applyAlignment="1" applyProtection="1">
      <alignment horizontal="center" vertical="center"/>
      <protection hidden="1"/>
    </xf>
    <xf numFmtId="0" fontId="11" fillId="12" borderId="33" xfId="0" applyFont="1" applyFill="1" applyBorder="1" applyAlignment="1" applyProtection="1">
      <alignment horizontal="center" vertical="center"/>
      <protection hidden="1"/>
    </xf>
    <xf numFmtId="0" fontId="11" fillId="12" borderId="36" xfId="0" applyFont="1" applyFill="1" applyBorder="1" applyAlignment="1" applyProtection="1">
      <alignment horizontal="center" vertical="center"/>
      <protection hidden="1"/>
    </xf>
    <xf numFmtId="0" fontId="11" fillId="12" borderId="30" xfId="0" applyFont="1" applyFill="1" applyBorder="1" applyAlignment="1" applyProtection="1">
      <alignment horizontal="center" vertical="center"/>
      <protection hidden="1"/>
    </xf>
    <xf numFmtId="0" fontId="11" fillId="12" borderId="37" xfId="0" applyFont="1" applyFill="1" applyBorder="1" applyAlignment="1" applyProtection="1">
      <alignment horizontal="center" vertical="center"/>
      <protection hidden="1"/>
    </xf>
    <xf numFmtId="0" fontId="51" fillId="12" borderId="32" xfId="0" applyFont="1" applyFill="1" applyBorder="1" applyAlignment="1" applyProtection="1">
      <alignment horizontal="center" vertical="center"/>
      <protection hidden="1"/>
    </xf>
    <xf numFmtId="0" fontId="51" fillId="12" borderId="31" xfId="0" applyFont="1" applyFill="1" applyBorder="1" applyAlignment="1" applyProtection="1">
      <alignment horizontal="center" vertical="center"/>
      <protection hidden="1"/>
    </xf>
    <xf numFmtId="0" fontId="51" fillId="12" borderId="33" xfId="0" applyFont="1" applyFill="1" applyBorder="1" applyAlignment="1" applyProtection="1">
      <alignment horizontal="center" vertical="center"/>
      <protection hidden="1"/>
    </xf>
    <xf numFmtId="0" fontId="51" fillId="12" borderId="36" xfId="0" applyFont="1" applyFill="1" applyBorder="1" applyAlignment="1" applyProtection="1">
      <alignment horizontal="center" vertical="center"/>
      <protection hidden="1"/>
    </xf>
    <xf numFmtId="0" fontId="51" fillId="12" borderId="30" xfId="0" applyFont="1" applyFill="1" applyBorder="1" applyAlignment="1" applyProtection="1">
      <alignment horizontal="center" vertical="center"/>
      <protection hidden="1"/>
    </xf>
    <xf numFmtId="0" fontId="51" fillId="12" borderId="37" xfId="0" applyFont="1" applyFill="1" applyBorder="1" applyAlignment="1" applyProtection="1">
      <alignment horizontal="center" vertical="center"/>
      <protection hidden="1"/>
    </xf>
    <xf numFmtId="0" fontId="17" fillId="7" borderId="19" xfId="0" applyFont="1" applyFill="1" applyBorder="1" applyAlignment="1" applyProtection="1">
      <alignment horizontal="center" wrapText="1" shrinkToFit="1"/>
      <protection hidden="1"/>
    </xf>
    <xf numFmtId="0" fontId="0" fillId="7" borderId="3" xfId="0" applyFill="1" applyBorder="1" applyAlignment="1" applyProtection="1">
      <alignment horizontal="center"/>
      <protection hidden="1"/>
    </xf>
    <xf numFmtId="0" fontId="0" fillId="7" borderId="4" xfId="0" applyFill="1" applyBorder="1" applyAlignment="1" applyProtection="1">
      <alignment horizontal="center"/>
      <protection hidden="1"/>
    </xf>
    <xf numFmtId="0" fontId="0" fillId="7" borderId="5" xfId="0" applyFill="1" applyBorder="1" applyAlignment="1" applyProtection="1">
      <alignment horizontal="center"/>
      <protection hidden="1"/>
    </xf>
    <xf numFmtId="0" fontId="0" fillId="7" borderId="0" xfId="0" applyFill="1" applyAlignment="1" applyProtection="1">
      <alignment horizontal="center"/>
      <protection hidden="1"/>
    </xf>
    <xf numFmtId="0" fontId="0" fillId="7" borderId="6" xfId="0" applyFill="1" applyBorder="1" applyAlignment="1" applyProtection="1">
      <alignment horizontal="center"/>
      <protection hidden="1"/>
    </xf>
    <xf numFmtId="0" fontId="30" fillId="8" borderId="0" xfId="0" applyFont="1" applyFill="1" applyBorder="1" applyAlignment="1" applyProtection="1">
      <alignment horizontal="left" vertical="center" indent="1"/>
      <protection hidden="1"/>
    </xf>
    <xf numFmtId="0" fontId="29" fillId="8" borderId="0" xfId="0" applyFont="1" applyFill="1" applyBorder="1" applyAlignment="1" applyProtection="1">
      <alignment horizontal="center" vertical="center"/>
      <protection hidden="1"/>
    </xf>
    <xf numFmtId="0" fontId="44" fillId="2" borderId="0" xfId="0" applyFont="1" applyFill="1" applyBorder="1" applyAlignment="1" applyProtection="1">
      <alignment horizontal="center" vertical="center"/>
      <protection hidden="1"/>
    </xf>
    <xf numFmtId="0" fontId="44" fillId="2" borderId="0" xfId="0" applyFont="1" applyFill="1" applyAlignment="1" applyProtection="1">
      <alignment horizontal="center" vertical="center"/>
      <protection hidden="1"/>
    </xf>
    <xf numFmtId="0" fontId="3" fillId="2" borderId="0" xfId="0" applyFont="1" applyFill="1" applyBorder="1" applyAlignment="1" applyProtection="1">
      <alignment horizontal="left" vertical="center" wrapText="1" indent="1" shrinkToFit="1"/>
      <protection hidden="1"/>
    </xf>
    <xf numFmtId="0" fontId="0" fillId="0" borderId="0" xfId="0" applyAlignment="1" applyProtection="1">
      <alignment horizontal="left" vertical="center" wrapText="1" indent="1" shrinkToFit="1"/>
      <protection hidden="1"/>
    </xf>
    <xf numFmtId="0" fontId="17" fillId="8" borderId="19" xfId="0" applyFont="1" applyFill="1" applyBorder="1" applyAlignment="1" applyProtection="1">
      <alignment horizontal="center" wrapText="1" shrinkToFit="1"/>
      <protection hidden="1"/>
    </xf>
    <xf numFmtId="0" fontId="0" fillId="8" borderId="3" xfId="0" applyFill="1" applyBorder="1" applyAlignment="1" applyProtection="1">
      <alignment horizontal="center"/>
      <protection hidden="1"/>
    </xf>
    <xf numFmtId="0" fontId="0" fillId="8" borderId="4" xfId="0" applyFill="1" applyBorder="1" applyAlignment="1" applyProtection="1">
      <alignment horizontal="center"/>
      <protection hidden="1"/>
    </xf>
    <xf numFmtId="0" fontId="0" fillId="8" borderId="5" xfId="0" applyFill="1" applyBorder="1" applyAlignment="1" applyProtection="1">
      <alignment horizontal="center"/>
      <protection hidden="1"/>
    </xf>
    <xf numFmtId="0" fontId="0" fillId="8" borderId="0" xfId="0" applyFill="1" applyAlignment="1" applyProtection="1">
      <alignment horizontal="center"/>
      <protection hidden="1"/>
    </xf>
    <xf numFmtId="0" fontId="0" fillId="8" borderId="6" xfId="0" applyFill="1" applyBorder="1" applyAlignment="1" applyProtection="1">
      <alignment horizontal="center"/>
      <protection hidden="1"/>
    </xf>
    <xf numFmtId="0" fontId="17" fillId="10" borderId="19" xfId="0" applyFont="1" applyFill="1" applyBorder="1" applyAlignment="1" applyProtection="1">
      <alignment horizontal="center" wrapText="1" shrinkToFit="1"/>
      <protection hidden="1"/>
    </xf>
    <xf numFmtId="0" fontId="0" fillId="0" borderId="3" xfId="0" applyBorder="1" applyAlignment="1" applyProtection="1">
      <alignment horizontal="center"/>
      <protection hidden="1"/>
    </xf>
    <xf numFmtId="0" fontId="0" fillId="0" borderId="4" xfId="0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0" fontId="30" fillId="11" borderId="0" xfId="0" applyFont="1" applyFill="1" applyBorder="1" applyAlignment="1" applyProtection="1">
      <alignment horizontal="left" vertical="center" indent="1"/>
      <protection hidden="1"/>
    </xf>
    <xf numFmtId="0" fontId="29" fillId="11" borderId="0" xfId="0" applyFont="1" applyFill="1" applyBorder="1" applyAlignment="1" applyProtection="1">
      <alignment horizontal="center" vertical="center"/>
      <protection hidden="1"/>
    </xf>
    <xf numFmtId="0" fontId="17" fillId="11" borderId="19" xfId="0" applyFont="1" applyFill="1" applyBorder="1" applyAlignment="1" applyProtection="1">
      <alignment horizontal="center" wrapText="1" shrinkToFit="1"/>
      <protection hidden="1"/>
    </xf>
    <xf numFmtId="0" fontId="0" fillId="11" borderId="3" xfId="0" applyFill="1" applyBorder="1" applyAlignment="1" applyProtection="1">
      <alignment horizontal="center"/>
      <protection hidden="1"/>
    </xf>
    <xf numFmtId="0" fontId="0" fillId="11" borderId="4" xfId="0" applyFill="1" applyBorder="1" applyAlignment="1" applyProtection="1">
      <alignment horizontal="center"/>
      <protection hidden="1"/>
    </xf>
    <xf numFmtId="0" fontId="0" fillId="11" borderId="5" xfId="0" applyFill="1" applyBorder="1" applyAlignment="1" applyProtection="1">
      <alignment horizontal="center"/>
      <protection hidden="1"/>
    </xf>
    <xf numFmtId="0" fontId="0" fillId="11" borderId="0" xfId="0" applyFill="1" applyAlignment="1" applyProtection="1">
      <alignment horizontal="center"/>
      <protection hidden="1"/>
    </xf>
    <xf numFmtId="0" fontId="0" fillId="11" borderId="6" xfId="0" applyFill="1" applyBorder="1" applyAlignment="1" applyProtection="1">
      <alignment horizontal="center"/>
      <protection hidden="1"/>
    </xf>
    <xf numFmtId="0" fontId="17" fillId="9" borderId="19" xfId="0" applyFont="1" applyFill="1" applyBorder="1" applyAlignment="1" applyProtection="1">
      <alignment horizontal="center" wrapText="1" shrinkToFit="1"/>
      <protection hidden="1"/>
    </xf>
    <xf numFmtId="0" fontId="0" fillId="9" borderId="3" xfId="0" applyFill="1" applyBorder="1" applyAlignment="1" applyProtection="1">
      <alignment horizontal="center"/>
      <protection hidden="1"/>
    </xf>
    <xf numFmtId="0" fontId="0" fillId="9" borderId="4" xfId="0" applyFill="1" applyBorder="1" applyAlignment="1" applyProtection="1">
      <alignment horizontal="center"/>
      <protection hidden="1"/>
    </xf>
    <xf numFmtId="0" fontId="0" fillId="9" borderId="5" xfId="0" applyFill="1" applyBorder="1" applyAlignment="1" applyProtection="1">
      <alignment horizontal="center"/>
      <protection hidden="1"/>
    </xf>
    <xf numFmtId="0" fontId="0" fillId="9" borderId="0" xfId="0" applyFill="1" applyAlignment="1" applyProtection="1">
      <alignment horizontal="center"/>
      <protection hidden="1"/>
    </xf>
    <xf numFmtId="0" fontId="0" fillId="9" borderId="6" xfId="0" applyFill="1" applyBorder="1" applyAlignment="1" applyProtection="1">
      <alignment horizontal="center"/>
      <protection hidden="1"/>
    </xf>
    <xf numFmtId="0" fontId="18" fillId="2" borderId="0" xfId="0" applyFont="1" applyFill="1" applyBorder="1" applyAlignment="1" applyProtection="1">
      <alignment horizontal="left" vertical="center" shrinkToFit="1"/>
      <protection hidden="1"/>
    </xf>
    <xf numFmtId="0" fontId="18" fillId="0" borderId="0" xfId="0" applyFont="1" applyAlignment="1" applyProtection="1">
      <alignment horizontal="left" vertical="center" shrinkToFit="1"/>
      <protection hidden="1"/>
    </xf>
    <xf numFmtId="0" fontId="23" fillId="4" borderId="20" xfId="0" applyFont="1" applyFill="1" applyBorder="1" applyAlignment="1" applyProtection="1">
      <alignment horizontal="center" vertical="center" wrapText="1"/>
      <protection hidden="1"/>
    </xf>
    <xf numFmtId="0" fontId="24" fillId="4" borderId="20" xfId="0" applyFont="1" applyFill="1" applyBorder="1" applyAlignment="1" applyProtection="1">
      <alignment horizontal="center" vertical="center" wrapText="1"/>
      <protection hidden="1"/>
    </xf>
    <xf numFmtId="0" fontId="21" fillId="13" borderId="20" xfId="0" applyFont="1" applyFill="1" applyBorder="1" applyAlignment="1" applyProtection="1">
      <alignment horizontal="center" vertical="center" wrapText="1"/>
      <protection hidden="1"/>
    </xf>
    <xf numFmtId="0" fontId="22" fillId="13" borderId="20" xfId="0" applyFont="1" applyFill="1" applyBorder="1" applyAlignment="1" applyProtection="1">
      <alignment horizontal="center" vertical="center" wrapText="1"/>
      <protection hidden="1"/>
    </xf>
    <xf numFmtId="0" fontId="21" fillId="13" borderId="21" xfId="0" applyFont="1" applyFill="1" applyBorder="1" applyAlignment="1" applyProtection="1">
      <alignment horizontal="center" vertical="center" wrapText="1"/>
      <protection hidden="1"/>
    </xf>
    <xf numFmtId="0" fontId="22" fillId="13" borderId="22" xfId="0" applyFont="1" applyFill="1" applyBorder="1" applyAlignment="1" applyProtection="1">
      <alignment horizontal="center" vertical="center" wrapText="1"/>
      <protection hidden="1"/>
    </xf>
    <xf numFmtId="0" fontId="0" fillId="13" borderId="23" xfId="0" applyFill="1" applyBorder="1" applyAlignment="1" applyProtection="1">
      <protection hidden="1"/>
    </xf>
    <xf numFmtId="0" fontId="0" fillId="13" borderId="22" xfId="0" applyFill="1" applyBorder="1" applyAlignment="1" applyProtection="1">
      <protection hidden="1"/>
    </xf>
    <xf numFmtId="0" fontId="3" fillId="5" borderId="21" xfId="0" applyFont="1" applyFill="1" applyBorder="1" applyAlignment="1" applyProtection="1">
      <alignment horizontal="center" vertical="center" wrapText="1"/>
      <protection locked="0"/>
    </xf>
    <xf numFmtId="0" fontId="0" fillId="5" borderId="22" xfId="0" applyFill="1" applyBorder="1" applyAlignment="1" applyProtection="1">
      <alignment horizontal="center" vertical="center" wrapText="1"/>
      <protection locked="0"/>
    </xf>
    <xf numFmtId="0" fontId="0" fillId="5" borderId="23" xfId="0" applyFill="1" applyBorder="1" applyAlignment="1" applyProtection="1">
      <protection locked="0"/>
    </xf>
    <xf numFmtId="0" fontId="0" fillId="5" borderId="21" xfId="0" applyFill="1" applyBorder="1" applyAlignment="1" applyProtection="1">
      <alignment horizontal="center" vertical="center" wrapText="1"/>
      <protection locked="0"/>
    </xf>
    <xf numFmtId="0" fontId="26" fillId="15" borderId="26" xfId="0" applyFont="1" applyFill="1" applyBorder="1" applyAlignment="1" applyProtection="1">
      <alignment horizontal="center" vertical="center" wrapText="1" shrinkToFit="1"/>
      <protection hidden="1"/>
    </xf>
    <xf numFmtId="0" fontId="26" fillId="0" borderId="26" xfId="0" applyFont="1" applyBorder="1" applyAlignment="1" applyProtection="1">
      <alignment horizontal="center" vertical="center" wrapText="1" shrinkToFit="1"/>
      <protection hidden="1"/>
    </xf>
    <xf numFmtId="0" fontId="26" fillId="15" borderId="28" xfId="0" applyFont="1" applyFill="1" applyBorder="1" applyAlignment="1" applyProtection="1">
      <alignment horizontal="center" vertical="center" wrapText="1" shrinkToFit="1"/>
      <protection hidden="1"/>
    </xf>
    <xf numFmtId="0" fontId="26" fillId="0" borderId="28" xfId="0" applyFont="1" applyBorder="1" applyAlignment="1" applyProtection="1">
      <alignment horizontal="center" vertical="center" wrapText="1" shrinkToFit="1"/>
      <protection hidden="1"/>
    </xf>
    <xf numFmtId="0" fontId="26" fillId="0" borderId="27" xfId="0" applyFont="1" applyBorder="1" applyAlignment="1" applyProtection="1">
      <alignment horizontal="center" vertical="center" wrapText="1" shrinkToFit="1"/>
      <protection hidden="1"/>
    </xf>
    <xf numFmtId="0" fontId="25" fillId="2" borderId="21" xfId="0" applyFont="1" applyFill="1" applyBorder="1" applyAlignment="1" applyProtection="1">
      <alignment horizontal="center" vertical="center" wrapText="1" shrinkToFit="1"/>
      <protection hidden="1"/>
    </xf>
    <xf numFmtId="0" fontId="26" fillId="2" borderId="22" xfId="0" applyFont="1" applyFill="1" applyBorder="1" applyAlignment="1" applyProtection="1">
      <alignment horizontal="center" vertical="center" wrapText="1" shrinkToFit="1"/>
      <protection hidden="1"/>
    </xf>
    <xf numFmtId="0" fontId="0" fillId="2" borderId="23" xfId="0" applyFill="1" applyBorder="1" applyAlignment="1" applyProtection="1">
      <alignment wrapText="1" shrinkToFit="1"/>
      <protection hidden="1"/>
    </xf>
    <xf numFmtId="0" fontId="26" fillId="2" borderId="21" xfId="0" applyFont="1" applyFill="1" applyBorder="1" applyAlignment="1" applyProtection="1">
      <alignment horizontal="center" vertical="center" wrapText="1" shrinkToFit="1"/>
      <protection hidden="1"/>
    </xf>
    <xf numFmtId="0" fontId="23" fillId="2" borderId="19" xfId="0" applyFont="1" applyFill="1" applyBorder="1" applyAlignment="1" applyProtection="1">
      <alignment horizontal="center" vertical="center" wrapText="1" shrinkToFit="1"/>
      <protection hidden="1"/>
    </xf>
    <xf numFmtId="0" fontId="24" fillId="2" borderId="3" xfId="0" applyFont="1" applyFill="1" applyBorder="1" applyAlignment="1" applyProtection="1">
      <alignment horizontal="center" vertical="center" wrapText="1" shrinkToFit="1"/>
      <protection hidden="1"/>
    </xf>
    <xf numFmtId="0" fontId="24" fillId="2" borderId="4" xfId="0" applyFont="1" applyFill="1" applyBorder="1" applyAlignment="1" applyProtection="1">
      <alignment horizontal="center" vertical="center" wrapText="1" shrinkToFit="1"/>
      <protection hidden="1"/>
    </xf>
    <xf numFmtId="0" fontId="24" fillId="2" borderId="5" xfId="0" applyFont="1" applyFill="1" applyBorder="1" applyAlignment="1" applyProtection="1">
      <alignment horizontal="center" vertical="center" wrapText="1" shrinkToFit="1"/>
      <protection hidden="1"/>
    </xf>
    <xf numFmtId="0" fontId="24" fillId="2" borderId="0" xfId="0" applyFont="1" applyFill="1" applyBorder="1" applyAlignment="1" applyProtection="1">
      <alignment horizontal="center" vertical="center" wrapText="1" shrinkToFit="1"/>
      <protection hidden="1"/>
    </xf>
    <xf numFmtId="0" fontId="24" fillId="2" borderId="6" xfId="0" applyFont="1" applyFill="1" applyBorder="1" applyAlignment="1" applyProtection="1">
      <alignment horizontal="center" vertical="center" wrapText="1" shrinkToFit="1"/>
      <protection hidden="1"/>
    </xf>
    <xf numFmtId="0" fontId="24" fillId="0" borderId="5" xfId="0" applyFont="1" applyBorder="1" applyAlignment="1" applyProtection="1">
      <alignment horizontal="center" vertical="center" wrapText="1" shrinkToFit="1"/>
      <protection hidden="1"/>
    </xf>
    <xf numFmtId="0" fontId="24" fillId="0" borderId="0" xfId="0" applyFont="1" applyAlignment="1" applyProtection="1">
      <alignment horizontal="center" vertical="center" wrapText="1" shrinkToFit="1"/>
      <protection hidden="1"/>
    </xf>
    <xf numFmtId="0" fontId="24" fillId="0" borderId="6" xfId="0" applyFont="1" applyBorder="1" applyAlignment="1" applyProtection="1">
      <alignment horizontal="center" vertical="center" wrapText="1" shrinkToFit="1"/>
      <protection hidden="1"/>
    </xf>
    <xf numFmtId="0" fontId="24" fillId="0" borderId="7" xfId="0" applyFont="1" applyBorder="1" applyAlignment="1" applyProtection="1">
      <alignment horizontal="center" vertical="center" wrapText="1" shrinkToFit="1"/>
      <protection hidden="1"/>
    </xf>
    <xf numFmtId="0" fontId="24" fillId="0" borderId="8" xfId="0" applyFont="1" applyBorder="1" applyAlignment="1" applyProtection="1">
      <alignment horizontal="center" vertical="center" wrapText="1" shrinkToFit="1"/>
      <protection hidden="1"/>
    </xf>
    <xf numFmtId="0" fontId="24" fillId="0" borderId="9" xfId="0" applyFont="1" applyBorder="1" applyAlignment="1" applyProtection="1">
      <alignment horizontal="center" vertical="center" wrapText="1" shrinkToFit="1"/>
      <protection hidden="1"/>
    </xf>
    <xf numFmtId="0" fontId="3" fillId="3" borderId="20" xfId="0" applyFont="1" applyFill="1" applyBorder="1" applyAlignment="1" applyProtection="1">
      <alignment horizontal="left" vertical="center" wrapText="1" indent="1"/>
      <protection locked="0"/>
    </xf>
    <xf numFmtId="0" fontId="0" fillId="3" borderId="20" xfId="0" applyFill="1" applyBorder="1" applyAlignment="1" applyProtection="1">
      <alignment horizontal="left" vertical="center" wrapText="1" indent="1"/>
      <protection locked="0"/>
    </xf>
    <xf numFmtId="0" fontId="26" fillId="15" borderId="27" xfId="0" applyFont="1" applyFill="1" applyBorder="1" applyAlignment="1" applyProtection="1">
      <alignment horizontal="center" vertical="center" wrapText="1" shrinkToFit="1"/>
      <protection hidden="1"/>
    </xf>
    <xf numFmtId="0" fontId="28" fillId="2" borderId="29" xfId="0" applyFont="1" applyFill="1" applyBorder="1" applyAlignment="1" applyProtection="1">
      <alignment horizontal="center" vertical="center"/>
      <protection hidden="1"/>
    </xf>
    <xf numFmtId="0" fontId="20" fillId="17" borderId="41" xfId="0" applyFont="1" applyFill="1" applyBorder="1" applyAlignment="1" applyProtection="1">
      <alignment horizontal="center" vertical="center"/>
      <protection hidden="1"/>
    </xf>
    <xf numFmtId="0" fontId="0" fillId="17" borderId="41" xfId="0" applyFill="1" applyBorder="1" applyAlignment="1" applyProtection="1">
      <alignment horizontal="center" vertical="center"/>
      <protection hidden="1"/>
    </xf>
    <xf numFmtId="0" fontId="20" fillId="12" borderId="41" xfId="0" applyFont="1" applyFill="1" applyBorder="1" applyAlignment="1" applyProtection="1">
      <alignment horizontal="center" vertical="center"/>
      <protection hidden="1"/>
    </xf>
    <xf numFmtId="0" fontId="0" fillId="12" borderId="41" xfId="0" applyFill="1" applyBorder="1" applyAlignment="1" applyProtection="1">
      <alignment horizontal="center" vertical="center"/>
      <protection hidden="1"/>
    </xf>
    <xf numFmtId="0" fontId="30" fillId="2" borderId="0" xfId="0" applyFont="1" applyFill="1" applyBorder="1" applyAlignment="1" applyProtection="1">
      <alignment horizontal="left" vertical="center"/>
      <protection hidden="1"/>
    </xf>
    <xf numFmtId="0" fontId="0" fillId="0" borderId="0" xfId="0" applyFont="1" applyAlignment="1" applyProtection="1">
      <alignment vertical="center"/>
      <protection hidden="1"/>
    </xf>
    <xf numFmtId="0" fontId="24" fillId="14" borderId="26" xfId="0" applyFont="1" applyFill="1" applyBorder="1" applyAlignment="1" applyProtection="1">
      <alignment horizontal="center" vertical="center" wrapText="1" shrinkToFit="1"/>
      <protection hidden="1"/>
    </xf>
    <xf numFmtId="0" fontId="24" fillId="14" borderId="28" xfId="0" applyFont="1" applyFill="1" applyBorder="1" applyAlignment="1" applyProtection="1">
      <alignment horizontal="center" vertical="center" wrapText="1" shrinkToFit="1"/>
      <protection hidden="1"/>
    </xf>
    <xf numFmtId="0" fontId="24" fillId="14" borderId="27" xfId="0" applyFont="1" applyFill="1" applyBorder="1" applyAlignment="1" applyProtection="1">
      <alignment horizontal="center" vertical="center" wrapText="1" shrinkToFit="1"/>
      <protection hidden="1"/>
    </xf>
    <xf numFmtId="0" fontId="20" fillId="7" borderId="19" xfId="0" applyFont="1" applyFill="1" applyBorder="1" applyAlignment="1" applyProtection="1">
      <alignment horizontal="center" vertical="center"/>
      <protection hidden="1"/>
    </xf>
    <xf numFmtId="0" fontId="20" fillId="7" borderId="3" xfId="0" applyFont="1" applyFill="1" applyBorder="1" applyAlignment="1" applyProtection="1">
      <alignment horizontal="center" vertical="center"/>
      <protection hidden="1"/>
    </xf>
    <xf numFmtId="0" fontId="0" fillId="7" borderId="3" xfId="0" applyFill="1" applyBorder="1" applyAlignment="1" applyProtection="1">
      <alignment horizontal="center" vertical="center"/>
      <protection hidden="1"/>
    </xf>
    <xf numFmtId="0" fontId="0" fillId="7" borderId="4" xfId="0" applyFill="1" applyBorder="1" applyAlignment="1" applyProtection="1">
      <alignment horizontal="center" vertical="center"/>
      <protection hidden="1"/>
    </xf>
    <xf numFmtId="0" fontId="0" fillId="7" borderId="7" xfId="0" applyFill="1" applyBorder="1" applyAlignment="1" applyProtection="1">
      <alignment horizontal="center" vertical="center"/>
      <protection hidden="1"/>
    </xf>
    <xf numFmtId="0" fontId="0" fillId="7" borderId="8" xfId="0" applyFill="1" applyBorder="1" applyAlignment="1" applyProtection="1">
      <alignment horizontal="center" vertical="center"/>
      <protection hidden="1"/>
    </xf>
    <xf numFmtId="0" fontId="0" fillId="7" borderId="9" xfId="0" applyFill="1" applyBorder="1" applyAlignment="1" applyProtection="1">
      <alignment horizontal="center" vertical="center"/>
      <protection hidden="1"/>
    </xf>
    <xf numFmtId="0" fontId="20" fillId="12" borderId="19" xfId="0" applyFont="1" applyFill="1" applyBorder="1" applyAlignment="1" applyProtection="1">
      <alignment horizontal="center" vertical="center"/>
      <protection hidden="1"/>
    </xf>
    <xf numFmtId="0" fontId="20" fillId="12" borderId="3" xfId="0" applyFont="1" applyFill="1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9" xfId="0" applyBorder="1" applyAlignment="1" applyProtection="1">
      <alignment horizontal="center" vertical="center"/>
      <protection hidden="1"/>
    </xf>
    <xf numFmtId="0" fontId="49" fillId="2" borderId="6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Border="1" applyAlignment="1" applyProtection="1">
      <alignment horizontal="left" vertical="center" indent="2"/>
      <protection hidden="1"/>
    </xf>
    <xf numFmtId="0" fontId="3" fillId="0" borderId="0" xfId="0" applyFont="1" applyBorder="1" applyAlignment="1" applyProtection="1">
      <alignment horizontal="left" vertical="center" indent="2"/>
      <protection hidden="1"/>
    </xf>
    <xf numFmtId="0" fontId="3" fillId="0" borderId="35" xfId="0" applyFont="1" applyBorder="1" applyAlignment="1" applyProtection="1">
      <alignment horizontal="left" vertical="center" indent="2"/>
      <protection hidden="1"/>
    </xf>
    <xf numFmtId="0" fontId="3" fillId="2" borderId="31" xfId="0" applyFont="1" applyFill="1" applyBorder="1" applyAlignment="1" applyProtection="1">
      <alignment horizontal="left" vertical="center" indent="2"/>
      <protection hidden="1"/>
    </xf>
    <xf numFmtId="0" fontId="3" fillId="0" borderId="31" xfId="0" applyFont="1" applyBorder="1" applyAlignment="1" applyProtection="1">
      <alignment horizontal="left" vertical="center" indent="2"/>
      <protection hidden="1"/>
    </xf>
    <xf numFmtId="0" fontId="3" fillId="0" borderId="33" xfId="0" applyFont="1" applyBorder="1" applyAlignment="1" applyProtection="1">
      <alignment horizontal="left" vertical="center" indent="2"/>
      <protection hidden="1"/>
    </xf>
    <xf numFmtId="0" fontId="3" fillId="2" borderId="32" xfId="0" applyFont="1" applyFill="1" applyBorder="1" applyAlignment="1" applyProtection="1">
      <alignment horizontal="left" vertical="center" indent="1"/>
      <protection hidden="1"/>
    </xf>
    <xf numFmtId="0" fontId="3" fillId="0" borderId="31" xfId="0" applyFont="1" applyBorder="1" applyAlignment="1" applyProtection="1">
      <alignment horizontal="left" vertical="center" indent="1"/>
      <protection hidden="1"/>
    </xf>
    <xf numFmtId="0" fontId="3" fillId="0" borderId="34" xfId="0" applyFont="1" applyBorder="1" applyAlignment="1" applyProtection="1">
      <alignment horizontal="left" vertical="center" indent="1"/>
      <protection hidden="1"/>
    </xf>
    <xf numFmtId="0" fontId="3" fillId="0" borderId="0" xfId="0" applyFont="1" applyBorder="1" applyAlignment="1" applyProtection="1">
      <alignment horizontal="left" vertical="center" indent="1"/>
      <protection hidden="1"/>
    </xf>
    <xf numFmtId="0" fontId="3" fillId="0" borderId="36" xfId="0" applyFont="1" applyBorder="1" applyAlignment="1" applyProtection="1">
      <alignment horizontal="left" vertical="center" indent="1"/>
      <protection hidden="1"/>
    </xf>
    <xf numFmtId="0" fontId="3" fillId="0" borderId="30" xfId="0" applyFont="1" applyBorder="1" applyAlignment="1" applyProtection="1">
      <alignment horizontal="left" vertical="center" indent="1"/>
      <protection hidden="1"/>
    </xf>
    <xf numFmtId="0" fontId="3" fillId="3" borderId="41" xfId="0" applyFont="1" applyFill="1" applyBorder="1" applyAlignment="1" applyProtection="1">
      <alignment horizontal="left" vertical="center" wrapText="1" indent="1" shrinkToFit="1"/>
      <protection locked="0"/>
    </xf>
    <xf numFmtId="0" fontId="3" fillId="3" borderId="42" xfId="0" applyFont="1" applyFill="1" applyBorder="1" applyAlignment="1" applyProtection="1">
      <alignment horizontal="left" vertical="center" wrapText="1" indent="1" shrinkToFit="1"/>
      <protection locked="0"/>
    </xf>
    <xf numFmtId="0" fontId="3" fillId="2" borderId="32" xfId="0" applyFont="1" applyFill="1" applyBorder="1" applyAlignment="1" applyProtection="1">
      <alignment horizontal="left" vertical="center" wrapText="1" indent="1"/>
      <protection hidden="1"/>
    </xf>
    <xf numFmtId="0" fontId="0" fillId="0" borderId="31" xfId="0" applyBorder="1" applyAlignment="1" applyProtection="1">
      <alignment horizontal="left" vertical="center" wrapText="1" indent="1"/>
      <protection hidden="1"/>
    </xf>
    <xf numFmtId="0" fontId="0" fillId="0" borderId="31" xfId="0" applyBorder="1" applyAlignment="1" applyProtection="1">
      <alignment horizontal="left" vertical="center" indent="1"/>
      <protection hidden="1"/>
    </xf>
    <xf numFmtId="0" fontId="0" fillId="0" borderId="31" xfId="0" applyBorder="1" applyAlignment="1">
      <alignment horizontal="left" vertical="center" indent="1"/>
    </xf>
    <xf numFmtId="0" fontId="0" fillId="0" borderId="33" xfId="0" applyBorder="1" applyAlignment="1">
      <alignment horizontal="left" vertical="center" indent="1"/>
    </xf>
    <xf numFmtId="0" fontId="0" fillId="0" borderId="34" xfId="0" applyBorder="1" applyAlignment="1" applyProtection="1">
      <alignment horizontal="left" vertical="center" wrapText="1" indent="1"/>
      <protection hidden="1"/>
    </xf>
    <xf numFmtId="0" fontId="0" fillId="0" borderId="0" xfId="0" applyAlignment="1" applyProtection="1">
      <alignment horizontal="left" vertical="center" wrapText="1" indent="1"/>
      <protection hidden="1"/>
    </xf>
    <xf numFmtId="0" fontId="0" fillId="0" borderId="0" xfId="0" applyAlignment="1" applyProtection="1">
      <alignment horizontal="left" vertical="center" indent="1"/>
      <protection hidden="1"/>
    </xf>
    <xf numFmtId="0" fontId="0" fillId="0" borderId="0" xfId="0" applyAlignment="1">
      <alignment horizontal="left" vertical="center" indent="1"/>
    </xf>
    <xf numFmtId="0" fontId="0" fillId="0" borderId="35" xfId="0" applyBorder="1" applyAlignment="1">
      <alignment horizontal="left" vertical="center" indent="1"/>
    </xf>
    <xf numFmtId="0" fontId="0" fillId="0" borderId="36" xfId="0" applyBorder="1" applyAlignment="1" applyProtection="1">
      <alignment horizontal="left" vertical="center" wrapText="1" indent="1"/>
      <protection hidden="1"/>
    </xf>
    <xf numFmtId="0" fontId="0" fillId="0" borderId="30" xfId="0" applyBorder="1" applyAlignment="1" applyProtection="1">
      <alignment horizontal="left" vertical="center" wrapText="1" indent="1"/>
      <protection hidden="1"/>
    </xf>
    <xf numFmtId="0" fontId="0" fillId="0" borderId="30" xfId="0" applyBorder="1" applyAlignment="1" applyProtection="1">
      <alignment horizontal="left" vertical="center" indent="1"/>
      <protection hidden="1"/>
    </xf>
    <xf numFmtId="0" fontId="0" fillId="0" borderId="30" xfId="0" applyBorder="1" applyAlignment="1">
      <alignment horizontal="left" vertical="center" indent="1"/>
    </xf>
    <xf numFmtId="0" fontId="0" fillId="0" borderId="37" xfId="0" applyBorder="1" applyAlignment="1">
      <alignment horizontal="left" vertical="center" indent="1"/>
    </xf>
    <xf numFmtId="0" fontId="0" fillId="0" borderId="0" xfId="0" applyBorder="1" applyAlignment="1" applyProtection="1">
      <alignment horizontal="left" vertical="center" wrapText="1" indent="1"/>
      <protection hidden="1"/>
    </xf>
    <xf numFmtId="0" fontId="0" fillId="0" borderId="0" xfId="0" applyBorder="1" applyAlignment="1" applyProtection="1">
      <alignment horizontal="left" vertical="center" indent="1"/>
      <protection hidden="1"/>
    </xf>
    <xf numFmtId="0" fontId="0" fillId="0" borderId="0" xfId="0" applyBorder="1" applyAlignment="1">
      <alignment horizontal="left" vertical="center" indent="1"/>
    </xf>
    <xf numFmtId="0" fontId="3" fillId="0" borderId="32" xfId="0" applyFont="1" applyFill="1" applyBorder="1" applyAlignment="1" applyProtection="1">
      <alignment horizontal="center" vertical="center"/>
      <protection locked="0"/>
    </xf>
    <xf numFmtId="0" fontId="3" fillId="0" borderId="31" xfId="0" applyFont="1" applyFill="1" applyBorder="1" applyAlignment="1" applyProtection="1">
      <alignment horizontal="center" vertical="center"/>
      <protection locked="0"/>
    </xf>
    <xf numFmtId="0" fontId="3" fillId="0" borderId="33" xfId="0" applyFont="1" applyFill="1" applyBorder="1" applyAlignment="1" applyProtection="1">
      <alignment horizontal="center" vertical="center"/>
      <protection locked="0"/>
    </xf>
    <xf numFmtId="0" fontId="3" fillId="0" borderId="34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3" fillId="0" borderId="35" xfId="0" applyFont="1" applyFill="1" applyBorder="1" applyAlignment="1" applyProtection="1">
      <alignment horizontal="center" vertical="center"/>
      <protection locked="0"/>
    </xf>
    <xf numFmtId="0" fontId="3" fillId="0" borderId="36" xfId="0" applyFont="1" applyFill="1" applyBorder="1" applyAlignment="1" applyProtection="1">
      <alignment horizontal="center" vertical="center"/>
      <protection locked="0"/>
    </xf>
    <xf numFmtId="0" fontId="3" fillId="0" borderId="30" xfId="0" applyFont="1" applyFill="1" applyBorder="1" applyAlignment="1" applyProtection="1">
      <alignment horizontal="center" vertical="center"/>
      <protection locked="0"/>
    </xf>
    <xf numFmtId="0" fontId="3" fillId="0" borderId="37" xfId="0" applyFont="1" applyFill="1" applyBorder="1" applyAlignment="1" applyProtection="1">
      <alignment horizontal="center" vertical="center"/>
      <protection locked="0"/>
    </xf>
    <xf numFmtId="0" fontId="50" fillId="12" borderId="32" xfId="0" applyFont="1" applyFill="1" applyBorder="1" applyAlignment="1" applyProtection="1">
      <alignment horizontal="center" vertical="center" wrapText="1" shrinkToFit="1"/>
      <protection hidden="1"/>
    </xf>
    <xf numFmtId="0" fontId="50" fillId="12" borderId="31" xfId="0" applyFont="1" applyFill="1" applyBorder="1" applyAlignment="1" applyProtection="1">
      <alignment horizontal="center" vertical="center" wrapText="1" shrinkToFit="1"/>
      <protection hidden="1"/>
    </xf>
    <xf numFmtId="0" fontId="50" fillId="12" borderId="33" xfId="0" applyFont="1" applyFill="1" applyBorder="1" applyAlignment="1" applyProtection="1">
      <alignment horizontal="center" vertical="center" wrapText="1" shrinkToFit="1"/>
      <protection hidden="1"/>
    </xf>
    <xf numFmtId="0" fontId="50" fillId="12" borderId="34" xfId="0" applyFont="1" applyFill="1" applyBorder="1" applyAlignment="1" applyProtection="1">
      <alignment horizontal="center" vertical="center" wrapText="1" shrinkToFit="1"/>
      <protection hidden="1"/>
    </xf>
    <xf numFmtId="0" fontId="50" fillId="12" borderId="0" xfId="0" applyFont="1" applyFill="1" applyBorder="1" applyAlignment="1" applyProtection="1">
      <alignment horizontal="center" vertical="center" wrapText="1" shrinkToFit="1"/>
      <protection hidden="1"/>
    </xf>
    <xf numFmtId="0" fontId="50" fillId="12" borderId="35" xfId="0" applyFont="1" applyFill="1" applyBorder="1" applyAlignment="1" applyProtection="1">
      <alignment horizontal="center" vertical="center" wrapText="1" shrinkToFit="1"/>
      <protection hidden="1"/>
    </xf>
    <xf numFmtId="0" fontId="50" fillId="12" borderId="36" xfId="0" applyFont="1" applyFill="1" applyBorder="1" applyAlignment="1" applyProtection="1">
      <alignment horizontal="center" vertical="center" wrapText="1" shrinkToFit="1"/>
      <protection hidden="1"/>
    </xf>
    <xf numFmtId="0" fontId="50" fillId="12" borderId="30" xfId="0" applyFont="1" applyFill="1" applyBorder="1" applyAlignment="1" applyProtection="1">
      <alignment horizontal="center" vertical="center" wrapText="1" shrinkToFit="1"/>
      <protection hidden="1"/>
    </xf>
    <xf numFmtId="0" fontId="50" fillId="12" borderId="37" xfId="0" applyFont="1" applyFill="1" applyBorder="1" applyAlignment="1" applyProtection="1">
      <alignment horizontal="center" vertical="center" wrapText="1" shrinkToFit="1"/>
      <protection hidden="1"/>
    </xf>
    <xf numFmtId="0" fontId="0" fillId="5" borderId="32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33" xfId="0" applyBorder="1" applyAlignment="1" applyProtection="1">
      <alignment horizontal="center" vertical="center"/>
      <protection locked="0"/>
    </xf>
    <xf numFmtId="0" fontId="0" fillId="5" borderId="34" xfId="0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5" borderId="36" xfId="0" applyFill="1" applyBorder="1" applyAlignment="1" applyProtection="1">
      <alignment horizontal="center" vertical="center"/>
      <protection locked="0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37" xfId="0" applyBorder="1" applyAlignment="1" applyProtection="1">
      <alignment horizontal="center" vertical="center"/>
      <protection locked="0"/>
    </xf>
    <xf numFmtId="0" fontId="3" fillId="3" borderId="32" xfId="0" applyFont="1" applyFill="1" applyBorder="1" applyAlignment="1" applyProtection="1">
      <alignment horizontal="left" vertical="center" wrapText="1" indent="1" shrinkToFit="1"/>
      <protection locked="0"/>
    </xf>
    <xf numFmtId="0" fontId="3" fillId="3" borderId="31" xfId="0" applyFont="1" applyFill="1" applyBorder="1" applyAlignment="1" applyProtection="1">
      <alignment horizontal="left" vertical="center" wrapText="1" indent="1" shrinkToFit="1"/>
      <protection locked="0"/>
    </xf>
    <xf numFmtId="0" fontId="3" fillId="3" borderId="33" xfId="0" applyFont="1" applyFill="1" applyBorder="1" applyAlignment="1" applyProtection="1">
      <alignment horizontal="left" vertical="center" wrapText="1" indent="1" shrinkToFit="1"/>
      <protection locked="0"/>
    </xf>
    <xf numFmtId="0" fontId="3" fillId="3" borderId="34" xfId="0" applyFont="1" applyFill="1" applyBorder="1" applyAlignment="1" applyProtection="1">
      <alignment horizontal="left" vertical="center" wrapText="1" indent="1" shrinkToFit="1"/>
      <protection locked="0"/>
    </xf>
    <xf numFmtId="0" fontId="3" fillId="3" borderId="0" xfId="0" applyFont="1" applyFill="1" applyBorder="1" applyAlignment="1" applyProtection="1">
      <alignment horizontal="left" vertical="center" wrapText="1" indent="1" shrinkToFit="1"/>
      <protection locked="0"/>
    </xf>
    <xf numFmtId="0" fontId="3" fillId="3" borderId="35" xfId="0" applyFont="1" applyFill="1" applyBorder="1" applyAlignment="1" applyProtection="1">
      <alignment horizontal="left" vertical="center" wrapText="1" indent="1" shrinkToFit="1"/>
      <protection locked="0"/>
    </xf>
    <xf numFmtId="0" fontId="3" fillId="3" borderId="36" xfId="0" applyFont="1" applyFill="1" applyBorder="1" applyAlignment="1" applyProtection="1">
      <alignment horizontal="left" vertical="center" wrapText="1" indent="1" shrinkToFit="1"/>
      <protection locked="0"/>
    </xf>
    <xf numFmtId="0" fontId="3" fillId="3" borderId="30" xfId="0" applyFont="1" applyFill="1" applyBorder="1" applyAlignment="1" applyProtection="1">
      <alignment horizontal="left" vertical="center" wrapText="1" indent="1" shrinkToFit="1"/>
      <protection locked="0"/>
    </xf>
    <xf numFmtId="0" fontId="3" fillId="3" borderId="37" xfId="0" applyFont="1" applyFill="1" applyBorder="1" applyAlignment="1" applyProtection="1">
      <alignment horizontal="left" vertical="center" wrapText="1" indent="1" shrinkToFit="1"/>
      <protection locked="0"/>
    </xf>
    <xf numFmtId="0" fontId="34" fillId="2" borderId="0" xfId="0" applyFont="1" applyFill="1" applyBorder="1" applyAlignment="1" applyProtection="1">
      <alignment horizontal="center" vertical="center"/>
      <protection hidden="1"/>
    </xf>
    <xf numFmtId="0" fontId="34" fillId="0" borderId="0" xfId="0" applyFont="1" applyAlignment="1" applyProtection="1">
      <alignment horizontal="center" vertical="center"/>
      <protection hidden="1"/>
    </xf>
    <xf numFmtId="0" fontId="13" fillId="19" borderId="32" xfId="0" applyFont="1" applyFill="1" applyBorder="1" applyAlignment="1" applyProtection="1">
      <alignment horizontal="center" vertical="center" wrapText="1"/>
      <protection hidden="1"/>
    </xf>
    <xf numFmtId="0" fontId="13" fillId="19" borderId="31" xfId="0" applyFont="1" applyFill="1" applyBorder="1" applyAlignment="1" applyProtection="1">
      <alignment horizontal="center" vertical="center" wrapText="1"/>
      <protection hidden="1"/>
    </xf>
    <xf numFmtId="0" fontId="13" fillId="0" borderId="31" xfId="0" applyFont="1" applyBorder="1" applyAlignment="1" applyProtection="1">
      <alignment horizontal="center" vertical="center" wrapText="1"/>
      <protection hidden="1"/>
    </xf>
    <xf numFmtId="0" fontId="13" fillId="0" borderId="33" xfId="0" applyFont="1" applyBorder="1" applyAlignment="1" applyProtection="1">
      <alignment horizontal="center" vertical="center" wrapText="1"/>
      <protection hidden="1"/>
    </xf>
    <xf numFmtId="0" fontId="13" fillId="19" borderId="34" xfId="0" applyFont="1" applyFill="1" applyBorder="1" applyAlignment="1" applyProtection="1">
      <alignment horizontal="center" vertical="center" wrapText="1"/>
      <protection hidden="1"/>
    </xf>
    <xf numFmtId="0" fontId="13" fillId="19" borderId="0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horizontal="center" vertical="center" wrapText="1"/>
      <protection hidden="1"/>
    </xf>
    <xf numFmtId="0" fontId="13" fillId="0" borderId="35" xfId="0" applyFont="1" applyBorder="1" applyAlignment="1" applyProtection="1">
      <alignment horizontal="center" vertical="center" wrapText="1"/>
      <protection hidden="1"/>
    </xf>
    <xf numFmtId="0" fontId="13" fillId="19" borderId="36" xfId="0" applyFont="1" applyFill="1" applyBorder="1" applyAlignment="1" applyProtection="1">
      <alignment horizontal="center" vertical="center" wrapText="1"/>
      <protection hidden="1"/>
    </xf>
    <xf numFmtId="0" fontId="13" fillId="19" borderId="30" xfId="0" applyFont="1" applyFill="1" applyBorder="1" applyAlignment="1" applyProtection="1">
      <alignment horizontal="center" vertical="center" wrapText="1"/>
      <protection hidden="1"/>
    </xf>
    <xf numFmtId="0" fontId="13" fillId="0" borderId="30" xfId="0" applyFont="1" applyBorder="1" applyAlignment="1" applyProtection="1">
      <alignment horizontal="center" vertical="center" wrapText="1"/>
      <protection hidden="1"/>
    </xf>
    <xf numFmtId="0" fontId="13" fillId="0" borderId="37" xfId="0" applyFont="1" applyBorder="1" applyAlignment="1" applyProtection="1">
      <alignment horizontal="center" vertical="center" wrapText="1"/>
      <protection hidden="1"/>
    </xf>
    <xf numFmtId="0" fontId="35" fillId="16" borderId="32" xfId="0" applyFont="1" applyFill="1" applyBorder="1" applyAlignment="1" applyProtection="1">
      <alignment horizontal="center" vertical="center" wrapText="1" shrinkToFit="1"/>
      <protection hidden="1"/>
    </xf>
    <xf numFmtId="0" fontId="35" fillId="16" borderId="31" xfId="0" applyFont="1" applyFill="1" applyBorder="1" applyAlignment="1" applyProtection="1">
      <alignment horizontal="center" vertical="center" wrapText="1" shrinkToFit="1"/>
      <protection hidden="1"/>
    </xf>
    <xf numFmtId="0" fontId="35" fillId="16" borderId="34" xfId="0" applyFont="1" applyFill="1" applyBorder="1" applyAlignment="1" applyProtection="1">
      <alignment horizontal="center" vertical="center" wrapText="1" shrinkToFit="1"/>
      <protection hidden="1"/>
    </xf>
    <xf numFmtId="0" fontId="35" fillId="16" borderId="0" xfId="0" applyFont="1" applyFill="1" applyBorder="1" applyAlignment="1" applyProtection="1">
      <alignment horizontal="center" vertical="center" wrapText="1" shrinkToFit="1"/>
      <protection hidden="1"/>
    </xf>
    <xf numFmtId="0" fontId="35" fillId="16" borderId="36" xfId="0" applyFont="1" applyFill="1" applyBorder="1" applyAlignment="1" applyProtection="1">
      <alignment horizontal="center" vertical="center" wrapText="1" shrinkToFit="1"/>
      <protection hidden="1"/>
    </xf>
    <xf numFmtId="0" fontId="35" fillId="16" borderId="30" xfId="0" applyFont="1" applyFill="1" applyBorder="1" applyAlignment="1" applyProtection="1">
      <alignment horizontal="center" vertical="center" wrapText="1" shrinkToFit="1"/>
      <protection hidden="1"/>
    </xf>
    <xf numFmtId="0" fontId="14" fillId="16" borderId="32" xfId="0" applyFont="1" applyFill="1" applyBorder="1" applyAlignment="1" applyProtection="1">
      <alignment horizontal="center" vertical="center" wrapText="1" shrinkToFit="1"/>
      <protection hidden="1"/>
    </xf>
    <xf numFmtId="0" fontId="14" fillId="16" borderId="31" xfId="0" applyFont="1" applyFill="1" applyBorder="1" applyAlignment="1" applyProtection="1">
      <alignment horizontal="center" vertical="center" wrapText="1" shrinkToFit="1"/>
      <protection hidden="1"/>
    </xf>
    <xf numFmtId="0" fontId="14" fillId="16" borderId="33" xfId="0" applyFont="1" applyFill="1" applyBorder="1" applyAlignment="1" applyProtection="1">
      <alignment horizontal="center" vertical="center" wrapText="1" shrinkToFit="1"/>
      <protection hidden="1"/>
    </xf>
    <xf numFmtId="0" fontId="14" fillId="16" borderId="34" xfId="0" applyFont="1" applyFill="1" applyBorder="1" applyAlignment="1" applyProtection="1">
      <alignment horizontal="center" vertical="center" wrapText="1" shrinkToFit="1"/>
      <protection hidden="1"/>
    </xf>
    <xf numFmtId="0" fontId="14" fillId="16" borderId="0" xfId="0" applyFont="1" applyFill="1" applyBorder="1" applyAlignment="1" applyProtection="1">
      <alignment horizontal="center" vertical="center" wrapText="1" shrinkToFit="1"/>
      <protection hidden="1"/>
    </xf>
    <xf numFmtId="0" fontId="14" fillId="16" borderId="0" xfId="0" applyFont="1" applyFill="1" applyAlignment="1" applyProtection="1">
      <alignment horizontal="center" vertical="center" wrapText="1" shrinkToFit="1"/>
      <protection hidden="1"/>
    </xf>
    <xf numFmtId="0" fontId="14" fillId="16" borderId="35" xfId="0" applyFont="1" applyFill="1" applyBorder="1" applyAlignment="1" applyProtection="1">
      <alignment horizontal="center" vertical="center" wrapText="1" shrinkToFit="1"/>
      <protection hidden="1"/>
    </xf>
    <xf numFmtId="0" fontId="14" fillId="16" borderId="36" xfId="0" applyFont="1" applyFill="1" applyBorder="1" applyAlignment="1" applyProtection="1">
      <alignment horizontal="center" vertical="center" wrapText="1" shrinkToFit="1"/>
      <protection hidden="1"/>
    </xf>
    <xf numFmtId="0" fontId="14" fillId="16" borderId="30" xfId="0" applyFont="1" applyFill="1" applyBorder="1" applyAlignment="1" applyProtection="1">
      <alignment horizontal="center" vertical="center" wrapText="1" shrinkToFit="1"/>
      <protection hidden="1"/>
    </xf>
    <xf numFmtId="0" fontId="14" fillId="16" borderId="37" xfId="0" applyFont="1" applyFill="1" applyBorder="1" applyAlignment="1" applyProtection="1">
      <alignment horizontal="center" vertical="center" wrapText="1" shrinkToFit="1"/>
      <protection hidden="1"/>
    </xf>
    <xf numFmtId="0" fontId="28" fillId="2" borderId="34" xfId="0" applyFont="1" applyFill="1" applyBorder="1" applyAlignment="1" applyProtection="1">
      <alignment horizontal="right" vertical="center"/>
      <protection hidden="1"/>
    </xf>
    <xf numFmtId="0" fontId="28" fillId="0" borderId="0" xfId="0" applyFont="1" applyAlignment="1" applyProtection="1">
      <alignment horizontal="right" vertical="center"/>
      <protection hidden="1"/>
    </xf>
    <xf numFmtId="0" fontId="28" fillId="0" borderId="34" xfId="0" applyFont="1" applyBorder="1" applyAlignment="1" applyProtection="1">
      <alignment horizontal="right" vertical="center"/>
      <protection hidden="1"/>
    </xf>
    <xf numFmtId="0" fontId="35" fillId="16" borderId="33" xfId="0" applyFont="1" applyFill="1" applyBorder="1" applyAlignment="1" applyProtection="1">
      <alignment horizontal="center" vertical="center" wrapText="1" shrinkToFit="1"/>
      <protection hidden="1"/>
    </xf>
    <xf numFmtId="0" fontId="35" fillId="16" borderId="0" xfId="0" applyFont="1" applyFill="1" applyAlignment="1" applyProtection="1">
      <alignment horizontal="center" vertical="center" wrapText="1" shrinkToFit="1"/>
      <protection hidden="1"/>
    </xf>
    <xf numFmtId="0" fontId="35" fillId="16" borderId="35" xfId="0" applyFont="1" applyFill="1" applyBorder="1" applyAlignment="1" applyProtection="1">
      <alignment horizontal="center" vertical="center" wrapText="1" shrinkToFit="1"/>
      <protection hidden="1"/>
    </xf>
    <xf numFmtId="0" fontId="35" fillId="16" borderId="37" xfId="0" applyFont="1" applyFill="1" applyBorder="1" applyAlignment="1" applyProtection="1">
      <alignment horizontal="center" vertical="center" wrapText="1" shrinkToFit="1"/>
      <protection hidden="1"/>
    </xf>
    <xf numFmtId="0" fontId="43" fillId="16" borderId="38" xfId="0" applyFont="1" applyFill="1" applyBorder="1" applyAlignment="1" applyProtection="1">
      <alignment horizontal="center" vertical="center"/>
      <protection hidden="1"/>
    </xf>
    <xf numFmtId="0" fontId="43" fillId="16" borderId="39" xfId="0" applyFont="1" applyFill="1" applyBorder="1" applyAlignment="1" applyProtection="1">
      <alignment horizontal="center" vertical="center"/>
      <protection hidden="1"/>
    </xf>
    <xf numFmtId="0" fontId="43" fillId="16" borderId="40" xfId="0" applyFont="1" applyFill="1" applyBorder="1" applyAlignment="1" applyProtection="1">
      <alignment horizontal="center" vertical="center"/>
      <protection hidden="1"/>
    </xf>
    <xf numFmtId="0" fontId="9" fillId="2" borderId="0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3" fillId="2" borderId="32" xfId="0" applyFont="1" applyFill="1" applyBorder="1" applyAlignment="1" applyProtection="1">
      <alignment horizontal="center" vertical="center"/>
      <protection hidden="1"/>
    </xf>
    <xf numFmtId="0" fontId="0" fillId="0" borderId="33" xfId="0" applyBorder="1" applyAlignment="1" applyProtection="1">
      <alignment horizontal="center" vertical="center"/>
      <protection hidden="1"/>
    </xf>
    <xf numFmtId="0" fontId="0" fillId="0" borderId="36" xfId="0" applyBorder="1" applyAlignment="1" applyProtection="1">
      <alignment horizontal="center" vertical="center"/>
      <protection hidden="1"/>
    </xf>
    <xf numFmtId="0" fontId="0" fillId="0" borderId="37" xfId="0" applyBorder="1" applyAlignment="1" applyProtection="1">
      <alignment horizontal="center" vertical="center"/>
      <protection hidden="1"/>
    </xf>
    <xf numFmtId="0" fontId="3" fillId="3" borderId="32" xfId="0" applyFont="1" applyFill="1" applyBorder="1" applyAlignment="1" applyProtection="1">
      <alignment horizontal="left" vertical="center" indent="1"/>
      <protection locked="0"/>
    </xf>
    <xf numFmtId="0" fontId="0" fillId="3" borderId="31" xfId="0" applyFill="1" applyBorder="1" applyAlignment="1" applyProtection="1">
      <alignment horizontal="left" vertical="center" indent="1"/>
      <protection locked="0"/>
    </xf>
    <xf numFmtId="0" fontId="0" fillId="3" borderId="33" xfId="0" applyFill="1" applyBorder="1" applyAlignment="1" applyProtection="1">
      <alignment horizontal="left" vertical="center" indent="1"/>
      <protection locked="0"/>
    </xf>
    <xf numFmtId="0" fontId="0" fillId="3" borderId="36" xfId="0" applyFill="1" applyBorder="1" applyAlignment="1" applyProtection="1">
      <alignment horizontal="left" vertical="center" indent="1"/>
      <protection locked="0"/>
    </xf>
    <xf numFmtId="0" fontId="0" fillId="3" borderId="30" xfId="0" applyFill="1" applyBorder="1" applyAlignment="1" applyProtection="1">
      <alignment horizontal="left" vertical="center" indent="1"/>
      <protection locked="0"/>
    </xf>
    <xf numFmtId="0" fontId="0" fillId="3" borderId="37" xfId="0" applyFill="1" applyBorder="1" applyAlignment="1" applyProtection="1">
      <alignment horizontal="left" vertical="center" indent="1"/>
      <protection locked="0"/>
    </xf>
    <xf numFmtId="166" fontId="3" fillId="3" borderId="32" xfId="0" applyNumberFormat="1" applyFont="1" applyFill="1" applyBorder="1" applyAlignment="1" applyProtection="1">
      <alignment horizontal="center" vertical="center"/>
      <protection locked="0"/>
    </xf>
    <xf numFmtId="166" fontId="0" fillId="3" borderId="31" xfId="0" applyNumberFormat="1" applyFill="1" applyBorder="1" applyAlignment="1" applyProtection="1">
      <alignment horizontal="center" vertical="center"/>
      <protection locked="0"/>
    </xf>
    <xf numFmtId="166" fontId="0" fillId="3" borderId="33" xfId="0" applyNumberFormat="1" applyFill="1" applyBorder="1" applyAlignment="1" applyProtection="1">
      <alignment horizontal="center" vertical="center"/>
      <protection locked="0"/>
    </xf>
    <xf numFmtId="166" fontId="0" fillId="3" borderId="36" xfId="0" applyNumberFormat="1" applyFill="1" applyBorder="1" applyAlignment="1" applyProtection="1">
      <alignment horizontal="center" vertical="center"/>
      <protection locked="0"/>
    </xf>
    <xf numFmtId="166" fontId="0" fillId="3" borderId="30" xfId="0" applyNumberFormat="1" applyFill="1" applyBorder="1" applyAlignment="1" applyProtection="1">
      <alignment horizontal="center" vertical="center"/>
      <protection locked="0"/>
    </xf>
    <xf numFmtId="166" fontId="0" fillId="3" borderId="37" xfId="0" applyNumberFormat="1" applyFill="1" applyBorder="1" applyAlignment="1" applyProtection="1">
      <alignment horizontal="center" vertical="center"/>
      <protection locked="0"/>
    </xf>
    <xf numFmtId="0" fontId="3" fillId="3" borderId="31" xfId="0" applyFont="1" applyFill="1" applyBorder="1" applyAlignment="1" applyProtection="1">
      <alignment horizontal="left" vertical="center" indent="1"/>
      <protection locked="0"/>
    </xf>
    <xf numFmtId="0" fontId="3" fillId="3" borderId="33" xfId="0" applyFont="1" applyFill="1" applyBorder="1" applyAlignment="1" applyProtection="1">
      <alignment horizontal="left" vertical="center" indent="1"/>
      <protection locked="0"/>
    </xf>
    <xf numFmtId="0" fontId="3" fillId="3" borderId="36" xfId="0" applyFont="1" applyFill="1" applyBorder="1" applyAlignment="1" applyProtection="1">
      <alignment horizontal="left" vertical="center" indent="1"/>
      <protection locked="0"/>
    </xf>
    <xf numFmtId="0" fontId="3" fillId="3" borderId="30" xfId="0" applyFont="1" applyFill="1" applyBorder="1" applyAlignment="1" applyProtection="1">
      <alignment horizontal="left" vertical="center" indent="1"/>
      <protection locked="0"/>
    </xf>
    <xf numFmtId="0" fontId="3" fillId="3" borderId="37" xfId="0" applyFont="1" applyFill="1" applyBorder="1" applyAlignment="1" applyProtection="1">
      <alignment horizontal="left" vertical="center" indent="1"/>
      <protection locked="0"/>
    </xf>
    <xf numFmtId="0" fontId="3" fillId="3" borderId="32" xfId="0" applyFont="1" applyFill="1" applyBorder="1" applyAlignment="1" applyProtection="1">
      <alignment horizontal="center" vertical="center"/>
      <protection locked="0"/>
    </xf>
    <xf numFmtId="0" fontId="0" fillId="3" borderId="31" xfId="0" applyFill="1" applyBorder="1" applyAlignment="1" applyProtection="1">
      <alignment horizontal="center" vertical="center"/>
      <protection locked="0"/>
    </xf>
    <xf numFmtId="0" fontId="0" fillId="3" borderId="33" xfId="0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horizontal="center" vertical="center"/>
      <protection locked="0"/>
    </xf>
    <xf numFmtId="0" fontId="0" fillId="3" borderId="30" xfId="0" applyFill="1" applyBorder="1" applyAlignment="1" applyProtection="1">
      <alignment horizontal="center" vertical="center"/>
      <protection locked="0"/>
    </xf>
    <xf numFmtId="0" fontId="0" fillId="3" borderId="37" xfId="0" applyFill="1" applyBorder="1" applyAlignment="1" applyProtection="1">
      <alignment horizontal="center" vertical="center"/>
      <protection locked="0"/>
    </xf>
    <xf numFmtId="0" fontId="12" fillId="3" borderId="32" xfId="1" applyFill="1" applyBorder="1" applyAlignment="1" applyProtection="1">
      <alignment horizontal="left" vertical="center" indent="1"/>
      <protection locked="0"/>
    </xf>
    <xf numFmtId="0" fontId="12" fillId="3" borderId="31" xfId="1" applyFill="1" applyBorder="1" applyAlignment="1" applyProtection="1">
      <alignment horizontal="left" vertical="center" indent="1"/>
      <protection locked="0"/>
    </xf>
    <xf numFmtId="0" fontId="12" fillId="3" borderId="33" xfId="1" applyFill="1" applyBorder="1" applyAlignment="1" applyProtection="1">
      <alignment horizontal="left" vertical="center" indent="1"/>
      <protection locked="0"/>
    </xf>
    <xf numFmtId="0" fontId="12" fillId="3" borderId="36" xfId="1" applyFill="1" applyBorder="1" applyAlignment="1" applyProtection="1">
      <alignment horizontal="left" vertical="center" indent="1"/>
      <protection locked="0"/>
    </xf>
    <xf numFmtId="0" fontId="12" fillId="3" borderId="30" xfId="1" applyFill="1" applyBorder="1" applyAlignment="1" applyProtection="1">
      <alignment horizontal="left" vertical="center" indent="1"/>
      <protection locked="0"/>
    </xf>
    <xf numFmtId="0" fontId="12" fillId="3" borderId="37" xfId="1" applyFill="1" applyBorder="1" applyAlignment="1" applyProtection="1">
      <alignment horizontal="left" vertical="center" indent="1"/>
      <protection locked="0"/>
    </xf>
    <xf numFmtId="0" fontId="14" fillId="2" borderId="32" xfId="0" applyFont="1" applyFill="1" applyBorder="1" applyAlignment="1" applyProtection="1">
      <alignment horizontal="center" vertical="center" wrapText="1"/>
      <protection hidden="1"/>
    </xf>
    <xf numFmtId="0" fontId="13" fillId="0" borderId="36" xfId="0" applyFont="1" applyBorder="1" applyAlignment="1" applyProtection="1">
      <alignment horizontal="center" vertical="center" wrapText="1"/>
      <protection hidden="1"/>
    </xf>
    <xf numFmtId="0" fontId="0" fillId="0" borderId="33" xfId="0" applyBorder="1" applyAlignment="1" applyProtection="1">
      <alignment horizontal="left" vertical="center" indent="1"/>
      <protection hidden="1"/>
    </xf>
    <xf numFmtId="0" fontId="0" fillId="0" borderId="36" xfId="0" applyBorder="1" applyAlignment="1" applyProtection="1">
      <alignment horizontal="left" vertical="center" indent="1"/>
      <protection hidden="1"/>
    </xf>
    <xf numFmtId="0" fontId="0" fillId="0" borderId="37" xfId="0" applyBorder="1" applyAlignment="1" applyProtection="1">
      <alignment horizontal="left" vertical="center" indent="1"/>
      <protection hidden="1"/>
    </xf>
    <xf numFmtId="0" fontId="40" fillId="2" borderId="0" xfId="0" applyFont="1" applyFill="1" applyBorder="1" applyAlignment="1" applyProtection="1">
      <alignment horizontal="center" vertical="top" wrapText="1"/>
      <protection hidden="1"/>
    </xf>
    <xf numFmtId="0" fontId="40" fillId="2" borderId="0" xfId="0" applyFont="1" applyFill="1" applyBorder="1" applyAlignment="1" applyProtection="1">
      <alignment vertical="top" wrapText="1"/>
      <protection hidden="1"/>
    </xf>
    <xf numFmtId="0" fontId="37" fillId="2" borderId="21" xfId="0" applyFont="1" applyFill="1" applyBorder="1" applyAlignment="1" applyProtection="1">
      <alignment horizontal="left" vertical="center" indent="2"/>
      <protection hidden="1"/>
    </xf>
    <xf numFmtId="0" fontId="37" fillId="0" borderId="22" xfId="0" applyFont="1" applyBorder="1" applyAlignment="1" applyProtection="1">
      <alignment horizontal="left" vertical="center" indent="2"/>
      <protection hidden="1"/>
    </xf>
    <xf numFmtId="0" fontId="0" fillId="0" borderId="22" xfId="0" applyBorder="1" applyAlignment="1">
      <alignment horizontal="left" vertical="center" indent="2"/>
    </xf>
    <xf numFmtId="0" fontId="0" fillId="0" borderId="23" xfId="0" applyBorder="1" applyAlignment="1">
      <alignment horizontal="left" vertical="center" indent="2"/>
    </xf>
    <xf numFmtId="0" fontId="37" fillId="0" borderId="23" xfId="0" applyFont="1" applyBorder="1" applyAlignment="1" applyProtection="1">
      <alignment horizontal="left" vertical="center" indent="2"/>
      <protection hidden="1"/>
    </xf>
    <xf numFmtId="0" fontId="37" fillId="2" borderId="21" xfId="0" applyFont="1" applyFill="1" applyBorder="1" applyAlignment="1" applyProtection="1">
      <alignment horizontal="center" vertical="center"/>
      <protection hidden="1"/>
    </xf>
    <xf numFmtId="0" fontId="37" fillId="0" borderId="22" xfId="0" applyFont="1" applyBorder="1" applyAlignment="1" applyProtection="1">
      <alignment horizontal="center" vertical="center"/>
      <protection hidden="1"/>
    </xf>
    <xf numFmtId="0" fontId="37" fillId="0" borderId="23" xfId="0" applyFont="1" applyBorder="1" applyAlignment="1" applyProtection="1">
      <alignment horizontal="center" vertical="center"/>
      <protection hidden="1"/>
    </xf>
    <xf numFmtId="9" fontId="37" fillId="2" borderId="21" xfId="0" applyNumberFormat="1" applyFont="1" applyFill="1" applyBorder="1" applyAlignment="1" applyProtection="1">
      <alignment horizontal="center" vertical="center"/>
      <protection hidden="1"/>
    </xf>
    <xf numFmtId="0" fontId="14" fillId="2" borderId="19" xfId="0" applyFont="1" applyFill="1" applyBorder="1" applyAlignment="1" applyProtection="1">
      <alignment horizontal="left" vertical="center" indent="1"/>
      <protection hidden="1"/>
    </xf>
    <xf numFmtId="0" fontId="14" fillId="0" borderId="3" xfId="0" applyFont="1" applyBorder="1" applyAlignment="1" applyProtection="1">
      <alignment horizontal="left" vertical="center" indent="1"/>
      <protection hidden="1"/>
    </xf>
    <xf numFmtId="0" fontId="14" fillId="0" borderId="4" xfId="0" applyFont="1" applyBorder="1" applyAlignment="1" applyProtection="1">
      <alignment horizontal="left" vertical="center" indent="1"/>
      <protection hidden="1"/>
    </xf>
    <xf numFmtId="0" fontId="14" fillId="0" borderId="7" xfId="0" applyFont="1" applyBorder="1" applyAlignment="1" applyProtection="1">
      <alignment horizontal="left" vertical="center" indent="1"/>
      <protection hidden="1"/>
    </xf>
    <xf numFmtId="0" fontId="14" fillId="0" borderId="8" xfId="0" applyFont="1" applyBorder="1" applyAlignment="1" applyProtection="1">
      <alignment horizontal="left" vertical="center" indent="1"/>
      <protection hidden="1"/>
    </xf>
    <xf numFmtId="0" fontId="14" fillId="0" borderId="9" xfId="0" applyFont="1" applyBorder="1" applyAlignment="1" applyProtection="1">
      <alignment horizontal="left" vertical="center" indent="1"/>
      <protection hidden="1"/>
    </xf>
    <xf numFmtId="0" fontId="36" fillId="2" borderId="0" xfId="0" applyFont="1" applyFill="1" applyBorder="1" applyAlignment="1" applyProtection="1">
      <alignment horizontal="center" vertical="center"/>
      <protection hidden="1"/>
    </xf>
    <xf numFmtId="0" fontId="36" fillId="0" borderId="0" xfId="0" applyFont="1" applyAlignment="1" applyProtection="1">
      <alignment horizontal="center" vertical="center"/>
      <protection hidden="1"/>
    </xf>
    <xf numFmtId="0" fontId="38" fillId="2" borderId="21" xfId="0" applyFont="1" applyFill="1" applyBorder="1" applyAlignment="1" applyProtection="1">
      <alignment horizontal="left" vertical="center" indent="1"/>
      <protection hidden="1"/>
    </xf>
    <xf numFmtId="0" fontId="38" fillId="0" borderId="22" xfId="0" applyFont="1" applyBorder="1" applyAlignment="1" applyProtection="1">
      <alignment horizontal="left" vertical="center" indent="1"/>
      <protection hidden="1"/>
    </xf>
    <xf numFmtId="0" fontId="38" fillId="0" borderId="23" xfId="0" applyFont="1" applyBorder="1" applyAlignment="1" applyProtection="1">
      <alignment horizontal="left" vertical="center" indent="1"/>
      <protection hidden="1"/>
    </xf>
    <xf numFmtId="165" fontId="39" fillId="2" borderId="21" xfId="0" applyNumberFormat="1" applyFont="1" applyFill="1" applyBorder="1" applyAlignment="1" applyProtection="1">
      <alignment horizontal="left" vertical="center" indent="1"/>
      <protection hidden="1"/>
    </xf>
    <xf numFmtId="165" fontId="39" fillId="0" borderId="22" xfId="0" applyNumberFormat="1" applyFont="1" applyBorder="1" applyAlignment="1" applyProtection="1">
      <alignment horizontal="left" vertical="center" indent="1"/>
      <protection hidden="1"/>
    </xf>
    <xf numFmtId="165" fontId="39" fillId="0" borderId="23" xfId="0" applyNumberFormat="1" applyFont="1" applyBorder="1" applyAlignment="1" applyProtection="1">
      <alignment horizontal="left" vertical="center" indent="1"/>
      <protection hidden="1"/>
    </xf>
    <xf numFmtId="0" fontId="37" fillId="2" borderId="21" xfId="0" applyFont="1" applyFill="1" applyBorder="1" applyAlignment="1" applyProtection="1">
      <alignment horizontal="left" vertical="center" indent="1" shrinkToFit="1"/>
      <protection hidden="1"/>
    </xf>
    <xf numFmtId="0" fontId="37" fillId="0" borderId="22" xfId="0" applyFont="1" applyBorder="1" applyAlignment="1" applyProtection="1">
      <alignment horizontal="left" vertical="center" indent="1" shrinkToFit="1"/>
      <protection hidden="1"/>
    </xf>
    <xf numFmtId="0" fontId="37" fillId="0" borderId="23" xfId="0" applyFont="1" applyBorder="1" applyAlignment="1" applyProtection="1">
      <alignment horizontal="left" vertical="center" indent="1" shrinkToFit="1"/>
      <protection hidden="1"/>
    </xf>
    <xf numFmtId="0" fontId="35" fillId="2" borderId="19" xfId="0" applyFont="1" applyFill="1" applyBorder="1" applyAlignment="1" applyProtection="1">
      <alignment horizontal="center" vertical="center"/>
      <protection hidden="1"/>
    </xf>
    <xf numFmtId="0" fontId="35" fillId="0" borderId="3" xfId="0" applyFont="1" applyBorder="1" applyAlignment="1" applyProtection="1">
      <alignment horizontal="center" vertical="center"/>
      <protection hidden="1"/>
    </xf>
    <xf numFmtId="0" fontId="35" fillId="0" borderId="4" xfId="0" applyFont="1" applyBorder="1" applyAlignment="1" applyProtection="1">
      <alignment horizontal="center" vertical="center"/>
      <protection hidden="1"/>
    </xf>
    <xf numFmtId="0" fontId="35" fillId="0" borderId="7" xfId="0" applyFont="1" applyBorder="1" applyAlignment="1" applyProtection="1">
      <alignment horizontal="center" vertical="center"/>
      <protection hidden="1"/>
    </xf>
    <xf numFmtId="0" fontId="35" fillId="0" borderId="8" xfId="0" applyFont="1" applyBorder="1" applyAlignment="1" applyProtection="1">
      <alignment horizontal="center" vertical="center"/>
      <protection hidden="1"/>
    </xf>
    <xf numFmtId="0" fontId="35" fillId="0" borderId="0" xfId="0" applyFont="1" applyBorder="1" applyAlignment="1" applyProtection="1">
      <alignment horizontal="center" vertical="center"/>
      <protection hidden="1"/>
    </xf>
    <xf numFmtId="0" fontId="35" fillId="0" borderId="9" xfId="0" applyFont="1" applyBorder="1" applyAlignment="1" applyProtection="1">
      <alignment horizontal="center" vertical="center"/>
      <protection hidden="1"/>
    </xf>
    <xf numFmtId="9" fontId="37" fillId="0" borderId="22" xfId="0" applyNumberFormat="1" applyFont="1" applyBorder="1" applyAlignment="1" applyProtection="1">
      <alignment horizontal="center" vertical="center"/>
      <protection hidden="1"/>
    </xf>
    <xf numFmtId="9" fontId="37" fillId="0" borderId="23" xfId="0" applyNumberFormat="1" applyFont="1" applyBorder="1" applyAlignment="1" applyProtection="1">
      <alignment horizontal="center" vertical="center"/>
      <protection hidden="1"/>
    </xf>
    <xf numFmtId="0" fontId="0" fillId="17" borderId="0" xfId="0" applyFill="1" applyBorder="1" applyAlignment="1">
      <alignment wrapText="1"/>
    </xf>
    <xf numFmtId="0" fontId="0" fillId="17" borderId="0" xfId="0" applyFont="1" applyFill="1" applyBorder="1" applyAlignment="1">
      <alignment vertical="center" wrapText="1"/>
    </xf>
    <xf numFmtId="0" fontId="47" fillId="17" borderId="0" xfId="0" applyFont="1" applyFill="1" applyBorder="1" applyAlignment="1">
      <alignment horizontal="left" vertical="center" wrapText="1"/>
    </xf>
    <xf numFmtId="0" fontId="0" fillId="3" borderId="0" xfId="0" applyFont="1" applyFill="1" applyBorder="1" applyAlignment="1">
      <alignment horizontal="center" vertical="center"/>
    </xf>
    <xf numFmtId="0" fontId="42" fillId="2" borderId="0" xfId="0" applyFont="1" applyFill="1" applyBorder="1" applyAlignment="1" applyProtection="1">
      <alignment horizontal="left" vertical="center"/>
      <protection hidden="1"/>
    </xf>
    <xf numFmtId="0" fontId="42" fillId="0" borderId="0" xfId="0" applyFont="1" applyAlignment="1" applyProtection="1">
      <alignment horizontal="left" vertical="center"/>
      <protection hidden="1"/>
    </xf>
    <xf numFmtId="0" fontId="3" fillId="2" borderId="0" xfId="0" applyFont="1" applyFill="1" applyBorder="1" applyAlignment="1" applyProtection="1">
      <alignment horizontal="left" vertical="top" wrapText="1" shrinkToFit="1"/>
      <protection hidden="1"/>
    </xf>
    <xf numFmtId="0" fontId="3" fillId="2" borderId="0" xfId="0" applyFont="1" applyFill="1" applyBorder="1" applyAlignment="1" applyProtection="1">
      <alignment horizontal="center" vertical="center"/>
      <protection hidden="1"/>
    </xf>
  </cellXfs>
  <cellStyles count="4">
    <cellStyle name="Hipervínculo" xfId="1" builtinId="8"/>
    <cellStyle name="Normal" xfId="0" builtinId="0"/>
    <cellStyle name="Normal 2" xfId="2"/>
    <cellStyle name="Normal 3" xfId="3"/>
  </cellStyles>
  <dxfs count="218"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ont>
        <color theme="0" tint="-4.9989318521683403E-2"/>
      </font>
      <fill>
        <patternFill>
          <bgColor theme="0" tint="-4.9989318521683403E-2"/>
        </patternFill>
      </fill>
      <border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0" tint="-4.9989318521683403E-2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FADCDC"/>
      <color rgb="FFFFCCCC"/>
      <color rgb="FF0000FF"/>
      <color rgb="FFCE928C"/>
      <color rgb="FFFF813B"/>
      <color rgb="FFD7D75B"/>
      <color rgb="FFF8F200"/>
      <color rgb="FFCCCC00"/>
      <color rgb="FFF0FFFF"/>
      <color rgb="FFF0F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12789</xdr:colOff>
      <xdr:row>27</xdr:row>
      <xdr:rowOff>9523</xdr:rowOff>
    </xdr:from>
    <xdr:to>
      <xdr:col>51</xdr:col>
      <xdr:colOff>1914</xdr:colOff>
      <xdr:row>27</xdr:row>
      <xdr:rowOff>47325</xdr:rowOff>
    </xdr:to>
    <xdr:pic>
      <xdr:nvPicPr>
        <xdr:cNvPr id="4" name="MOD1_IMA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64" y="3981448"/>
          <a:ext cx="9037875" cy="37802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42</xdr:row>
      <xdr:rowOff>9526</xdr:rowOff>
    </xdr:from>
    <xdr:to>
      <xdr:col>48</xdr:col>
      <xdr:colOff>171449</xdr:colOff>
      <xdr:row>44</xdr:row>
      <xdr:rowOff>9525</xdr:rowOff>
    </xdr:to>
    <xdr:sp macro="[0]!SiguienteMod1" textlink="">
      <xdr:nvSpPr>
        <xdr:cNvPr id="2" name="MOD1_SIG1"/>
        <xdr:cNvSpPr/>
      </xdr:nvSpPr>
      <xdr:spPr>
        <a:xfrm>
          <a:off x="7429500" y="5753101"/>
          <a:ext cx="1428749" cy="2952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1</xdr:col>
      <xdr:colOff>25659</xdr:colOff>
      <xdr:row>1</xdr:row>
      <xdr:rowOff>142875</xdr:rowOff>
    </xdr:from>
    <xdr:to>
      <xdr:col>50</xdr:col>
      <xdr:colOff>171725</xdr:colOff>
      <xdr:row>6</xdr:row>
      <xdr:rowOff>151045</xdr:rowOff>
    </xdr:to>
    <xdr:pic>
      <xdr:nvPicPr>
        <xdr:cNvPr id="7" name="MOD1_IMA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634" y="295275"/>
          <a:ext cx="9013841" cy="7701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 macro="[0]!PWD">
      <xdr:nvPicPr>
        <xdr:cNvPr id="2" name="MOD2_IMA1" hidden="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 editAs="oneCell">
    <xdr:from>
      <xdr:col>1</xdr:col>
      <xdr:colOff>12789</xdr:colOff>
      <xdr:row>20</xdr:row>
      <xdr:rowOff>38098</xdr:rowOff>
    </xdr:from>
    <xdr:to>
      <xdr:col>51</xdr:col>
      <xdr:colOff>1914</xdr:colOff>
      <xdr:row>20</xdr:row>
      <xdr:rowOff>75900</xdr:rowOff>
    </xdr:to>
    <xdr:pic>
      <xdr:nvPicPr>
        <xdr:cNvPr id="3" name="MOD2_IMA2" hidden="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64" y="3000373"/>
          <a:ext cx="9037875" cy="37802"/>
        </a:xfrm>
        <a:prstGeom prst="rect">
          <a:avLst/>
        </a:prstGeom>
      </xdr:spPr>
    </xdr:pic>
    <xdr:clientData/>
  </xdr:twoCellAnchor>
  <xdr:twoCellAnchor>
    <xdr:from>
      <xdr:col>41</xdr:col>
      <xdr:colOff>0</xdr:colOff>
      <xdr:row>43</xdr:row>
      <xdr:rowOff>95249</xdr:rowOff>
    </xdr:from>
    <xdr:to>
      <xdr:col>48</xdr:col>
      <xdr:colOff>161924</xdr:colOff>
      <xdr:row>45</xdr:row>
      <xdr:rowOff>76199</xdr:rowOff>
    </xdr:to>
    <xdr:sp macro="[0]!SiguienteMod2" textlink="">
      <xdr:nvSpPr>
        <xdr:cNvPr id="4" name="IMA2_SIG1"/>
        <xdr:cNvSpPr/>
      </xdr:nvSpPr>
      <xdr:spPr>
        <a:xfrm>
          <a:off x="7419975" y="6877049"/>
          <a:ext cx="1428749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1</xdr:col>
      <xdr:colOff>19050</xdr:colOff>
      <xdr:row>2</xdr:row>
      <xdr:rowOff>47625</xdr:rowOff>
    </xdr:from>
    <xdr:to>
      <xdr:col>50</xdr:col>
      <xdr:colOff>165116</xdr:colOff>
      <xdr:row>7</xdr:row>
      <xdr:rowOff>55795</xdr:rowOff>
    </xdr:to>
    <xdr:pic>
      <xdr:nvPicPr>
        <xdr:cNvPr id="5" name="MOD3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352425"/>
          <a:ext cx="9013841" cy="770170"/>
        </a:xfrm>
        <a:prstGeom prst="rect">
          <a:avLst/>
        </a:prstGeom>
      </xdr:spPr>
    </xdr:pic>
    <xdr:clientData/>
  </xdr:twoCellAnchor>
  <xdr:oneCellAnchor>
    <xdr:from>
      <xdr:col>1</xdr:col>
      <xdr:colOff>12789</xdr:colOff>
      <xdr:row>32</xdr:row>
      <xdr:rowOff>38098</xdr:rowOff>
    </xdr:from>
    <xdr:ext cx="9037875" cy="37802"/>
    <xdr:pic>
      <xdr:nvPicPr>
        <xdr:cNvPr id="6" name="MOD2_IMA2" hidden="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64" y="3152773"/>
          <a:ext cx="9037875" cy="37802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17063</xdr:colOff>
      <xdr:row>1</xdr:row>
      <xdr:rowOff>147329</xdr:rowOff>
    </xdr:from>
    <xdr:to>
      <xdr:col>50</xdr:col>
      <xdr:colOff>163129</xdr:colOff>
      <xdr:row>7</xdr:row>
      <xdr:rowOff>3099</xdr:rowOff>
    </xdr:to>
    <xdr:pic>
      <xdr:nvPicPr>
        <xdr:cNvPr id="2" name="MOD3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038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41</xdr:col>
      <xdr:colOff>173831</xdr:colOff>
      <xdr:row>48</xdr:row>
      <xdr:rowOff>35719</xdr:rowOff>
    </xdr:from>
    <xdr:to>
      <xdr:col>49</xdr:col>
      <xdr:colOff>155231</xdr:colOff>
      <xdr:row>50</xdr:row>
      <xdr:rowOff>18919</xdr:rowOff>
    </xdr:to>
    <xdr:sp macro="[0]!SigMod3" textlink="">
      <xdr:nvSpPr>
        <xdr:cNvPr id="3" name="MOD3_SIG1" hidden="1"/>
        <xdr:cNvSpPr/>
      </xdr:nvSpPr>
      <xdr:spPr>
        <a:xfrm>
          <a:off x="7593806" y="6207919"/>
          <a:ext cx="1429200" cy="288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ysClr val="windowText" lastClr="000000"/>
              </a:solidFill>
            </a:rPr>
            <a:t>   </a:t>
          </a:r>
          <a:r>
            <a:rPr lang="es-PE" sz="1400" b="1" i="1">
              <a:solidFill>
                <a:sysClr val="windowText" lastClr="000000"/>
              </a:solidFill>
            </a:rPr>
            <a:t>Siguiente...</a:t>
          </a:r>
        </a:p>
      </xdr:txBody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17</xdr:col>
      <xdr:colOff>9525</xdr:colOff>
      <xdr:row>26</xdr:row>
      <xdr:rowOff>9525</xdr:rowOff>
    </xdr:to>
    <xdr:pic macro="[0]!MOD4_1">
      <xdr:nvPicPr>
        <xdr:cNvPr id="4" name="MOD3_ICO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2038350"/>
          <a:ext cx="2543175" cy="160972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14</xdr:row>
      <xdr:rowOff>0</xdr:rowOff>
    </xdr:from>
    <xdr:to>
      <xdr:col>33</xdr:col>
      <xdr:colOff>9525</xdr:colOff>
      <xdr:row>26</xdr:row>
      <xdr:rowOff>9525</xdr:rowOff>
    </xdr:to>
    <xdr:pic macro="[0]!MOD4_2">
      <xdr:nvPicPr>
        <xdr:cNvPr id="5" name="MOD3_ICO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38525" y="2038350"/>
          <a:ext cx="2543175" cy="1609725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14</xdr:row>
      <xdr:rowOff>0</xdr:rowOff>
    </xdr:from>
    <xdr:to>
      <xdr:col>49</xdr:col>
      <xdr:colOff>9525</xdr:colOff>
      <xdr:row>26</xdr:row>
      <xdr:rowOff>9525</xdr:rowOff>
    </xdr:to>
    <xdr:pic macro="[0]!MOD4_3">
      <xdr:nvPicPr>
        <xdr:cNvPr id="6" name="MOD3_ICO3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5" y="2038350"/>
          <a:ext cx="2543175" cy="160972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17</xdr:col>
      <xdr:colOff>9525</xdr:colOff>
      <xdr:row>42</xdr:row>
      <xdr:rowOff>9525</xdr:rowOff>
    </xdr:to>
    <xdr:pic macro="[0]!MOD4_4">
      <xdr:nvPicPr>
        <xdr:cNvPr id="7" name="MOD3_ICO4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4171950"/>
          <a:ext cx="2543175" cy="160972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30</xdr:row>
      <xdr:rowOff>0</xdr:rowOff>
    </xdr:from>
    <xdr:to>
      <xdr:col>33</xdr:col>
      <xdr:colOff>9525</xdr:colOff>
      <xdr:row>42</xdr:row>
      <xdr:rowOff>9525</xdr:rowOff>
    </xdr:to>
    <xdr:pic macro="[0]!MOD4_5">
      <xdr:nvPicPr>
        <xdr:cNvPr id="8" name="MOD3_ICO5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38525" y="4171950"/>
          <a:ext cx="2543175" cy="1609725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30</xdr:row>
      <xdr:rowOff>0</xdr:rowOff>
    </xdr:from>
    <xdr:to>
      <xdr:col>49</xdr:col>
      <xdr:colOff>9525</xdr:colOff>
      <xdr:row>42</xdr:row>
      <xdr:rowOff>9525</xdr:rowOff>
    </xdr:to>
    <xdr:pic macro="[0]!MOD4_6">
      <xdr:nvPicPr>
        <xdr:cNvPr id="15" name="MOD3_ICO6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5" y="4171950"/>
          <a:ext cx="2543175" cy="1609725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44</xdr:row>
      <xdr:rowOff>123825</xdr:rowOff>
    </xdr:from>
    <xdr:to>
      <xdr:col>48</xdr:col>
      <xdr:colOff>171449</xdr:colOff>
      <xdr:row>47</xdr:row>
      <xdr:rowOff>0</xdr:rowOff>
    </xdr:to>
    <xdr:sp macro="[0]!EnviaMOD3" textlink="">
      <xdr:nvSpPr>
        <xdr:cNvPr id="11" name="IMA2_SIG1"/>
        <xdr:cNvSpPr/>
      </xdr:nvSpPr>
      <xdr:spPr>
        <a:xfrm>
          <a:off x="7429500" y="6162675"/>
          <a:ext cx="1428749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1</xdr:colOff>
      <xdr:row>57</xdr:row>
      <xdr:rowOff>0</xdr:rowOff>
    </xdr:from>
    <xdr:to>
      <xdr:col>43</xdr:col>
      <xdr:colOff>0</xdr:colOff>
      <xdr:row>58</xdr:row>
      <xdr:rowOff>133349</xdr:rowOff>
    </xdr:to>
    <xdr:sp macro="[0]!Matriz" textlink="">
      <xdr:nvSpPr>
        <xdr:cNvPr id="3" name="MOD4_TAB1"/>
        <xdr:cNvSpPr/>
      </xdr:nvSpPr>
      <xdr:spPr>
        <a:xfrm>
          <a:off x="6877051" y="8105775"/>
          <a:ext cx="904874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44</xdr:col>
      <xdr:colOff>0</xdr:colOff>
      <xdr:row>57</xdr:row>
      <xdr:rowOff>1</xdr:rowOff>
    </xdr:from>
    <xdr:to>
      <xdr:col>49</xdr:col>
      <xdr:colOff>0</xdr:colOff>
      <xdr:row>58</xdr:row>
      <xdr:rowOff>123825</xdr:rowOff>
    </xdr:to>
    <xdr:sp macro="[0]!Siguiente" textlink="">
      <xdr:nvSpPr>
        <xdr:cNvPr id="5" name="MOD4_SIG1"/>
        <xdr:cNvSpPr/>
      </xdr:nvSpPr>
      <xdr:spPr>
        <a:xfrm>
          <a:off x="7962900" y="8105776"/>
          <a:ext cx="904875" cy="2571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32</xdr:col>
      <xdr:colOff>0</xdr:colOff>
      <xdr:row>57</xdr:row>
      <xdr:rowOff>9524</xdr:rowOff>
    </xdr:from>
    <xdr:to>
      <xdr:col>36</xdr:col>
      <xdr:colOff>171450</xdr:colOff>
      <xdr:row>58</xdr:row>
      <xdr:rowOff>133349</xdr:rowOff>
    </xdr:to>
    <xdr:sp macro="[0]!Anterior" textlink="">
      <xdr:nvSpPr>
        <xdr:cNvPr id="6" name="MOD4_SIG1"/>
        <xdr:cNvSpPr/>
      </xdr:nvSpPr>
      <xdr:spPr>
        <a:xfrm>
          <a:off x="5791200" y="8115299"/>
          <a:ext cx="895350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9526</xdr:colOff>
      <xdr:row>42</xdr:row>
      <xdr:rowOff>0</xdr:rowOff>
    </xdr:from>
    <xdr:to>
      <xdr:col>42</xdr:col>
      <xdr:colOff>171450</xdr:colOff>
      <xdr:row>43</xdr:row>
      <xdr:rowOff>133349</xdr:rowOff>
    </xdr:to>
    <xdr:sp macro="[0]!Matriz" textlink="">
      <xdr:nvSpPr>
        <xdr:cNvPr id="3" name="MOD4_TAB1"/>
        <xdr:cNvSpPr/>
      </xdr:nvSpPr>
      <xdr:spPr>
        <a:xfrm>
          <a:off x="6886576" y="5943600"/>
          <a:ext cx="885824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32</xdr:col>
      <xdr:colOff>1</xdr:colOff>
      <xdr:row>42</xdr:row>
      <xdr:rowOff>0</xdr:rowOff>
    </xdr:from>
    <xdr:to>
      <xdr:col>37</xdr:col>
      <xdr:colOff>0</xdr:colOff>
      <xdr:row>44</xdr:row>
      <xdr:rowOff>0</xdr:rowOff>
    </xdr:to>
    <xdr:sp macro="[0]!Anterior" textlink="">
      <xdr:nvSpPr>
        <xdr:cNvPr id="4" name="MOD4_ANT1"/>
        <xdr:cNvSpPr/>
      </xdr:nvSpPr>
      <xdr:spPr>
        <a:xfrm>
          <a:off x="5791201" y="5943600"/>
          <a:ext cx="904874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44</xdr:col>
      <xdr:colOff>0</xdr:colOff>
      <xdr:row>42</xdr:row>
      <xdr:rowOff>9526</xdr:rowOff>
    </xdr:from>
    <xdr:to>
      <xdr:col>49</xdr:col>
      <xdr:colOff>0</xdr:colOff>
      <xdr:row>44</xdr:row>
      <xdr:rowOff>0</xdr:rowOff>
    </xdr:to>
    <xdr:sp macro="[0]!Siguiente" textlink="">
      <xdr:nvSpPr>
        <xdr:cNvPr id="5" name="MOD4_SIG1"/>
        <xdr:cNvSpPr/>
      </xdr:nvSpPr>
      <xdr:spPr>
        <a:xfrm>
          <a:off x="7962900" y="5953126"/>
          <a:ext cx="904875" cy="2571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1</xdr:colOff>
      <xdr:row>72</xdr:row>
      <xdr:rowOff>0</xdr:rowOff>
    </xdr:from>
    <xdr:to>
      <xdr:col>43</xdr:col>
      <xdr:colOff>0</xdr:colOff>
      <xdr:row>73</xdr:row>
      <xdr:rowOff>133349</xdr:rowOff>
    </xdr:to>
    <xdr:sp macro="[0]!Matriz" textlink="">
      <xdr:nvSpPr>
        <xdr:cNvPr id="3" name="MOD4_TAB1"/>
        <xdr:cNvSpPr/>
      </xdr:nvSpPr>
      <xdr:spPr>
        <a:xfrm>
          <a:off x="6877051" y="10267950"/>
          <a:ext cx="904874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32</xdr:col>
      <xdr:colOff>1</xdr:colOff>
      <xdr:row>72</xdr:row>
      <xdr:rowOff>0</xdr:rowOff>
    </xdr:from>
    <xdr:to>
      <xdr:col>37</xdr:col>
      <xdr:colOff>0</xdr:colOff>
      <xdr:row>74</xdr:row>
      <xdr:rowOff>0</xdr:rowOff>
    </xdr:to>
    <xdr:sp macro="[0]!Anterior" textlink="">
      <xdr:nvSpPr>
        <xdr:cNvPr id="4" name="MOD4_ANT1"/>
        <xdr:cNvSpPr/>
      </xdr:nvSpPr>
      <xdr:spPr>
        <a:xfrm>
          <a:off x="5791201" y="10267950"/>
          <a:ext cx="904874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44</xdr:col>
      <xdr:colOff>0</xdr:colOff>
      <xdr:row>72</xdr:row>
      <xdr:rowOff>0</xdr:rowOff>
    </xdr:from>
    <xdr:to>
      <xdr:col>49</xdr:col>
      <xdr:colOff>0</xdr:colOff>
      <xdr:row>73</xdr:row>
      <xdr:rowOff>133349</xdr:rowOff>
    </xdr:to>
    <xdr:sp macro="[0]!Siguiente" textlink="">
      <xdr:nvSpPr>
        <xdr:cNvPr id="5" name="MOD4_SIG1"/>
        <xdr:cNvSpPr/>
      </xdr:nvSpPr>
      <xdr:spPr>
        <a:xfrm>
          <a:off x="7962900" y="10267950"/>
          <a:ext cx="904875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102</xdr:row>
      <xdr:rowOff>1</xdr:rowOff>
    </xdr:from>
    <xdr:to>
      <xdr:col>43</xdr:col>
      <xdr:colOff>9524</xdr:colOff>
      <xdr:row>103</xdr:row>
      <xdr:rowOff>123825</xdr:rowOff>
    </xdr:to>
    <xdr:sp macro="[0]!Matriz" textlink="">
      <xdr:nvSpPr>
        <xdr:cNvPr id="3" name="MOD4_TAB1"/>
        <xdr:cNvSpPr/>
      </xdr:nvSpPr>
      <xdr:spPr>
        <a:xfrm>
          <a:off x="6877050" y="14973301"/>
          <a:ext cx="914399" cy="2571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32</xdr:col>
      <xdr:colOff>0</xdr:colOff>
      <xdr:row>102</xdr:row>
      <xdr:rowOff>0</xdr:rowOff>
    </xdr:from>
    <xdr:to>
      <xdr:col>36</xdr:col>
      <xdr:colOff>171449</xdr:colOff>
      <xdr:row>104</xdr:row>
      <xdr:rowOff>0</xdr:rowOff>
    </xdr:to>
    <xdr:sp macro="[0]!Anterior" textlink="">
      <xdr:nvSpPr>
        <xdr:cNvPr id="4" name="MOD4_ANT1"/>
        <xdr:cNvSpPr/>
      </xdr:nvSpPr>
      <xdr:spPr>
        <a:xfrm>
          <a:off x="5791200" y="14973300"/>
          <a:ext cx="895349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44</xdr:col>
      <xdr:colOff>0</xdr:colOff>
      <xdr:row>102</xdr:row>
      <xdr:rowOff>0</xdr:rowOff>
    </xdr:from>
    <xdr:to>
      <xdr:col>48</xdr:col>
      <xdr:colOff>171450</xdr:colOff>
      <xdr:row>103</xdr:row>
      <xdr:rowOff>133349</xdr:rowOff>
    </xdr:to>
    <xdr:sp macro="[0]!Siguiente" textlink="">
      <xdr:nvSpPr>
        <xdr:cNvPr id="5" name="MOD4_SIG1"/>
        <xdr:cNvSpPr/>
      </xdr:nvSpPr>
      <xdr:spPr>
        <a:xfrm>
          <a:off x="7962900" y="14973300"/>
          <a:ext cx="895350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42</xdr:row>
      <xdr:rowOff>1</xdr:rowOff>
    </xdr:from>
    <xdr:to>
      <xdr:col>42</xdr:col>
      <xdr:colOff>180974</xdr:colOff>
      <xdr:row>43</xdr:row>
      <xdr:rowOff>123825</xdr:rowOff>
    </xdr:to>
    <xdr:sp macro="[0]!Matriz" textlink="">
      <xdr:nvSpPr>
        <xdr:cNvPr id="3" name="MOD4_TAB1"/>
        <xdr:cNvSpPr/>
      </xdr:nvSpPr>
      <xdr:spPr>
        <a:xfrm>
          <a:off x="6886575" y="5943601"/>
          <a:ext cx="895349" cy="2571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32</xdr:col>
      <xdr:colOff>1</xdr:colOff>
      <xdr:row>42</xdr:row>
      <xdr:rowOff>9525</xdr:rowOff>
    </xdr:from>
    <xdr:to>
      <xdr:col>37</xdr:col>
      <xdr:colOff>0</xdr:colOff>
      <xdr:row>44</xdr:row>
      <xdr:rowOff>9525</xdr:rowOff>
    </xdr:to>
    <xdr:sp macro="[0]!Anterior" textlink="">
      <xdr:nvSpPr>
        <xdr:cNvPr id="4" name="MOD4_ANT1"/>
        <xdr:cNvSpPr/>
      </xdr:nvSpPr>
      <xdr:spPr>
        <a:xfrm>
          <a:off x="5791201" y="5953125"/>
          <a:ext cx="904874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44</xdr:col>
      <xdr:colOff>0</xdr:colOff>
      <xdr:row>42</xdr:row>
      <xdr:rowOff>0</xdr:rowOff>
    </xdr:from>
    <xdr:to>
      <xdr:col>49</xdr:col>
      <xdr:colOff>0</xdr:colOff>
      <xdr:row>43</xdr:row>
      <xdr:rowOff>133349</xdr:rowOff>
    </xdr:to>
    <xdr:sp macro="[0]!Siguiente" textlink="">
      <xdr:nvSpPr>
        <xdr:cNvPr id="5" name="MOD4_SIG1"/>
        <xdr:cNvSpPr/>
      </xdr:nvSpPr>
      <xdr:spPr>
        <a:xfrm>
          <a:off x="7962900" y="5943600"/>
          <a:ext cx="904875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 macro="[0]!PWD">
      <xdr:nvPicPr>
        <xdr:cNvPr id="2" name="MOD5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44</xdr:row>
      <xdr:rowOff>9526</xdr:rowOff>
    </xdr:from>
    <xdr:to>
      <xdr:col>48</xdr:col>
      <xdr:colOff>9524</xdr:colOff>
      <xdr:row>45</xdr:row>
      <xdr:rowOff>123826</xdr:rowOff>
    </xdr:to>
    <xdr:sp macro="[0]!MatrizPEIA" textlink="">
      <xdr:nvSpPr>
        <xdr:cNvPr id="10" name="MOD5_TAB1"/>
        <xdr:cNvSpPr/>
      </xdr:nvSpPr>
      <xdr:spPr>
        <a:xfrm>
          <a:off x="7781925" y="5800726"/>
          <a:ext cx="914399" cy="2476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42</xdr:col>
      <xdr:colOff>7144</xdr:colOff>
      <xdr:row>21</xdr:row>
      <xdr:rowOff>121444</xdr:rowOff>
    </xdr:from>
    <xdr:to>
      <xdr:col>47</xdr:col>
      <xdr:colOff>173831</xdr:colOff>
      <xdr:row>24</xdr:row>
      <xdr:rowOff>109538</xdr:rowOff>
    </xdr:to>
    <xdr:sp macro="[0]!MOD4_6_2" textlink="">
      <xdr:nvSpPr>
        <xdr:cNvPr id="3" name="MOD5_PRO1"/>
        <xdr:cNvSpPr/>
      </xdr:nvSpPr>
      <xdr:spPr>
        <a:xfrm>
          <a:off x="7608094" y="3093244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41</xdr:col>
      <xdr:colOff>178590</xdr:colOff>
      <xdr:row>19</xdr:row>
      <xdr:rowOff>4768</xdr:rowOff>
    </xdr:from>
    <xdr:to>
      <xdr:col>47</xdr:col>
      <xdr:colOff>164302</xdr:colOff>
      <xdr:row>21</xdr:row>
      <xdr:rowOff>116687</xdr:rowOff>
    </xdr:to>
    <xdr:sp macro="[0]!MOD4_6_1" textlink="">
      <xdr:nvSpPr>
        <xdr:cNvPr id="5" name="MOD5_PRO2"/>
        <xdr:cNvSpPr/>
      </xdr:nvSpPr>
      <xdr:spPr>
        <a:xfrm>
          <a:off x="7598565" y="2728918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25</xdr:row>
      <xdr:rowOff>7146</xdr:rowOff>
    </xdr:from>
    <xdr:to>
      <xdr:col>47</xdr:col>
      <xdr:colOff>173827</xdr:colOff>
      <xdr:row>27</xdr:row>
      <xdr:rowOff>119065</xdr:rowOff>
    </xdr:to>
    <xdr:sp macro="[0]!MOD4_6_3" textlink="">
      <xdr:nvSpPr>
        <xdr:cNvPr id="6" name="MOD5_PRO3"/>
        <xdr:cNvSpPr/>
      </xdr:nvSpPr>
      <xdr:spPr>
        <a:xfrm>
          <a:off x="7608090" y="3474246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7136</xdr:colOff>
      <xdr:row>28</xdr:row>
      <xdr:rowOff>4770</xdr:rowOff>
    </xdr:from>
    <xdr:to>
      <xdr:col>47</xdr:col>
      <xdr:colOff>173823</xdr:colOff>
      <xdr:row>30</xdr:row>
      <xdr:rowOff>116689</xdr:rowOff>
    </xdr:to>
    <xdr:sp macro="[0]!MOD5_10" textlink="">
      <xdr:nvSpPr>
        <xdr:cNvPr id="7" name="MOD5_PRO4"/>
        <xdr:cNvSpPr/>
      </xdr:nvSpPr>
      <xdr:spPr>
        <a:xfrm>
          <a:off x="7608086" y="3843345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7144</xdr:colOff>
      <xdr:row>31</xdr:row>
      <xdr:rowOff>7227</xdr:rowOff>
    </xdr:from>
    <xdr:to>
      <xdr:col>47</xdr:col>
      <xdr:colOff>173831</xdr:colOff>
      <xdr:row>33</xdr:row>
      <xdr:rowOff>119146</xdr:rowOff>
    </xdr:to>
    <xdr:sp macro="[0]!MOD5_11" textlink="">
      <xdr:nvSpPr>
        <xdr:cNvPr id="8" name="MOD5_PRO5"/>
        <xdr:cNvSpPr/>
      </xdr:nvSpPr>
      <xdr:spPr>
        <a:xfrm>
          <a:off x="7597836" y="4222650"/>
          <a:ext cx="1070341" cy="36103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34</xdr:row>
      <xdr:rowOff>4851</xdr:rowOff>
    </xdr:from>
    <xdr:to>
      <xdr:col>47</xdr:col>
      <xdr:colOff>173827</xdr:colOff>
      <xdr:row>36</xdr:row>
      <xdr:rowOff>116770</xdr:rowOff>
    </xdr:to>
    <xdr:sp macro="[0]!MOD5_12" textlink="">
      <xdr:nvSpPr>
        <xdr:cNvPr id="9" name="MOD5_PRO6"/>
        <xdr:cNvSpPr/>
      </xdr:nvSpPr>
      <xdr:spPr>
        <a:xfrm>
          <a:off x="7597832" y="4593947"/>
          <a:ext cx="1070341" cy="3610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37</xdr:row>
      <xdr:rowOff>7229</xdr:rowOff>
    </xdr:from>
    <xdr:to>
      <xdr:col>47</xdr:col>
      <xdr:colOff>173827</xdr:colOff>
      <xdr:row>39</xdr:row>
      <xdr:rowOff>119148</xdr:rowOff>
    </xdr:to>
    <xdr:sp macro="[0]!MOD5_13" textlink="">
      <xdr:nvSpPr>
        <xdr:cNvPr id="11" name="MOD5_PRO7"/>
        <xdr:cNvSpPr/>
      </xdr:nvSpPr>
      <xdr:spPr>
        <a:xfrm>
          <a:off x="7597832" y="4969998"/>
          <a:ext cx="1070341" cy="3610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16661</xdr:colOff>
      <xdr:row>40</xdr:row>
      <xdr:rowOff>14378</xdr:rowOff>
    </xdr:from>
    <xdr:to>
      <xdr:col>48</xdr:col>
      <xdr:colOff>2373</xdr:colOff>
      <xdr:row>43</xdr:row>
      <xdr:rowOff>2472</xdr:rowOff>
    </xdr:to>
    <xdr:sp macro="[0]!MOD5_14" textlink="">
      <xdr:nvSpPr>
        <xdr:cNvPr id="12" name="MOD5_PRO8"/>
        <xdr:cNvSpPr/>
      </xdr:nvSpPr>
      <xdr:spPr>
        <a:xfrm>
          <a:off x="7617611" y="5338853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28</xdr:row>
      <xdr:rowOff>7146</xdr:rowOff>
    </xdr:from>
    <xdr:to>
      <xdr:col>47</xdr:col>
      <xdr:colOff>173827</xdr:colOff>
      <xdr:row>30</xdr:row>
      <xdr:rowOff>119065</xdr:rowOff>
    </xdr:to>
    <xdr:sp macro="[0]!MOD5_9" textlink="">
      <xdr:nvSpPr>
        <xdr:cNvPr id="13" name="MOD5_PRO3"/>
        <xdr:cNvSpPr/>
      </xdr:nvSpPr>
      <xdr:spPr>
        <a:xfrm>
          <a:off x="7608090" y="3474246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7144</xdr:colOff>
      <xdr:row>34</xdr:row>
      <xdr:rowOff>7227</xdr:rowOff>
    </xdr:from>
    <xdr:to>
      <xdr:col>47</xdr:col>
      <xdr:colOff>173831</xdr:colOff>
      <xdr:row>36</xdr:row>
      <xdr:rowOff>119146</xdr:rowOff>
    </xdr:to>
    <xdr:sp macro="[0]!MOD5_11" textlink="">
      <xdr:nvSpPr>
        <xdr:cNvPr id="14" name="MOD5_PRO5"/>
        <xdr:cNvSpPr/>
      </xdr:nvSpPr>
      <xdr:spPr>
        <a:xfrm>
          <a:off x="7608094" y="4217277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28</xdr:row>
      <xdr:rowOff>7146</xdr:rowOff>
    </xdr:from>
    <xdr:to>
      <xdr:col>47</xdr:col>
      <xdr:colOff>173827</xdr:colOff>
      <xdr:row>30</xdr:row>
      <xdr:rowOff>119065</xdr:rowOff>
    </xdr:to>
    <xdr:sp macro="[0]!MOD4_6_4" textlink="">
      <xdr:nvSpPr>
        <xdr:cNvPr id="15" name="MOD5_PRO3"/>
        <xdr:cNvSpPr/>
      </xdr:nvSpPr>
      <xdr:spPr>
        <a:xfrm>
          <a:off x="7608090" y="3474246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7136</xdr:colOff>
      <xdr:row>31</xdr:row>
      <xdr:rowOff>4770</xdr:rowOff>
    </xdr:from>
    <xdr:to>
      <xdr:col>47</xdr:col>
      <xdr:colOff>173823</xdr:colOff>
      <xdr:row>33</xdr:row>
      <xdr:rowOff>116689</xdr:rowOff>
    </xdr:to>
    <xdr:sp macro="[0]!MOD5_10" textlink="">
      <xdr:nvSpPr>
        <xdr:cNvPr id="16" name="MOD5_PRO4"/>
        <xdr:cNvSpPr/>
      </xdr:nvSpPr>
      <xdr:spPr>
        <a:xfrm>
          <a:off x="7608086" y="3843345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31</xdr:row>
      <xdr:rowOff>7146</xdr:rowOff>
    </xdr:from>
    <xdr:to>
      <xdr:col>47</xdr:col>
      <xdr:colOff>173827</xdr:colOff>
      <xdr:row>33</xdr:row>
      <xdr:rowOff>119065</xdr:rowOff>
    </xdr:to>
    <xdr:sp macro="[0]!MOD5_9" textlink="">
      <xdr:nvSpPr>
        <xdr:cNvPr id="17" name="MOD5_PRO3"/>
        <xdr:cNvSpPr/>
      </xdr:nvSpPr>
      <xdr:spPr>
        <a:xfrm>
          <a:off x="7608090" y="3845721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31</xdr:row>
      <xdr:rowOff>7146</xdr:rowOff>
    </xdr:from>
    <xdr:to>
      <xdr:col>47</xdr:col>
      <xdr:colOff>173827</xdr:colOff>
      <xdr:row>33</xdr:row>
      <xdr:rowOff>119065</xdr:rowOff>
    </xdr:to>
    <xdr:sp macro="[0]!MOD4_6_5" textlink="">
      <xdr:nvSpPr>
        <xdr:cNvPr id="18" name="MOD5_PRO3"/>
        <xdr:cNvSpPr/>
      </xdr:nvSpPr>
      <xdr:spPr>
        <a:xfrm>
          <a:off x="7608090" y="3845721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7144</xdr:colOff>
      <xdr:row>34</xdr:row>
      <xdr:rowOff>7227</xdr:rowOff>
    </xdr:from>
    <xdr:to>
      <xdr:col>47</xdr:col>
      <xdr:colOff>173831</xdr:colOff>
      <xdr:row>36</xdr:row>
      <xdr:rowOff>119146</xdr:rowOff>
    </xdr:to>
    <xdr:sp macro="[0]!MOD5_11" textlink="">
      <xdr:nvSpPr>
        <xdr:cNvPr id="19" name="MOD5_PRO5"/>
        <xdr:cNvSpPr/>
      </xdr:nvSpPr>
      <xdr:spPr>
        <a:xfrm>
          <a:off x="7608094" y="4217277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7136</xdr:colOff>
      <xdr:row>34</xdr:row>
      <xdr:rowOff>4770</xdr:rowOff>
    </xdr:from>
    <xdr:to>
      <xdr:col>47</xdr:col>
      <xdr:colOff>173823</xdr:colOff>
      <xdr:row>36</xdr:row>
      <xdr:rowOff>116689</xdr:rowOff>
    </xdr:to>
    <xdr:sp macro="[0]!MOD5_10" textlink="">
      <xdr:nvSpPr>
        <xdr:cNvPr id="20" name="MOD5_PRO4"/>
        <xdr:cNvSpPr/>
      </xdr:nvSpPr>
      <xdr:spPr>
        <a:xfrm>
          <a:off x="7608086" y="4214820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34</xdr:row>
      <xdr:rowOff>7146</xdr:rowOff>
    </xdr:from>
    <xdr:to>
      <xdr:col>47</xdr:col>
      <xdr:colOff>173827</xdr:colOff>
      <xdr:row>36</xdr:row>
      <xdr:rowOff>119065</xdr:rowOff>
    </xdr:to>
    <xdr:sp macro="[0]!MOD5_9" textlink="">
      <xdr:nvSpPr>
        <xdr:cNvPr id="21" name="MOD5_PRO3"/>
        <xdr:cNvSpPr/>
      </xdr:nvSpPr>
      <xdr:spPr>
        <a:xfrm>
          <a:off x="7608090" y="4217196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34</xdr:row>
      <xdr:rowOff>7146</xdr:rowOff>
    </xdr:from>
    <xdr:to>
      <xdr:col>47</xdr:col>
      <xdr:colOff>173827</xdr:colOff>
      <xdr:row>36</xdr:row>
      <xdr:rowOff>119065</xdr:rowOff>
    </xdr:to>
    <xdr:sp macro="[0]!MOD4_6_6" textlink="">
      <xdr:nvSpPr>
        <xdr:cNvPr id="22" name="MOD5_PRO3"/>
        <xdr:cNvSpPr/>
      </xdr:nvSpPr>
      <xdr:spPr>
        <a:xfrm>
          <a:off x="7608090" y="4217196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37</xdr:row>
      <xdr:rowOff>4851</xdr:rowOff>
    </xdr:from>
    <xdr:to>
      <xdr:col>47</xdr:col>
      <xdr:colOff>173827</xdr:colOff>
      <xdr:row>39</xdr:row>
      <xdr:rowOff>116770</xdr:rowOff>
    </xdr:to>
    <xdr:sp macro="[0]!MOD5_12" textlink="">
      <xdr:nvSpPr>
        <xdr:cNvPr id="23" name="MOD5_PRO6"/>
        <xdr:cNvSpPr/>
      </xdr:nvSpPr>
      <xdr:spPr>
        <a:xfrm>
          <a:off x="7608090" y="4586376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7144</xdr:colOff>
      <xdr:row>37</xdr:row>
      <xdr:rowOff>7227</xdr:rowOff>
    </xdr:from>
    <xdr:to>
      <xdr:col>47</xdr:col>
      <xdr:colOff>173831</xdr:colOff>
      <xdr:row>39</xdr:row>
      <xdr:rowOff>119146</xdr:rowOff>
    </xdr:to>
    <xdr:sp macro="[0]!MOD5_11" textlink="">
      <xdr:nvSpPr>
        <xdr:cNvPr id="24" name="MOD5_PRO5"/>
        <xdr:cNvSpPr/>
      </xdr:nvSpPr>
      <xdr:spPr>
        <a:xfrm>
          <a:off x="7608094" y="4588752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7144</xdr:colOff>
      <xdr:row>37</xdr:row>
      <xdr:rowOff>7227</xdr:rowOff>
    </xdr:from>
    <xdr:to>
      <xdr:col>47</xdr:col>
      <xdr:colOff>173831</xdr:colOff>
      <xdr:row>39</xdr:row>
      <xdr:rowOff>119146</xdr:rowOff>
    </xdr:to>
    <xdr:sp macro="[0]!MOD5_11" textlink="">
      <xdr:nvSpPr>
        <xdr:cNvPr id="25" name="MOD5_PRO5"/>
        <xdr:cNvSpPr/>
      </xdr:nvSpPr>
      <xdr:spPr>
        <a:xfrm>
          <a:off x="7608094" y="4588752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7136</xdr:colOff>
      <xdr:row>37</xdr:row>
      <xdr:rowOff>4770</xdr:rowOff>
    </xdr:from>
    <xdr:to>
      <xdr:col>47</xdr:col>
      <xdr:colOff>173823</xdr:colOff>
      <xdr:row>39</xdr:row>
      <xdr:rowOff>116689</xdr:rowOff>
    </xdr:to>
    <xdr:sp macro="[0]!MOD5_10" textlink="">
      <xdr:nvSpPr>
        <xdr:cNvPr id="26" name="MOD5_PRO4"/>
        <xdr:cNvSpPr/>
      </xdr:nvSpPr>
      <xdr:spPr>
        <a:xfrm>
          <a:off x="7608086" y="4586295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37</xdr:row>
      <xdr:rowOff>7146</xdr:rowOff>
    </xdr:from>
    <xdr:to>
      <xdr:col>47</xdr:col>
      <xdr:colOff>173827</xdr:colOff>
      <xdr:row>39</xdr:row>
      <xdr:rowOff>119065</xdr:rowOff>
    </xdr:to>
    <xdr:sp macro="[0]!MOD5_9" textlink="">
      <xdr:nvSpPr>
        <xdr:cNvPr id="27" name="MOD5_PRO3"/>
        <xdr:cNvSpPr/>
      </xdr:nvSpPr>
      <xdr:spPr>
        <a:xfrm>
          <a:off x="7608090" y="4588671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37</xdr:row>
      <xdr:rowOff>7146</xdr:rowOff>
    </xdr:from>
    <xdr:to>
      <xdr:col>47</xdr:col>
      <xdr:colOff>173827</xdr:colOff>
      <xdr:row>39</xdr:row>
      <xdr:rowOff>119065</xdr:rowOff>
    </xdr:to>
    <xdr:sp macro="[0]!MOD4_6_7" textlink="">
      <xdr:nvSpPr>
        <xdr:cNvPr id="28" name="MOD5_PRO3"/>
        <xdr:cNvSpPr/>
      </xdr:nvSpPr>
      <xdr:spPr>
        <a:xfrm>
          <a:off x="7608090" y="4588671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40</xdr:row>
      <xdr:rowOff>7229</xdr:rowOff>
    </xdr:from>
    <xdr:to>
      <xdr:col>47</xdr:col>
      <xdr:colOff>173827</xdr:colOff>
      <xdr:row>42</xdr:row>
      <xdr:rowOff>119148</xdr:rowOff>
    </xdr:to>
    <xdr:sp macro="[0]!MOD5_13" textlink="">
      <xdr:nvSpPr>
        <xdr:cNvPr id="29" name="MOD5_PRO7"/>
        <xdr:cNvSpPr/>
      </xdr:nvSpPr>
      <xdr:spPr>
        <a:xfrm>
          <a:off x="7608090" y="4960229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40</xdr:row>
      <xdr:rowOff>4851</xdr:rowOff>
    </xdr:from>
    <xdr:to>
      <xdr:col>47</xdr:col>
      <xdr:colOff>173827</xdr:colOff>
      <xdr:row>42</xdr:row>
      <xdr:rowOff>116770</xdr:rowOff>
    </xdr:to>
    <xdr:sp macro="[0]!MOD5_12" textlink="">
      <xdr:nvSpPr>
        <xdr:cNvPr id="30" name="MOD5_PRO6"/>
        <xdr:cNvSpPr/>
      </xdr:nvSpPr>
      <xdr:spPr>
        <a:xfrm>
          <a:off x="7608090" y="4957851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7144</xdr:colOff>
      <xdr:row>40</xdr:row>
      <xdr:rowOff>7227</xdr:rowOff>
    </xdr:from>
    <xdr:to>
      <xdr:col>47</xdr:col>
      <xdr:colOff>173831</xdr:colOff>
      <xdr:row>42</xdr:row>
      <xdr:rowOff>119146</xdr:rowOff>
    </xdr:to>
    <xdr:sp macro="[0]!MOD5_11" textlink="">
      <xdr:nvSpPr>
        <xdr:cNvPr id="31" name="MOD5_PRO5"/>
        <xdr:cNvSpPr/>
      </xdr:nvSpPr>
      <xdr:spPr>
        <a:xfrm>
          <a:off x="7608094" y="4960227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7144</xdr:colOff>
      <xdr:row>40</xdr:row>
      <xdr:rowOff>7227</xdr:rowOff>
    </xdr:from>
    <xdr:to>
      <xdr:col>47</xdr:col>
      <xdr:colOff>173831</xdr:colOff>
      <xdr:row>42</xdr:row>
      <xdr:rowOff>119146</xdr:rowOff>
    </xdr:to>
    <xdr:sp macro="[0]!MOD5_11" textlink="">
      <xdr:nvSpPr>
        <xdr:cNvPr id="32" name="MOD5_PRO5"/>
        <xdr:cNvSpPr/>
      </xdr:nvSpPr>
      <xdr:spPr>
        <a:xfrm>
          <a:off x="7608094" y="4960227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7136</xdr:colOff>
      <xdr:row>40</xdr:row>
      <xdr:rowOff>4770</xdr:rowOff>
    </xdr:from>
    <xdr:to>
      <xdr:col>47</xdr:col>
      <xdr:colOff>173823</xdr:colOff>
      <xdr:row>42</xdr:row>
      <xdr:rowOff>116689</xdr:rowOff>
    </xdr:to>
    <xdr:sp macro="[0]!MOD5_10" textlink="">
      <xdr:nvSpPr>
        <xdr:cNvPr id="33" name="MOD5_PRO4"/>
        <xdr:cNvSpPr/>
      </xdr:nvSpPr>
      <xdr:spPr>
        <a:xfrm>
          <a:off x="7608086" y="4957770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40</xdr:row>
      <xdr:rowOff>7146</xdr:rowOff>
    </xdr:from>
    <xdr:to>
      <xdr:col>47</xdr:col>
      <xdr:colOff>173827</xdr:colOff>
      <xdr:row>42</xdr:row>
      <xdr:rowOff>119065</xdr:rowOff>
    </xdr:to>
    <xdr:sp macro="[0]!MOD5_9" textlink="">
      <xdr:nvSpPr>
        <xdr:cNvPr id="34" name="MOD5_PRO3"/>
        <xdr:cNvSpPr/>
      </xdr:nvSpPr>
      <xdr:spPr>
        <a:xfrm>
          <a:off x="7608090" y="4960146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40</xdr:row>
      <xdr:rowOff>7146</xdr:rowOff>
    </xdr:from>
    <xdr:to>
      <xdr:col>47</xdr:col>
      <xdr:colOff>173827</xdr:colOff>
      <xdr:row>42</xdr:row>
      <xdr:rowOff>119065</xdr:rowOff>
    </xdr:to>
    <xdr:sp macro="[0]!MOD4_6_8" textlink="">
      <xdr:nvSpPr>
        <xdr:cNvPr id="35" name="MOD5_PRO3"/>
        <xdr:cNvSpPr/>
      </xdr:nvSpPr>
      <xdr:spPr>
        <a:xfrm>
          <a:off x="7608090" y="4960146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19444</xdr:colOff>
      <xdr:row>1</xdr:row>
      <xdr:rowOff>147329</xdr:rowOff>
    </xdr:from>
    <xdr:to>
      <xdr:col>50</xdr:col>
      <xdr:colOff>165510</xdr:colOff>
      <xdr:row>7</xdr:row>
      <xdr:rowOff>3099</xdr:rowOff>
    </xdr:to>
    <xdr:pic macro="[0]!PWD">
      <xdr:nvPicPr>
        <xdr:cNvPr id="2" name="MOD6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419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22</xdr:col>
      <xdr:colOff>57149</xdr:colOff>
      <xdr:row>4</xdr:row>
      <xdr:rowOff>0</xdr:rowOff>
    </xdr:from>
    <xdr:to>
      <xdr:col>32</xdr:col>
      <xdr:colOff>85724</xdr:colOff>
      <xdr:row>5</xdr:row>
      <xdr:rowOff>135600</xdr:rowOff>
    </xdr:to>
    <xdr:sp macro="[0]!SigMod6" textlink="">
      <xdr:nvSpPr>
        <xdr:cNvPr id="3" name="MOD6_TRA1" hidden="1"/>
        <xdr:cNvSpPr/>
      </xdr:nvSpPr>
      <xdr:spPr>
        <a:xfrm>
          <a:off x="4038599" y="609600"/>
          <a:ext cx="1838325" cy="288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 b="1">
              <a:solidFill>
                <a:sysClr val="windowText" lastClr="000000"/>
              </a:solidFill>
            </a:rPr>
            <a:t>Transferencia de Datos!</a:t>
          </a:r>
          <a:endParaRPr lang="es-PE" sz="1200" b="1" i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44993</xdr:colOff>
      <xdr:row>1</xdr:row>
      <xdr:rowOff>145211</xdr:rowOff>
    </xdr:from>
    <xdr:to>
      <xdr:col>35</xdr:col>
      <xdr:colOff>138062</xdr:colOff>
      <xdr:row>5</xdr:row>
      <xdr:rowOff>69307</xdr:rowOff>
    </xdr:to>
    <xdr:pic>
      <xdr:nvPicPr>
        <xdr:cNvPr id="2" name="MOD8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968" y="297611"/>
          <a:ext cx="6246219" cy="53369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9526</xdr:colOff>
      <xdr:row>42</xdr:row>
      <xdr:rowOff>0</xdr:rowOff>
    </xdr:from>
    <xdr:to>
      <xdr:col>42</xdr:col>
      <xdr:colOff>171450</xdr:colOff>
      <xdr:row>43</xdr:row>
      <xdr:rowOff>133349</xdr:rowOff>
    </xdr:to>
    <xdr:sp macro="[0]!Matriz" textlink="">
      <xdr:nvSpPr>
        <xdr:cNvPr id="3" name="MOD4_TAB1"/>
        <xdr:cNvSpPr/>
      </xdr:nvSpPr>
      <xdr:spPr>
        <a:xfrm>
          <a:off x="6886576" y="5943600"/>
          <a:ext cx="885824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9526</xdr:colOff>
      <xdr:row>42</xdr:row>
      <xdr:rowOff>0</xdr:rowOff>
    </xdr:from>
    <xdr:to>
      <xdr:col>42</xdr:col>
      <xdr:colOff>171450</xdr:colOff>
      <xdr:row>43</xdr:row>
      <xdr:rowOff>133349</xdr:rowOff>
    </xdr:to>
    <xdr:sp macro="[0]!Matriz" textlink="">
      <xdr:nvSpPr>
        <xdr:cNvPr id="3" name="MOD4_TAB1"/>
        <xdr:cNvSpPr/>
      </xdr:nvSpPr>
      <xdr:spPr>
        <a:xfrm>
          <a:off x="6886576" y="5943600"/>
          <a:ext cx="885824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9526</xdr:colOff>
      <xdr:row>42</xdr:row>
      <xdr:rowOff>0</xdr:rowOff>
    </xdr:from>
    <xdr:to>
      <xdr:col>42</xdr:col>
      <xdr:colOff>171450</xdr:colOff>
      <xdr:row>43</xdr:row>
      <xdr:rowOff>133349</xdr:rowOff>
    </xdr:to>
    <xdr:sp macro="[0]!Matriz" textlink="">
      <xdr:nvSpPr>
        <xdr:cNvPr id="3" name="MOD4_TAB1"/>
        <xdr:cNvSpPr/>
      </xdr:nvSpPr>
      <xdr:spPr>
        <a:xfrm>
          <a:off x="6886576" y="5943600"/>
          <a:ext cx="885824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9526</xdr:colOff>
      <xdr:row>42</xdr:row>
      <xdr:rowOff>0</xdr:rowOff>
    </xdr:from>
    <xdr:to>
      <xdr:col>42</xdr:col>
      <xdr:colOff>171450</xdr:colOff>
      <xdr:row>43</xdr:row>
      <xdr:rowOff>133349</xdr:rowOff>
    </xdr:to>
    <xdr:sp macro="[0]!Matriz" textlink="">
      <xdr:nvSpPr>
        <xdr:cNvPr id="3" name="MOD4_TAB1"/>
        <xdr:cNvSpPr/>
      </xdr:nvSpPr>
      <xdr:spPr>
        <a:xfrm>
          <a:off x="6886576" y="5943600"/>
          <a:ext cx="885824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9526</xdr:colOff>
      <xdr:row>42</xdr:row>
      <xdr:rowOff>0</xdr:rowOff>
    </xdr:from>
    <xdr:to>
      <xdr:col>42</xdr:col>
      <xdr:colOff>171450</xdr:colOff>
      <xdr:row>43</xdr:row>
      <xdr:rowOff>133349</xdr:rowOff>
    </xdr:to>
    <xdr:sp macro="[0]!Matriz" textlink="">
      <xdr:nvSpPr>
        <xdr:cNvPr id="3" name="MOD4_TAB1"/>
        <xdr:cNvSpPr/>
      </xdr:nvSpPr>
      <xdr:spPr>
        <a:xfrm>
          <a:off x="6886576" y="5943600"/>
          <a:ext cx="885824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9526</xdr:colOff>
      <xdr:row>42</xdr:row>
      <xdr:rowOff>0</xdr:rowOff>
    </xdr:from>
    <xdr:to>
      <xdr:col>42</xdr:col>
      <xdr:colOff>171450</xdr:colOff>
      <xdr:row>43</xdr:row>
      <xdr:rowOff>133349</xdr:rowOff>
    </xdr:to>
    <xdr:sp macro="[0]!Matriz" textlink="">
      <xdr:nvSpPr>
        <xdr:cNvPr id="3" name="MOD4_TAB1"/>
        <xdr:cNvSpPr/>
      </xdr:nvSpPr>
      <xdr:spPr>
        <a:xfrm>
          <a:off x="6886576" y="5943600"/>
          <a:ext cx="885824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9526</xdr:colOff>
      <xdr:row>42</xdr:row>
      <xdr:rowOff>0</xdr:rowOff>
    </xdr:from>
    <xdr:to>
      <xdr:col>42</xdr:col>
      <xdr:colOff>171450</xdr:colOff>
      <xdr:row>43</xdr:row>
      <xdr:rowOff>133349</xdr:rowOff>
    </xdr:to>
    <xdr:sp macro="[0]!Matriz" textlink="">
      <xdr:nvSpPr>
        <xdr:cNvPr id="3" name="MOD4_TAB1"/>
        <xdr:cNvSpPr/>
      </xdr:nvSpPr>
      <xdr:spPr>
        <a:xfrm>
          <a:off x="6886576" y="5943600"/>
          <a:ext cx="885824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9526</xdr:colOff>
      <xdr:row>42</xdr:row>
      <xdr:rowOff>0</xdr:rowOff>
    </xdr:from>
    <xdr:to>
      <xdr:col>42</xdr:col>
      <xdr:colOff>171450</xdr:colOff>
      <xdr:row>43</xdr:row>
      <xdr:rowOff>133349</xdr:rowOff>
    </xdr:to>
    <xdr:sp macro="[0]!Matriz" textlink="">
      <xdr:nvSpPr>
        <xdr:cNvPr id="3" name="MOD4_TAB1"/>
        <xdr:cNvSpPr/>
      </xdr:nvSpPr>
      <xdr:spPr>
        <a:xfrm>
          <a:off x="6886576" y="5943600"/>
          <a:ext cx="885824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s.google.com/spreadsheets/d/1CpoNSM5GNUHEw8OJeChbSiqABewzph87VF5k5CY4nUY/pub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ABRAHAM_CARBALLIDO@HOTMAIL.COM" TargetMode="External"/><Relationship Id="rId1" Type="http://schemas.openxmlformats.org/officeDocument/2006/relationships/hyperlink" Target="mailto:ABRAHAM_CARBALLIDO@HOTMAIL.COM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00FF"/>
    <pageSetUpPr fitToPage="1"/>
  </sheetPr>
  <dimension ref="A1:AY49"/>
  <sheetViews>
    <sheetView showGridLines="0" showRowColHeaders="0" tabSelected="1" topLeftCell="A13" zoomScaleNormal="100" workbookViewId="0">
      <selection activeCell="D39" sqref="D39:AW40"/>
    </sheetView>
  </sheetViews>
  <sheetFormatPr baseColWidth="10" defaultColWidth="2.7109375" defaultRowHeight="12" customHeight="1" x14ac:dyDescent="0.2"/>
  <cols>
    <col min="1" max="1" width="2.7109375" style="36" customWidth="1"/>
    <col min="2" max="10" width="2.7109375" style="36"/>
    <col min="11" max="11" width="2.7109375" style="36" customWidth="1"/>
    <col min="12" max="16384" width="2.7109375" style="36"/>
  </cols>
  <sheetData>
    <row r="1" spans="1:51" ht="12" customHeight="1" x14ac:dyDescent="0.2">
      <c r="A1" s="35"/>
    </row>
    <row r="2" spans="1:51" ht="12" customHeight="1" x14ac:dyDescent="0.2">
      <c r="B2" s="1" t="s">
        <v>3800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">
        <v>4059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38" t="e">
        <f>IF(SUMIFS(#REF!,#REF!,$D$34,#REF!,$S$34,#REF!,$D$39)=0,"",LOOKUP(SUMIFS(#REF!,#REF!,$D$34,#REF!,$S$34,#REF!,$D$39),#REF!,#REF!))</f>
        <v>#REF!</v>
      </c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39" t="s">
        <v>3643</v>
      </c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38" t="s">
        <v>3642</v>
      </c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9.9499999999999993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8.1" customHeight="1" x14ac:dyDescent="0.2"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9"/>
    </row>
    <row r="10" spans="1:51" ht="9.9499999999999993" customHeight="1" x14ac:dyDescent="0.2">
      <c r="B10" s="7"/>
      <c r="C10" s="140" t="s">
        <v>4053</v>
      </c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AQ10" s="141"/>
      <c r="AR10" s="141"/>
      <c r="AS10" s="141"/>
      <c r="AT10" s="141"/>
      <c r="AU10" s="141"/>
      <c r="AV10" s="141"/>
      <c r="AW10" s="141"/>
      <c r="AX10" s="141"/>
      <c r="AY10" s="9"/>
    </row>
    <row r="11" spans="1:51" ht="9.9499999999999993" customHeight="1" x14ac:dyDescent="0.2">
      <c r="B11" s="7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  <c r="AE11" s="141"/>
      <c r="AF11" s="141"/>
      <c r="AG11" s="141"/>
      <c r="AH11" s="141"/>
      <c r="AI11" s="141"/>
      <c r="AJ11" s="141"/>
      <c r="AK11" s="141"/>
      <c r="AL11" s="141"/>
      <c r="AM11" s="141"/>
      <c r="AN11" s="141"/>
      <c r="AO11" s="141"/>
      <c r="AP11" s="141"/>
      <c r="AQ11" s="141"/>
      <c r="AR11" s="141"/>
      <c r="AS11" s="141"/>
      <c r="AT11" s="141"/>
      <c r="AU11" s="141"/>
      <c r="AV11" s="141"/>
      <c r="AW11" s="141"/>
      <c r="AX11" s="141"/>
      <c r="AY11" s="9"/>
    </row>
    <row r="12" spans="1:51" ht="9.9499999999999993" customHeight="1" x14ac:dyDescent="0.2">
      <c r="B12" s="7"/>
      <c r="C12" s="142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  <c r="Y12" s="142"/>
      <c r="Z12" s="142"/>
      <c r="AA12" s="142"/>
      <c r="AB12" s="142"/>
      <c r="AC12" s="142"/>
      <c r="AD12" s="142"/>
      <c r="AE12" s="142"/>
      <c r="AF12" s="142"/>
      <c r="AG12" s="142"/>
      <c r="AH12" s="142"/>
      <c r="AI12" s="142"/>
      <c r="AJ12" s="142"/>
      <c r="AK12" s="142"/>
      <c r="AL12" s="142"/>
      <c r="AM12" s="142"/>
      <c r="AN12" s="142"/>
      <c r="AO12" s="142"/>
      <c r="AP12" s="142"/>
      <c r="AQ12" s="142"/>
      <c r="AR12" s="142"/>
      <c r="AS12" s="142"/>
      <c r="AT12" s="142"/>
      <c r="AU12" s="142"/>
      <c r="AV12" s="142"/>
      <c r="AW12" s="142"/>
      <c r="AX12" s="142"/>
      <c r="AY12" s="9"/>
    </row>
    <row r="13" spans="1:51" ht="9.9499999999999993" customHeight="1" x14ac:dyDescent="0.2">
      <c r="B13" s="7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9"/>
    </row>
    <row r="14" spans="1:51" ht="9.9499999999999993" customHeight="1" x14ac:dyDescent="0.2">
      <c r="B14" s="7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9"/>
    </row>
    <row r="15" spans="1:51" ht="15.95" customHeight="1" x14ac:dyDescent="0.2">
      <c r="B15" s="7"/>
      <c r="C15" s="17" t="s">
        <v>4054</v>
      </c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155" t="str">
        <f>IF(AND($D$19&lt;&gt;"",$AA$19&lt;&gt;"",$D$24&lt;&gt;"",$AA$24&lt;&gt;""),CHAR(97),"")</f>
        <v/>
      </c>
      <c r="AX15" s="155"/>
      <c r="AY15" s="9"/>
    </row>
    <row r="16" spans="1:51" ht="8.1" customHeight="1" x14ac:dyDescent="0.2">
      <c r="B16" s="7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155"/>
      <c r="AX16" s="155"/>
      <c r="AY16" s="9"/>
    </row>
    <row r="17" spans="2:51" ht="9.9499999999999993" customHeight="1" x14ac:dyDescent="0.2">
      <c r="B17" s="7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18"/>
      <c r="AX17" s="18"/>
      <c r="AY17" s="9"/>
    </row>
    <row r="18" spans="2:51" ht="15.95" customHeight="1" x14ac:dyDescent="0.2">
      <c r="B18" s="7"/>
      <c r="C18" s="8"/>
      <c r="D18" s="17" t="s">
        <v>3808</v>
      </c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17" t="s">
        <v>3809</v>
      </c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17" t="s">
        <v>3810</v>
      </c>
      <c r="AQ18" s="8"/>
      <c r="AR18" s="8"/>
      <c r="AS18" s="8"/>
      <c r="AT18" s="8"/>
      <c r="AU18" s="8"/>
      <c r="AV18" s="8"/>
      <c r="AW18" s="8"/>
      <c r="AX18" s="8"/>
      <c r="AY18" s="9"/>
    </row>
    <row r="19" spans="2:51" ht="9.9499999999999993" customHeight="1" x14ac:dyDescent="0.2">
      <c r="B19" s="7"/>
      <c r="C19" s="8"/>
      <c r="D19" s="156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8"/>
      <c r="Y19" s="8"/>
      <c r="Z19" s="8"/>
      <c r="AA19" s="156"/>
      <c r="AB19" s="157"/>
      <c r="AC19" s="157"/>
      <c r="AD19" s="157"/>
      <c r="AE19" s="157"/>
      <c r="AF19" s="157"/>
      <c r="AG19" s="157"/>
      <c r="AH19" s="157"/>
      <c r="AI19" s="157"/>
      <c r="AJ19" s="157"/>
      <c r="AK19" s="157"/>
      <c r="AL19" s="157"/>
      <c r="AM19" s="158"/>
      <c r="AN19" s="8"/>
      <c r="AO19" s="8"/>
      <c r="AP19" s="162"/>
      <c r="AQ19" s="163"/>
      <c r="AR19" s="163"/>
      <c r="AS19" s="163"/>
      <c r="AT19" s="163"/>
      <c r="AU19" s="163"/>
      <c r="AV19" s="163"/>
      <c r="AW19" s="164"/>
      <c r="AX19" s="8"/>
      <c r="AY19" s="9"/>
    </row>
    <row r="20" spans="2:51" ht="9.9499999999999993" customHeight="1" x14ac:dyDescent="0.2">
      <c r="B20" s="7"/>
      <c r="C20" s="8"/>
      <c r="D20" s="159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1"/>
      <c r="Y20" s="8"/>
      <c r="Z20" s="8"/>
      <c r="AA20" s="159"/>
      <c r="AB20" s="160"/>
      <c r="AC20" s="160"/>
      <c r="AD20" s="160"/>
      <c r="AE20" s="160"/>
      <c r="AF20" s="160"/>
      <c r="AG20" s="160"/>
      <c r="AH20" s="160"/>
      <c r="AI20" s="160"/>
      <c r="AJ20" s="160"/>
      <c r="AK20" s="160"/>
      <c r="AL20" s="160"/>
      <c r="AM20" s="161"/>
      <c r="AN20" s="8"/>
      <c r="AO20" s="8"/>
      <c r="AP20" s="165"/>
      <c r="AQ20" s="166"/>
      <c r="AR20" s="166"/>
      <c r="AS20" s="166"/>
      <c r="AT20" s="166"/>
      <c r="AU20" s="166"/>
      <c r="AV20" s="166"/>
      <c r="AW20" s="167"/>
      <c r="AX20" s="8"/>
      <c r="AY20" s="9"/>
    </row>
    <row r="21" spans="2:51" ht="9.9499999999999993" customHeight="1" x14ac:dyDescent="0.2"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9"/>
    </row>
    <row r="22" spans="2:51" ht="9.9499999999999993" customHeight="1" x14ac:dyDescent="0.2">
      <c r="B22" s="7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9"/>
    </row>
    <row r="23" spans="2:51" ht="15.95" customHeight="1" x14ac:dyDescent="0.2">
      <c r="B23" s="7"/>
      <c r="C23" s="8"/>
      <c r="D23" s="17" t="s">
        <v>3813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17" t="s">
        <v>3812</v>
      </c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17" t="s">
        <v>3811</v>
      </c>
      <c r="AQ23" s="8"/>
      <c r="AR23" s="8"/>
      <c r="AS23" s="8"/>
      <c r="AT23" s="8"/>
      <c r="AU23" s="8"/>
      <c r="AV23" s="8"/>
      <c r="AW23" s="8"/>
      <c r="AX23" s="8"/>
      <c r="AY23" s="9"/>
    </row>
    <row r="24" spans="2:51" ht="9.9499999999999993" customHeight="1" x14ac:dyDescent="0.2">
      <c r="B24" s="7"/>
      <c r="C24" s="8"/>
      <c r="D24" s="168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7"/>
      <c r="Q24" s="157"/>
      <c r="R24" s="157"/>
      <c r="S24" s="157"/>
      <c r="T24" s="157"/>
      <c r="U24" s="157"/>
      <c r="V24" s="157"/>
      <c r="W24" s="157"/>
      <c r="X24" s="158"/>
      <c r="Y24" s="8"/>
      <c r="Z24" s="8"/>
      <c r="AA24" s="156"/>
      <c r="AB24" s="157"/>
      <c r="AC24" s="157"/>
      <c r="AD24" s="157"/>
      <c r="AE24" s="157"/>
      <c r="AF24" s="157"/>
      <c r="AG24" s="157"/>
      <c r="AH24" s="157"/>
      <c r="AI24" s="157"/>
      <c r="AJ24" s="157"/>
      <c r="AK24" s="157"/>
      <c r="AL24" s="157"/>
      <c r="AM24" s="158"/>
      <c r="AN24" s="8"/>
      <c r="AO24" s="8"/>
      <c r="AP24" s="162"/>
      <c r="AQ24" s="163"/>
      <c r="AR24" s="163"/>
      <c r="AS24" s="163"/>
      <c r="AT24" s="163"/>
      <c r="AU24" s="163"/>
      <c r="AV24" s="163"/>
      <c r="AW24" s="164"/>
      <c r="AX24" s="8"/>
      <c r="AY24" s="9"/>
    </row>
    <row r="25" spans="2:51" ht="9.9499999999999993" customHeight="1" x14ac:dyDescent="0.2">
      <c r="B25" s="7"/>
      <c r="C25" s="8"/>
      <c r="D25" s="159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1"/>
      <c r="Y25" s="8"/>
      <c r="Z25" s="8"/>
      <c r="AA25" s="159"/>
      <c r="AB25" s="160"/>
      <c r="AC25" s="160"/>
      <c r="AD25" s="160"/>
      <c r="AE25" s="160"/>
      <c r="AF25" s="160"/>
      <c r="AG25" s="160"/>
      <c r="AH25" s="160"/>
      <c r="AI25" s="160"/>
      <c r="AJ25" s="160"/>
      <c r="AK25" s="160"/>
      <c r="AL25" s="160"/>
      <c r="AM25" s="161"/>
      <c r="AN25" s="8"/>
      <c r="AO25" s="8"/>
      <c r="AP25" s="165"/>
      <c r="AQ25" s="166"/>
      <c r="AR25" s="166"/>
      <c r="AS25" s="166"/>
      <c r="AT25" s="166"/>
      <c r="AU25" s="166"/>
      <c r="AV25" s="166"/>
      <c r="AW25" s="167"/>
      <c r="AX25" s="8"/>
      <c r="AY25" s="9"/>
    </row>
    <row r="26" spans="2:51" ht="9.9499999999999993" customHeight="1" x14ac:dyDescent="0.2">
      <c r="B26" s="7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9"/>
    </row>
    <row r="27" spans="2:51" ht="9.9499999999999993" customHeight="1" x14ac:dyDescent="0.2"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9"/>
    </row>
    <row r="28" spans="2:51" ht="9.9499999999999993" customHeight="1" x14ac:dyDescent="0.2"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9"/>
    </row>
    <row r="29" spans="2:51" ht="9.9499999999999993" customHeight="1" x14ac:dyDescent="0.2">
      <c r="B29" s="7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9"/>
    </row>
    <row r="30" spans="2:51" ht="15.95" customHeight="1" x14ac:dyDescent="0.2">
      <c r="B30" s="7"/>
      <c r="C30" s="17" t="s">
        <v>1773</v>
      </c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155" t="str">
        <f>IF(OR($D$34="",$D$34="Seleccionar",$S$34="",$S$34="Seleccionar",$D$39="",$D$39="Seleccionar"),"",CHAR(97))</f>
        <v/>
      </c>
      <c r="AX30" s="155"/>
      <c r="AY30" s="9"/>
    </row>
    <row r="31" spans="2:51" ht="8.1" customHeight="1" x14ac:dyDescent="0.2"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155"/>
      <c r="AX31" s="155"/>
      <c r="AY31" s="9"/>
    </row>
    <row r="32" spans="2:51" ht="9.9499999999999993" customHeight="1" x14ac:dyDescent="0.2">
      <c r="B32" s="7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18"/>
      <c r="AX32" s="18"/>
      <c r="AY32" s="9"/>
    </row>
    <row r="33" spans="2:51" ht="15.95" customHeight="1" x14ac:dyDescent="0.2">
      <c r="B33" s="7"/>
      <c r="C33" s="8"/>
      <c r="D33" s="17" t="s">
        <v>1774</v>
      </c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17" t="s">
        <v>1775</v>
      </c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9"/>
    </row>
    <row r="34" spans="2:51" ht="9.9499999999999993" customHeight="1" x14ac:dyDescent="0.2">
      <c r="B34" s="7"/>
      <c r="C34" s="8"/>
      <c r="D34" s="143" t="s">
        <v>1807</v>
      </c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5"/>
      <c r="Q34" s="8"/>
      <c r="R34" s="8"/>
      <c r="S34" s="143" t="s">
        <v>1807</v>
      </c>
      <c r="T34" s="144"/>
      <c r="U34" s="144"/>
      <c r="V34" s="144"/>
      <c r="W34" s="144"/>
      <c r="X34" s="144"/>
      <c r="Y34" s="144"/>
      <c r="Z34" s="144"/>
      <c r="AA34" s="144"/>
      <c r="AB34" s="144"/>
      <c r="AC34" s="144"/>
      <c r="AD34" s="144"/>
      <c r="AE34" s="144"/>
      <c r="AF34" s="144"/>
      <c r="AG34" s="144"/>
      <c r="AH34" s="144"/>
      <c r="AI34" s="144"/>
      <c r="AJ34" s="144"/>
      <c r="AK34" s="144"/>
      <c r="AL34" s="144"/>
      <c r="AM34" s="144"/>
      <c r="AN34" s="144"/>
      <c r="AO34" s="144"/>
      <c r="AP34" s="144"/>
      <c r="AQ34" s="144"/>
      <c r="AR34" s="144"/>
      <c r="AS34" s="144"/>
      <c r="AT34" s="144"/>
      <c r="AU34" s="144"/>
      <c r="AV34" s="144"/>
      <c r="AW34" s="145"/>
      <c r="AX34" s="8"/>
      <c r="AY34" s="9"/>
    </row>
    <row r="35" spans="2:51" ht="9.9499999999999993" customHeight="1" x14ac:dyDescent="0.2">
      <c r="B35" s="7"/>
      <c r="C35" s="8"/>
      <c r="D35" s="146"/>
      <c r="E35" s="147"/>
      <c r="F35" s="147"/>
      <c r="G35" s="147"/>
      <c r="H35" s="147"/>
      <c r="I35" s="147"/>
      <c r="J35" s="147"/>
      <c r="K35" s="147"/>
      <c r="L35" s="147"/>
      <c r="M35" s="147"/>
      <c r="N35" s="147"/>
      <c r="O35" s="147"/>
      <c r="P35" s="148"/>
      <c r="Q35" s="8"/>
      <c r="R35" s="8"/>
      <c r="S35" s="146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  <c r="AN35" s="147"/>
      <c r="AO35" s="147"/>
      <c r="AP35" s="147"/>
      <c r="AQ35" s="147"/>
      <c r="AR35" s="147"/>
      <c r="AS35" s="147"/>
      <c r="AT35" s="147"/>
      <c r="AU35" s="147"/>
      <c r="AV35" s="147"/>
      <c r="AW35" s="148"/>
      <c r="AX35" s="8"/>
      <c r="AY35" s="9"/>
    </row>
    <row r="36" spans="2:51" ht="9.9499999999999993" customHeight="1" x14ac:dyDescent="0.2">
      <c r="B36" s="7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9"/>
    </row>
    <row r="37" spans="2:51" ht="9.9499999999999993" customHeight="1" x14ac:dyDescent="0.2">
      <c r="B37" s="7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9"/>
    </row>
    <row r="38" spans="2:51" ht="15.95" customHeight="1" x14ac:dyDescent="0.2">
      <c r="B38" s="7"/>
      <c r="C38" s="8"/>
      <c r="D38" s="17" t="s">
        <v>1776</v>
      </c>
      <c r="E38" s="8"/>
      <c r="F38" s="8"/>
      <c r="G38" s="8"/>
      <c r="H38" s="8"/>
      <c r="I38" s="22" t="str">
        <f>LISTAS!D13</f>
        <v/>
      </c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9"/>
    </row>
    <row r="39" spans="2:51" ht="9.9499999999999993" customHeight="1" x14ac:dyDescent="0.2">
      <c r="B39" s="7"/>
      <c r="C39" s="8"/>
      <c r="D39" s="143" t="s">
        <v>1807</v>
      </c>
      <c r="E39" s="144"/>
      <c r="F39" s="144"/>
      <c r="G39" s="144"/>
      <c r="H39" s="144"/>
      <c r="I39" s="144"/>
      <c r="J39" s="144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4"/>
      <c r="AB39" s="144"/>
      <c r="AC39" s="144"/>
      <c r="AD39" s="144"/>
      <c r="AE39" s="144"/>
      <c r="AF39" s="144"/>
      <c r="AG39" s="144"/>
      <c r="AH39" s="144"/>
      <c r="AI39" s="144"/>
      <c r="AJ39" s="144"/>
      <c r="AK39" s="144"/>
      <c r="AL39" s="144"/>
      <c r="AM39" s="144"/>
      <c r="AN39" s="144"/>
      <c r="AO39" s="144"/>
      <c r="AP39" s="144"/>
      <c r="AQ39" s="144"/>
      <c r="AR39" s="144"/>
      <c r="AS39" s="144"/>
      <c r="AT39" s="144"/>
      <c r="AU39" s="144"/>
      <c r="AV39" s="144"/>
      <c r="AW39" s="145"/>
      <c r="AX39" s="8"/>
      <c r="AY39" s="9"/>
    </row>
    <row r="40" spans="2:51" ht="9.9499999999999993" customHeight="1" x14ac:dyDescent="0.2">
      <c r="B40" s="7"/>
      <c r="C40" s="8"/>
      <c r="D40" s="146"/>
      <c r="E40" s="147"/>
      <c r="F40" s="147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  <c r="AN40" s="147"/>
      <c r="AO40" s="147"/>
      <c r="AP40" s="147"/>
      <c r="AQ40" s="147"/>
      <c r="AR40" s="147"/>
      <c r="AS40" s="147"/>
      <c r="AT40" s="147"/>
      <c r="AU40" s="147"/>
      <c r="AV40" s="147"/>
      <c r="AW40" s="148"/>
      <c r="AX40" s="8"/>
      <c r="AY40" s="9"/>
    </row>
    <row r="41" spans="2:51" ht="9.9499999999999993" customHeight="1" x14ac:dyDescent="0.2">
      <c r="B41" s="7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9"/>
    </row>
    <row r="42" spans="2:51" ht="8.1" customHeight="1" x14ac:dyDescent="0.2">
      <c r="B42" s="7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9"/>
    </row>
    <row r="43" spans="2:51" ht="15.95" customHeight="1" x14ac:dyDescent="0.2">
      <c r="B43" s="7"/>
      <c r="C43" s="8"/>
      <c r="D43" s="89" t="str">
        <f>IF(OR($D$34="",$D$34="Seleccionar",$S$34="Seleccionar",$D$39="Seleccionar"),"Debe de llenar los campos solicitados para pasar a la siguiente fase.","Todos los datos deben ser llenados y selecionados correctamente. No podrá volver a esta sección.")</f>
        <v>Debe de llenar los campos solicitados para pasar a la siguiente fase.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149" t="str">
        <f>IF(LISTAS!D15=TRUE,"Siguiente","")</f>
        <v/>
      </c>
      <c r="AQ43" s="150"/>
      <c r="AR43" s="150"/>
      <c r="AS43" s="150"/>
      <c r="AT43" s="150"/>
      <c r="AU43" s="150"/>
      <c r="AV43" s="150"/>
      <c r="AW43" s="151"/>
      <c r="AX43" s="8"/>
      <c r="AY43" s="9"/>
    </row>
    <row r="44" spans="2:51" ht="8.1" customHeight="1" x14ac:dyDescent="0.2">
      <c r="B44" s="7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152"/>
      <c r="AQ44" s="153"/>
      <c r="AR44" s="153"/>
      <c r="AS44" s="153"/>
      <c r="AT44" s="153"/>
      <c r="AU44" s="153"/>
      <c r="AV44" s="153"/>
      <c r="AW44" s="154"/>
      <c r="AX44" s="8"/>
      <c r="AY44" s="9"/>
    </row>
    <row r="45" spans="2:51" ht="9.9499999999999993" customHeight="1" x14ac:dyDescent="0.2">
      <c r="B45" s="7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39" t="s">
        <v>4176</v>
      </c>
      <c r="D46" s="139"/>
      <c r="E46" s="139" t="s">
        <v>4177</v>
      </c>
      <c r="F46" s="139"/>
      <c r="G46" s="139" t="s">
        <v>4126</v>
      </c>
      <c r="H46" s="139"/>
      <c r="I46" s="139" t="s">
        <v>4178</v>
      </c>
      <c r="J46" s="139"/>
      <c r="K46" s="139" t="s">
        <v>4179</v>
      </c>
      <c r="L46" s="139"/>
      <c r="M46" s="139" t="s">
        <v>4180</v>
      </c>
      <c r="N46" s="139"/>
      <c r="O46" s="139" t="s">
        <v>4181</v>
      </c>
      <c r="P46" s="139"/>
      <c r="Q46" s="139" t="s">
        <v>4182</v>
      </c>
      <c r="R46" s="139"/>
      <c r="S46" s="139" t="s">
        <v>4183</v>
      </c>
      <c r="T46" s="139"/>
      <c r="U46" s="139" t="s">
        <v>4184</v>
      </c>
      <c r="V46" s="139"/>
      <c r="W46" s="139" t="s">
        <v>4185</v>
      </c>
      <c r="X46" s="139"/>
      <c r="Y46" s="139" t="s">
        <v>4186</v>
      </c>
      <c r="Z46" s="139"/>
      <c r="AA46" s="139" t="s">
        <v>1780</v>
      </c>
      <c r="AB46" s="139"/>
      <c r="AC46" s="139" t="s">
        <v>4187</v>
      </c>
      <c r="AD46" s="139"/>
      <c r="AE46" s="139" t="s">
        <v>1781</v>
      </c>
      <c r="AF46" s="139"/>
      <c r="AG46" s="139" t="s">
        <v>4188</v>
      </c>
      <c r="AH46" s="139"/>
      <c r="AI46" s="139" t="s">
        <v>4189</v>
      </c>
      <c r="AJ46" s="139"/>
      <c r="AK46" s="139" t="s">
        <v>4190</v>
      </c>
      <c r="AL46" s="139"/>
      <c r="AM46" s="139" t="s">
        <v>4191</v>
      </c>
      <c r="AN46" s="139"/>
      <c r="AO46" s="139" t="s">
        <v>4192</v>
      </c>
      <c r="AP46" s="139"/>
      <c r="AQ46" s="139" t="s">
        <v>4176</v>
      </c>
      <c r="AR46" s="139"/>
      <c r="AS46" s="139" t="s">
        <v>4177</v>
      </c>
      <c r="AT46" s="139"/>
      <c r="AU46" s="139" t="s">
        <v>4126</v>
      </c>
      <c r="AV46" s="139"/>
      <c r="AW46" s="139" t="s">
        <v>4178</v>
      </c>
      <c r="AX46" s="139"/>
      <c r="AY46" s="9"/>
    </row>
    <row r="47" spans="2:51" ht="12" customHeight="1" x14ac:dyDescent="0.2">
      <c r="B47" s="7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  <c r="AJ47" s="139"/>
      <c r="AK47" s="139"/>
      <c r="AL47" s="139"/>
      <c r="AM47" s="139"/>
      <c r="AN47" s="139"/>
      <c r="AO47" s="139"/>
      <c r="AP47" s="139"/>
      <c r="AQ47" s="139"/>
      <c r="AR47" s="139"/>
      <c r="AS47" s="139"/>
      <c r="AT47" s="139"/>
      <c r="AU47" s="139"/>
      <c r="AV47" s="139"/>
      <c r="AW47" s="139"/>
      <c r="AX47" s="139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IF($B$49="","","*Equipo de Gestión de la Información - EBR - Ministerio de Educación")</f>
        <v>*Equipo de Gestión de la Información - EBR - Ministerio de Educación</v>
      </c>
    </row>
  </sheetData>
  <sheetProtection algorithmName="SHA-512" hashValue="VQ1Z5acxMjX91PxL7YafUuIIziGNma2m5oXy6lSquxetZJIru1BJgbC5ONNH80xHPg/c1cuVzejXMWq6zV5PdA==" saltValue="4yLH2WF18CHDGzPSVp8Uew==" spinCount="100000" sheet="1" objects="1" scenarios="1"/>
  <mergeCells count="37">
    <mergeCell ref="AW30:AX31"/>
    <mergeCell ref="AW15:AX16"/>
    <mergeCell ref="D19:X20"/>
    <mergeCell ref="AA19:AM20"/>
    <mergeCell ref="AP19:AW20"/>
    <mergeCell ref="AP24:AW25"/>
    <mergeCell ref="D24:X25"/>
    <mergeCell ref="AA24:AM25"/>
    <mergeCell ref="S46:T47"/>
    <mergeCell ref="U46:V47"/>
    <mergeCell ref="W46:X47"/>
    <mergeCell ref="Y46:Z47"/>
    <mergeCell ref="AW46:AX47"/>
    <mergeCell ref="AM46:AN47"/>
    <mergeCell ref="AO46:AP47"/>
    <mergeCell ref="AQ46:AR47"/>
    <mergeCell ref="AS46:AT47"/>
    <mergeCell ref="AU46:AV47"/>
    <mergeCell ref="AK46:AL47"/>
    <mergeCell ref="AA46:AB47"/>
    <mergeCell ref="AC46:AD47"/>
    <mergeCell ref="M46:N47"/>
    <mergeCell ref="C10:AX12"/>
    <mergeCell ref="S34:AW35"/>
    <mergeCell ref="D34:P35"/>
    <mergeCell ref="D39:AW40"/>
    <mergeCell ref="AP43:AW44"/>
    <mergeCell ref="C46:D47"/>
    <mergeCell ref="E46:F47"/>
    <mergeCell ref="G46:H47"/>
    <mergeCell ref="I46:J47"/>
    <mergeCell ref="K46:L47"/>
    <mergeCell ref="AE46:AF47"/>
    <mergeCell ref="AG46:AH47"/>
    <mergeCell ref="AI46:AJ47"/>
    <mergeCell ref="O46:P47"/>
    <mergeCell ref="Q46:R47"/>
  </mergeCells>
  <conditionalFormatting sqref="AP43:AW44">
    <cfRule type="expression" dxfId="217" priority="4">
      <formula>$AP$43=""</formula>
    </cfRule>
  </conditionalFormatting>
  <conditionalFormatting sqref="C46:AX47">
    <cfRule type="expression" dxfId="216" priority="1">
      <formula>IF(CODE(C46)=38,1,0)</formula>
    </cfRule>
    <cfRule type="expression" dxfId="215" priority="2">
      <formula>IF(CODE(C46)=37,1,0)</formula>
    </cfRule>
    <cfRule type="expression" dxfId="214" priority="3">
      <formula>IF(OR(CODE(C46)=143,CODE(C46)=167,CODE(C46)=168,CODE(C46)=254),1,0)</formula>
    </cfRule>
  </conditionalFormatting>
  <dataValidations count="6">
    <dataValidation allowBlank="1" showInputMessage="1" showErrorMessage="1" promptTitle="Ingrese" prompt="Apellido paterno y apellido materno" sqref="D19:X20"/>
    <dataValidation allowBlank="1" showInputMessage="1" showErrorMessage="1" promptTitle="Ingrese" prompt="Nombres" sqref="AA19:AM20"/>
    <dataValidation type="whole" allowBlank="1" showInputMessage="1" showErrorMessage="1" errorTitle="Mensaje de validación" error="Solo se permite ingresar datos numéricos enteros._x000a__x000a_Intente de nuevo" promptTitle="Ingrese" prompt="Número celular o teléfono personal" sqref="AP19:AW20">
      <formula1>1</formula1>
      <formula2>999999999</formula2>
    </dataValidation>
    <dataValidation allowBlank="1" showInputMessage="1" showErrorMessage="1" promptTitle="Ingrese" prompt="Solo una cuenta de correo electrónico" sqref="D24:X25"/>
    <dataValidation allowBlank="1" showInputMessage="1" showErrorMessage="1" promptTitle="Ingrese" prompt="Cargo de la persona responsable que registra los datos en la evaluación de la educación ambiental en la gestión escolar." sqref="AA24:AM25"/>
    <dataValidation type="whole" allowBlank="1" showInputMessage="1" showErrorMessage="1" errorTitle="Mensaje de validación" error="Solo se permite ingresar datos numéricos enteros._x000a__x000a_Intente de nuevo" promptTitle="Ingrese" prompt="Número telefónico laboral o de referencia" sqref="AP24:AW25">
      <formula1>1</formula1>
      <formula2>999999999</formula2>
    </dataValidation>
  </dataValidations>
  <hyperlinks>
    <hyperlink ref="K4" r:id="rId1"/>
  </hyperlinks>
  <printOptions horizontalCentered="1" verticalCentered="1"/>
  <pageMargins left="0" right="0" top="0.39370078740157483" bottom="0.39370078740157483" header="0.19685039370078741" footer="0.19685039370078741"/>
  <pageSetup paperSize="9" scale="96" orientation="landscape" r:id="rId2"/>
  <headerFooter>
    <oddHeader>&amp;L&amp;8&amp;F&amp;R&amp;8&amp;A</oddHeader>
    <oddFooter>&amp;L&amp;8Impreso el &amp;D, a horas: &amp;T&amp;R&amp;8Página: &amp;P de &amp;N</oddFooter>
  </headerFooter>
  <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Mensaje de validación" error="Solo se permite datos de la lista desplegable._x000a__x000a_Intente de nuevo" promptTitle="Seleccionar" prompt="Mi Institución Educativa se ubica en el departamento de...">
          <x14:formula1>
            <xm:f>LISTAS!$G$2:$G$27</xm:f>
          </x14:formula1>
          <xm:sqref>D34:P35</xm:sqref>
        </x14:dataValidation>
        <x14:dataValidation type="list" allowBlank="1" showInputMessage="1" showErrorMessage="1" errorTitle="Mensaje de validación" error="Solo se permite datos de la lista desplegable._x000a__x000a_Intente de nuevo" promptTitle="Seleccionar" prompt="Mi Institución Educativa se ubica en el provincia de...">
          <x14:formula1>
            <xm:f>OFFSET(LISTAS!$AC$2:$AC$26,0,0,25-COUNTIF(LISTAS!$AC$2:$AC$26,""),1)</xm:f>
          </x14:formula1>
          <xm:sqref>S34:AW35</xm:sqref>
        </x14:dataValidation>
        <x14:dataValidation type="list" allowBlank="1" showInputMessage="1" showErrorMessage="1" errorTitle="Mensaje de validación" error="Solo se permite datos de la lista desplegable._x000a__x000a_Intente de nuevo." promptTitle="Seleccionar" prompt="Mi Institución Educativa se ubica en el distrito de...">
          <x14:formula1>
            <xm:f>OFFSET(LISTAS!$AF$2:$AF$51,0,0,50-COUNTIF(LISTAS!$AF$2:$AF$51,""),1)</xm:f>
          </x14:formula1>
          <xm:sqref>D39:AW40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00FF"/>
    <pageSetUpPr fitToPage="1"/>
  </sheetPr>
  <dimension ref="A1:AY51"/>
  <sheetViews>
    <sheetView showGridLines="0" zoomScaleNormal="100" workbookViewId="0">
      <selection activeCell="T13" sqref="T13:AH14"/>
    </sheetView>
  </sheetViews>
  <sheetFormatPr baseColWidth="10" defaultColWidth="2.7109375" defaultRowHeight="12" customHeight="1" x14ac:dyDescent="0.2"/>
  <cols>
    <col min="1" max="1" width="2.7109375" style="36" customWidth="1"/>
    <col min="2" max="2" width="2.7109375" style="36"/>
    <col min="3" max="51" width="2.7109375" style="36" customWidth="1"/>
    <col min="52" max="16384" width="2.7109375" style="36"/>
  </cols>
  <sheetData>
    <row r="1" spans="1:51" ht="12" customHeight="1" x14ac:dyDescent="0.2">
      <c r="A1" s="35"/>
    </row>
    <row r="2" spans="1:51" ht="12" customHeight="1" x14ac:dyDescent="0.2">
      <c r="B2" s="90" t="s">
        <v>3800</v>
      </c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2"/>
      <c r="AR2" s="92"/>
      <c r="AS2" s="92"/>
      <c r="AT2" s="92"/>
      <c r="AU2" s="93"/>
      <c r="AV2" s="94"/>
      <c r="AW2" s="94"/>
      <c r="AX2" s="94"/>
      <c r="AY2" s="95" t="str">
        <f>IF('MOD1'!$AY$2="","",'MOD1'!$AY$2)</f>
        <v>Versión de la Herramienta: 1.5</v>
      </c>
    </row>
    <row r="3" spans="1:51" ht="12" customHeight="1" x14ac:dyDescent="0.2">
      <c r="B3" s="9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7"/>
    </row>
    <row r="4" spans="1:51" ht="12" customHeight="1" x14ac:dyDescent="0.2">
      <c r="B4" s="96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7"/>
    </row>
    <row r="5" spans="1:51" ht="12" customHeight="1" x14ac:dyDescent="0.2">
      <c r="B5" s="96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7"/>
    </row>
    <row r="6" spans="1:51" ht="12" customHeight="1" x14ac:dyDescent="0.2">
      <c r="B6" s="96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7"/>
    </row>
    <row r="7" spans="1:51" ht="12" customHeight="1" x14ac:dyDescent="0.2">
      <c r="B7" s="96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7"/>
    </row>
    <row r="8" spans="1:51" ht="15.95" customHeight="1" x14ac:dyDescent="0.2">
      <c r="B8" s="96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7"/>
    </row>
    <row r="9" spans="1:51" ht="15.95" customHeight="1" x14ac:dyDescent="0.2">
      <c r="B9" s="96"/>
      <c r="C9" s="17" t="s">
        <v>1782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218" t="str">
        <f>CLEAN(TRIM(CONCATENATE(UPPER('MOD1'!$AA$24),": ",PROPER('MOD1'!$D$19)," ",PROPER('MOD1'!$AA$19))))</f>
        <v>:</v>
      </c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219"/>
      <c r="AP9" s="219"/>
      <c r="AQ9" s="219"/>
      <c r="AR9" s="219"/>
      <c r="AS9" s="219"/>
      <c r="AT9" s="219"/>
      <c r="AU9" s="219"/>
      <c r="AV9" s="219"/>
      <c r="AW9" s="220"/>
      <c r="AX9" s="8"/>
      <c r="AY9" s="97"/>
    </row>
    <row r="10" spans="1:51" ht="18" customHeight="1" x14ac:dyDescent="0.2">
      <c r="B10" s="96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97"/>
    </row>
    <row r="11" spans="1:51" ht="8.1" customHeight="1" x14ac:dyDescent="0.2">
      <c r="B11" s="96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97"/>
    </row>
    <row r="12" spans="1:51" ht="15.95" customHeight="1" x14ac:dyDescent="0.2">
      <c r="B12" s="96"/>
      <c r="C12" s="8"/>
      <c r="D12" s="17" t="s">
        <v>4130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17" t="s">
        <v>4131</v>
      </c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17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97"/>
    </row>
    <row r="13" spans="1:51" ht="9.9499999999999993" customHeight="1" x14ac:dyDescent="0.2">
      <c r="B13" s="96"/>
      <c r="C13" s="8"/>
      <c r="D13" s="236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2"/>
      <c r="P13" s="202"/>
      <c r="Q13" s="202"/>
      <c r="R13" s="203"/>
      <c r="S13" s="8"/>
      <c r="T13" s="156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2"/>
      <c r="AI13" s="8"/>
      <c r="AJ13" s="156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2"/>
      <c r="AW13" s="203"/>
      <c r="AX13" s="8"/>
      <c r="AY13" s="97"/>
    </row>
    <row r="14" spans="1:51" ht="9.9499999999999993" customHeight="1" x14ac:dyDescent="0.2">
      <c r="B14" s="96"/>
      <c r="C14" s="8"/>
      <c r="D14" s="204"/>
      <c r="E14" s="205"/>
      <c r="F14" s="205"/>
      <c r="G14" s="205"/>
      <c r="H14" s="205"/>
      <c r="I14" s="205"/>
      <c r="J14" s="205"/>
      <c r="K14" s="205"/>
      <c r="L14" s="205"/>
      <c r="M14" s="205"/>
      <c r="N14" s="205"/>
      <c r="O14" s="205"/>
      <c r="P14" s="205"/>
      <c r="Q14" s="205"/>
      <c r="R14" s="206"/>
      <c r="S14" s="8"/>
      <c r="T14" s="223"/>
      <c r="U14" s="224"/>
      <c r="V14" s="224"/>
      <c r="W14" s="224"/>
      <c r="X14" s="224"/>
      <c r="Y14" s="224"/>
      <c r="Z14" s="224"/>
      <c r="AA14" s="224"/>
      <c r="AB14" s="224"/>
      <c r="AC14" s="224"/>
      <c r="AD14" s="224"/>
      <c r="AE14" s="224"/>
      <c r="AF14" s="224"/>
      <c r="AG14" s="224"/>
      <c r="AH14" s="225"/>
      <c r="AI14" s="8"/>
      <c r="AJ14" s="204"/>
      <c r="AK14" s="205"/>
      <c r="AL14" s="205"/>
      <c r="AM14" s="205"/>
      <c r="AN14" s="205"/>
      <c r="AO14" s="205"/>
      <c r="AP14" s="205"/>
      <c r="AQ14" s="205"/>
      <c r="AR14" s="205"/>
      <c r="AS14" s="205"/>
      <c r="AT14" s="205"/>
      <c r="AU14" s="205"/>
      <c r="AV14" s="205"/>
      <c r="AW14" s="206"/>
      <c r="AX14" s="8"/>
      <c r="AY14" s="97"/>
    </row>
    <row r="15" spans="1:51" ht="7.5" customHeight="1" x14ac:dyDescent="0.2">
      <c r="B15" s="96"/>
      <c r="C15" s="8"/>
      <c r="D15" s="46"/>
      <c r="E15" s="45"/>
      <c r="F15" s="45"/>
      <c r="G15" s="45"/>
      <c r="H15" s="45"/>
      <c r="I15" s="45"/>
      <c r="J15" s="45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97"/>
    </row>
    <row r="16" spans="1:51" ht="18.75" customHeight="1" x14ac:dyDescent="0.2">
      <c r="B16" s="96"/>
      <c r="C16" s="8"/>
      <c r="D16" s="249" t="s">
        <v>4060</v>
      </c>
      <c r="E16" s="249"/>
      <c r="F16" s="249"/>
      <c r="G16" s="249"/>
      <c r="H16" s="249"/>
      <c r="I16" s="249"/>
      <c r="J16" s="249"/>
      <c r="K16" s="8"/>
      <c r="L16" s="249" t="s">
        <v>3807</v>
      </c>
      <c r="M16" s="249"/>
      <c r="N16" s="249"/>
      <c r="O16" s="249"/>
      <c r="P16" s="249"/>
      <c r="Q16" s="249"/>
      <c r="R16" s="249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97"/>
    </row>
    <row r="17" spans="2:51" ht="15.95" customHeight="1" x14ac:dyDescent="0.2">
      <c r="B17" s="96"/>
      <c r="C17" s="8"/>
      <c r="D17" s="250"/>
      <c r="E17" s="250"/>
      <c r="F17" s="250"/>
      <c r="G17" s="250"/>
      <c r="H17" s="250"/>
      <c r="I17" s="250"/>
      <c r="J17" s="250"/>
      <c r="K17" s="40"/>
      <c r="L17" s="250"/>
      <c r="M17" s="250"/>
      <c r="N17" s="250"/>
      <c r="O17" s="250"/>
      <c r="P17" s="250"/>
      <c r="Q17" s="250"/>
      <c r="R17" s="250"/>
      <c r="S17" s="8"/>
      <c r="T17" s="17" t="s">
        <v>1783</v>
      </c>
      <c r="U17" s="8"/>
      <c r="V17" s="8"/>
      <c r="W17" s="8"/>
      <c r="X17" s="8"/>
      <c r="Y17" s="8"/>
      <c r="Z17" s="8"/>
      <c r="AA17" s="17" t="s">
        <v>1784</v>
      </c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97"/>
    </row>
    <row r="18" spans="2:51" ht="9.9499999999999993" customHeight="1" x14ac:dyDescent="0.2">
      <c r="B18" s="96"/>
      <c r="C18" s="8"/>
      <c r="D18" s="226"/>
      <c r="E18" s="244"/>
      <c r="F18" s="244"/>
      <c r="G18" s="244"/>
      <c r="H18" s="244"/>
      <c r="I18" s="244"/>
      <c r="J18" s="245"/>
      <c r="K18" s="8"/>
      <c r="L18" s="226"/>
      <c r="M18" s="244"/>
      <c r="N18" s="244"/>
      <c r="O18" s="244"/>
      <c r="P18" s="244"/>
      <c r="Q18" s="244"/>
      <c r="R18" s="245"/>
      <c r="S18" s="8"/>
      <c r="T18" s="226"/>
      <c r="U18" s="227"/>
      <c r="V18" s="227"/>
      <c r="W18" s="227"/>
      <c r="X18" s="227"/>
      <c r="Y18" s="228"/>
      <c r="Z18" s="8"/>
      <c r="AA18" s="156"/>
      <c r="AB18" s="202"/>
      <c r="AC18" s="202"/>
      <c r="AD18" s="202"/>
      <c r="AE18" s="202"/>
      <c r="AF18" s="202"/>
      <c r="AG18" s="202"/>
      <c r="AH18" s="202"/>
      <c r="AI18" s="202"/>
      <c r="AJ18" s="202"/>
      <c r="AK18" s="202"/>
      <c r="AL18" s="202"/>
      <c r="AM18" s="202"/>
      <c r="AN18" s="202"/>
      <c r="AO18" s="202"/>
      <c r="AP18" s="202"/>
      <c r="AQ18" s="202"/>
      <c r="AR18" s="202"/>
      <c r="AS18" s="202"/>
      <c r="AT18" s="202"/>
      <c r="AU18" s="202"/>
      <c r="AV18" s="202"/>
      <c r="AW18" s="203"/>
      <c r="AX18" s="8"/>
      <c r="AY18" s="97"/>
    </row>
    <row r="19" spans="2:51" ht="9.9499999999999993" customHeight="1" x14ac:dyDescent="0.2">
      <c r="B19" s="96"/>
      <c r="C19" s="8"/>
      <c r="D19" s="246"/>
      <c r="E19" s="247"/>
      <c r="F19" s="247"/>
      <c r="G19" s="247"/>
      <c r="H19" s="247"/>
      <c r="I19" s="247"/>
      <c r="J19" s="248"/>
      <c r="K19" s="8"/>
      <c r="L19" s="246"/>
      <c r="M19" s="247"/>
      <c r="N19" s="247"/>
      <c r="O19" s="247"/>
      <c r="P19" s="247"/>
      <c r="Q19" s="247"/>
      <c r="R19" s="248"/>
      <c r="S19" s="8"/>
      <c r="T19" s="229"/>
      <c r="U19" s="230"/>
      <c r="V19" s="230"/>
      <c r="W19" s="230"/>
      <c r="X19" s="230"/>
      <c r="Y19" s="231"/>
      <c r="Z19" s="8"/>
      <c r="AA19" s="204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6"/>
      <c r="AX19" s="8"/>
      <c r="AY19" s="97"/>
    </row>
    <row r="20" spans="2:51" ht="8.1" customHeight="1" x14ac:dyDescent="0.2">
      <c r="B20" s="96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97"/>
    </row>
    <row r="21" spans="2:51" ht="12" customHeight="1" x14ac:dyDescent="0.2">
      <c r="B21" s="96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97"/>
    </row>
    <row r="22" spans="2:51" ht="15.95" customHeight="1" x14ac:dyDescent="0.2">
      <c r="B22" s="96"/>
      <c r="C22" s="17" t="s">
        <v>1777</v>
      </c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97"/>
    </row>
    <row r="23" spans="2:51" ht="8.1" customHeight="1" x14ac:dyDescent="0.2">
      <c r="B23" s="96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97"/>
    </row>
    <row r="24" spans="2:51" ht="15" customHeight="1" x14ac:dyDescent="0.2">
      <c r="B24" s="96"/>
      <c r="C24" s="103"/>
      <c r="D24" s="257" t="s">
        <v>3698</v>
      </c>
      <c r="E24" s="258"/>
      <c r="F24" s="258"/>
      <c r="G24" s="258"/>
      <c r="H24" s="258"/>
      <c r="I24" s="258"/>
      <c r="J24" s="258"/>
      <c r="K24" s="258"/>
      <c r="L24" s="258"/>
      <c r="M24" s="251" t="s">
        <v>4395</v>
      </c>
      <c r="N24" s="252"/>
      <c r="O24" s="252"/>
      <c r="P24" s="253"/>
      <c r="Q24" s="190" t="s">
        <v>4396</v>
      </c>
      <c r="R24" s="191"/>
      <c r="S24" s="191"/>
      <c r="T24" s="191"/>
      <c r="U24" s="191"/>
      <c r="V24" s="191"/>
      <c r="W24" s="191"/>
      <c r="X24" s="191"/>
      <c r="Y24" s="191"/>
      <c r="Z24" s="191"/>
      <c r="AA24" s="191"/>
      <c r="AB24" s="191"/>
      <c r="AC24" s="191"/>
      <c r="AD24" s="191"/>
      <c r="AE24" s="191"/>
      <c r="AF24" s="191"/>
      <c r="AG24" s="192"/>
      <c r="AH24" s="207" t="s">
        <v>3693</v>
      </c>
      <c r="AI24" s="208"/>
      <c r="AJ24" s="208"/>
      <c r="AK24" s="209"/>
      <c r="AL24" s="210"/>
      <c r="AM24" s="207" t="s">
        <v>4129</v>
      </c>
      <c r="AN24" s="209"/>
      <c r="AO24" s="210"/>
      <c r="AP24" s="214" t="s">
        <v>1778</v>
      </c>
      <c r="AQ24" s="215"/>
      <c r="AR24" s="215"/>
      <c r="AS24" s="216"/>
      <c r="AT24" s="214" t="s">
        <v>1779</v>
      </c>
      <c r="AU24" s="215"/>
      <c r="AV24" s="215"/>
      <c r="AW24" s="216"/>
      <c r="AX24" s="8"/>
      <c r="AY24" s="97"/>
    </row>
    <row r="25" spans="2:51" ht="15" customHeight="1" x14ac:dyDescent="0.2">
      <c r="B25" s="96"/>
      <c r="C25" s="103"/>
      <c r="D25" s="259"/>
      <c r="E25" s="260"/>
      <c r="F25" s="260"/>
      <c r="G25" s="260"/>
      <c r="H25" s="260"/>
      <c r="I25" s="260"/>
      <c r="J25" s="260"/>
      <c r="K25" s="260"/>
      <c r="L25" s="260"/>
      <c r="M25" s="254"/>
      <c r="N25" s="255"/>
      <c r="O25" s="255"/>
      <c r="P25" s="256"/>
      <c r="Q25" s="193"/>
      <c r="R25" s="194"/>
      <c r="S25" s="194"/>
      <c r="T25" s="194"/>
      <c r="U25" s="194"/>
      <c r="V25" s="194"/>
      <c r="W25" s="194"/>
      <c r="X25" s="194"/>
      <c r="Y25" s="194"/>
      <c r="Z25" s="194"/>
      <c r="AA25" s="194"/>
      <c r="AB25" s="194"/>
      <c r="AC25" s="194"/>
      <c r="AD25" s="194"/>
      <c r="AE25" s="194"/>
      <c r="AF25" s="194"/>
      <c r="AG25" s="195"/>
      <c r="AH25" s="211"/>
      <c r="AI25" s="212"/>
      <c r="AJ25" s="212"/>
      <c r="AK25" s="212"/>
      <c r="AL25" s="213"/>
      <c r="AM25" s="211"/>
      <c r="AN25" s="212"/>
      <c r="AO25" s="213"/>
      <c r="AP25" s="217" t="s">
        <v>1780</v>
      </c>
      <c r="AQ25" s="216"/>
      <c r="AR25" s="214" t="s">
        <v>1781</v>
      </c>
      <c r="AS25" s="216"/>
      <c r="AT25" s="214" t="s">
        <v>1780</v>
      </c>
      <c r="AU25" s="216"/>
      <c r="AV25" s="214" t="s">
        <v>1781</v>
      </c>
      <c r="AW25" s="216"/>
      <c r="AX25" s="8"/>
      <c r="AY25" s="97"/>
    </row>
    <row r="26" spans="2:51" ht="12.95" customHeight="1" x14ac:dyDescent="0.2">
      <c r="B26" s="137" t="str">
        <f>IF(Q26="","",1)</f>
        <v/>
      </c>
      <c r="C26" s="38" t="str">
        <f>LISTAS!$D$26</f>
        <v/>
      </c>
      <c r="D26" s="261"/>
      <c r="E26" s="262"/>
      <c r="F26" s="262"/>
      <c r="G26" s="262"/>
      <c r="H26" s="262"/>
      <c r="I26" s="262"/>
      <c r="J26" s="262"/>
      <c r="K26" s="262"/>
      <c r="L26" s="263"/>
      <c r="M26" s="196"/>
      <c r="N26" s="197"/>
      <c r="O26" s="197"/>
      <c r="P26" s="198"/>
      <c r="Q26" s="232" t="str">
        <f>IF(M26="","",IFERROR(VLOOKUP(VALUE(M26),LISTAS!BA:BB,2,FALSE),"CODIGO MODULAR NO ENCONTRADO EN LA REGION"))</f>
        <v/>
      </c>
      <c r="R26" s="233"/>
      <c r="S26" s="233"/>
      <c r="T26" s="233"/>
      <c r="U26" s="233"/>
      <c r="V26" s="233"/>
      <c r="W26" s="233"/>
      <c r="X26" s="233"/>
      <c r="Y26" s="233"/>
      <c r="Z26" s="233"/>
      <c r="AA26" s="233"/>
      <c r="AB26" s="233"/>
      <c r="AC26" s="233"/>
      <c r="AD26" s="233"/>
      <c r="AE26" s="233"/>
      <c r="AF26" s="233"/>
      <c r="AG26" s="233"/>
      <c r="AH26" s="237"/>
      <c r="AI26" s="238"/>
      <c r="AJ26" s="238"/>
      <c r="AK26" s="239"/>
      <c r="AL26" s="240"/>
      <c r="AM26" s="180"/>
      <c r="AN26" s="181"/>
      <c r="AO26" s="182"/>
      <c r="AP26" s="186"/>
      <c r="AQ26" s="187"/>
      <c r="AR26" s="186"/>
      <c r="AS26" s="187"/>
      <c r="AT26" s="186"/>
      <c r="AU26" s="187"/>
      <c r="AV26" s="186"/>
      <c r="AW26" s="187"/>
      <c r="AX26" s="8"/>
      <c r="AY26" s="97"/>
    </row>
    <row r="27" spans="2:51" ht="12.95" customHeight="1" x14ac:dyDescent="0.2">
      <c r="B27" s="137"/>
      <c r="C27" s="38"/>
      <c r="D27" s="264"/>
      <c r="E27" s="262"/>
      <c r="F27" s="262"/>
      <c r="G27" s="262"/>
      <c r="H27" s="262"/>
      <c r="I27" s="262"/>
      <c r="J27" s="262"/>
      <c r="K27" s="262"/>
      <c r="L27" s="263"/>
      <c r="M27" s="199"/>
      <c r="N27" s="200"/>
      <c r="O27" s="200"/>
      <c r="P27" s="201"/>
      <c r="Q27" s="234"/>
      <c r="R27" s="235"/>
      <c r="S27" s="235"/>
      <c r="T27" s="235"/>
      <c r="U27" s="235"/>
      <c r="V27" s="235"/>
      <c r="W27" s="235"/>
      <c r="X27" s="235"/>
      <c r="Y27" s="235"/>
      <c r="Z27" s="235"/>
      <c r="AA27" s="235"/>
      <c r="AB27" s="235"/>
      <c r="AC27" s="235"/>
      <c r="AD27" s="235"/>
      <c r="AE27" s="235"/>
      <c r="AF27" s="235"/>
      <c r="AG27" s="235"/>
      <c r="AH27" s="241"/>
      <c r="AI27" s="242"/>
      <c r="AJ27" s="242"/>
      <c r="AK27" s="242"/>
      <c r="AL27" s="243"/>
      <c r="AM27" s="183"/>
      <c r="AN27" s="184"/>
      <c r="AO27" s="185"/>
      <c r="AP27" s="188"/>
      <c r="AQ27" s="189"/>
      <c r="AR27" s="188"/>
      <c r="AS27" s="189"/>
      <c r="AT27" s="188"/>
      <c r="AU27" s="189"/>
      <c r="AV27" s="188"/>
      <c r="AW27" s="189"/>
      <c r="AX27" s="8"/>
      <c r="AY27" s="97"/>
    </row>
    <row r="28" spans="2:51" ht="12.95" customHeight="1" x14ac:dyDescent="0.2">
      <c r="B28" s="137" t="str">
        <f>IF(Q28="","",1)</f>
        <v/>
      </c>
      <c r="C28" s="38" t="str">
        <f>LISTAS!$D$26</f>
        <v/>
      </c>
      <c r="D28" s="261"/>
      <c r="E28" s="262"/>
      <c r="F28" s="262"/>
      <c r="G28" s="262"/>
      <c r="H28" s="262"/>
      <c r="I28" s="262"/>
      <c r="J28" s="262"/>
      <c r="K28" s="262"/>
      <c r="L28" s="263"/>
      <c r="M28" s="196"/>
      <c r="N28" s="197"/>
      <c r="O28" s="197"/>
      <c r="P28" s="198"/>
      <c r="Q28" s="232" t="str">
        <f>IF(M28="","",IFERROR(VLOOKUP(VALUE(M28),LISTAS!BA:BB,2,FALSE),"CODIGO MODULAR NO ENCONTRADO EN LA REGION"))</f>
        <v/>
      </c>
      <c r="R28" s="233"/>
      <c r="S28" s="233"/>
      <c r="T28" s="233"/>
      <c r="U28" s="233"/>
      <c r="V28" s="233"/>
      <c r="W28" s="233"/>
      <c r="X28" s="233"/>
      <c r="Y28" s="233"/>
      <c r="Z28" s="233"/>
      <c r="AA28" s="233"/>
      <c r="AB28" s="233"/>
      <c r="AC28" s="233"/>
      <c r="AD28" s="233"/>
      <c r="AE28" s="233"/>
      <c r="AF28" s="233"/>
      <c r="AG28" s="233"/>
      <c r="AH28" s="173"/>
      <c r="AI28" s="174"/>
      <c r="AJ28" s="174"/>
      <c r="AK28" s="175"/>
      <c r="AL28" s="176"/>
      <c r="AM28" s="180"/>
      <c r="AN28" s="181"/>
      <c r="AO28" s="182"/>
      <c r="AP28" s="186"/>
      <c r="AQ28" s="187"/>
      <c r="AR28" s="186"/>
      <c r="AS28" s="187"/>
      <c r="AT28" s="186"/>
      <c r="AU28" s="187"/>
      <c r="AV28" s="186"/>
      <c r="AW28" s="187"/>
      <c r="AX28" s="8"/>
      <c r="AY28" s="97"/>
    </row>
    <row r="29" spans="2:51" ht="12.95" customHeight="1" x14ac:dyDescent="0.2">
      <c r="B29" s="137"/>
      <c r="C29" s="38"/>
      <c r="D29" s="264"/>
      <c r="E29" s="262"/>
      <c r="F29" s="262"/>
      <c r="G29" s="262"/>
      <c r="H29" s="262"/>
      <c r="I29" s="262"/>
      <c r="J29" s="262"/>
      <c r="K29" s="262"/>
      <c r="L29" s="263"/>
      <c r="M29" s="199"/>
      <c r="N29" s="200"/>
      <c r="O29" s="200"/>
      <c r="P29" s="201"/>
      <c r="Q29" s="234"/>
      <c r="R29" s="235"/>
      <c r="S29" s="235"/>
      <c r="T29" s="235"/>
      <c r="U29" s="235"/>
      <c r="V29" s="235"/>
      <c r="W29" s="235"/>
      <c r="X29" s="235"/>
      <c r="Y29" s="235"/>
      <c r="Z29" s="235"/>
      <c r="AA29" s="235"/>
      <c r="AB29" s="235"/>
      <c r="AC29" s="235"/>
      <c r="AD29" s="235"/>
      <c r="AE29" s="235"/>
      <c r="AF29" s="235"/>
      <c r="AG29" s="235"/>
      <c r="AH29" s="177"/>
      <c r="AI29" s="178"/>
      <c r="AJ29" s="178"/>
      <c r="AK29" s="178"/>
      <c r="AL29" s="179"/>
      <c r="AM29" s="183"/>
      <c r="AN29" s="184"/>
      <c r="AO29" s="185"/>
      <c r="AP29" s="188"/>
      <c r="AQ29" s="189"/>
      <c r="AR29" s="188"/>
      <c r="AS29" s="189"/>
      <c r="AT29" s="188"/>
      <c r="AU29" s="189"/>
      <c r="AV29" s="188"/>
      <c r="AW29" s="189"/>
      <c r="AX29" s="8"/>
      <c r="AY29" s="97"/>
    </row>
    <row r="30" spans="2:51" ht="12.95" customHeight="1" x14ac:dyDescent="0.2">
      <c r="B30" s="137" t="str">
        <f>IF(Q30="","",1)</f>
        <v/>
      </c>
      <c r="C30" s="38" t="str">
        <f>LISTAS!$D$26</f>
        <v/>
      </c>
      <c r="D30" s="261"/>
      <c r="E30" s="262"/>
      <c r="F30" s="262"/>
      <c r="G30" s="262"/>
      <c r="H30" s="262"/>
      <c r="I30" s="262"/>
      <c r="J30" s="262"/>
      <c r="K30" s="262"/>
      <c r="L30" s="263"/>
      <c r="M30" s="196"/>
      <c r="N30" s="197"/>
      <c r="O30" s="197"/>
      <c r="P30" s="198"/>
      <c r="Q30" s="232" t="str">
        <f>IF(M30="","",IFERROR(VLOOKUP(VALUE(M30),LISTAS!BA:BB,2,FALSE),"CODIGO MODULAR NO ENCONTRADO EN LA REGION"))</f>
        <v/>
      </c>
      <c r="R30" s="233"/>
      <c r="S30" s="233"/>
      <c r="T30" s="233"/>
      <c r="U30" s="233"/>
      <c r="V30" s="233"/>
      <c r="W30" s="233"/>
      <c r="X30" s="233"/>
      <c r="Y30" s="233"/>
      <c r="Z30" s="233"/>
      <c r="AA30" s="233"/>
      <c r="AB30" s="233"/>
      <c r="AC30" s="233"/>
      <c r="AD30" s="233"/>
      <c r="AE30" s="233"/>
      <c r="AF30" s="233"/>
      <c r="AG30" s="233"/>
      <c r="AH30" s="173"/>
      <c r="AI30" s="174"/>
      <c r="AJ30" s="174"/>
      <c r="AK30" s="175"/>
      <c r="AL30" s="176"/>
      <c r="AM30" s="180"/>
      <c r="AN30" s="181"/>
      <c r="AO30" s="182"/>
      <c r="AP30" s="186"/>
      <c r="AQ30" s="187"/>
      <c r="AR30" s="186"/>
      <c r="AS30" s="187"/>
      <c r="AT30" s="186"/>
      <c r="AU30" s="187"/>
      <c r="AV30" s="186"/>
      <c r="AW30" s="187"/>
      <c r="AX30" s="8"/>
      <c r="AY30" s="97"/>
    </row>
    <row r="31" spans="2:51" ht="12.95" customHeight="1" x14ac:dyDescent="0.2">
      <c r="B31" s="137"/>
      <c r="C31" s="38"/>
      <c r="D31" s="264"/>
      <c r="E31" s="262"/>
      <c r="F31" s="262"/>
      <c r="G31" s="262"/>
      <c r="H31" s="262"/>
      <c r="I31" s="262"/>
      <c r="J31" s="262"/>
      <c r="K31" s="262"/>
      <c r="L31" s="263"/>
      <c r="M31" s="199"/>
      <c r="N31" s="200"/>
      <c r="O31" s="200"/>
      <c r="P31" s="201"/>
      <c r="Q31" s="234"/>
      <c r="R31" s="235"/>
      <c r="S31" s="235"/>
      <c r="T31" s="235"/>
      <c r="U31" s="235"/>
      <c r="V31" s="235"/>
      <c r="W31" s="235"/>
      <c r="X31" s="235"/>
      <c r="Y31" s="235"/>
      <c r="Z31" s="235"/>
      <c r="AA31" s="235"/>
      <c r="AB31" s="235"/>
      <c r="AC31" s="235"/>
      <c r="AD31" s="235"/>
      <c r="AE31" s="235"/>
      <c r="AF31" s="235"/>
      <c r="AG31" s="235"/>
      <c r="AH31" s="177"/>
      <c r="AI31" s="178"/>
      <c r="AJ31" s="178"/>
      <c r="AK31" s="178"/>
      <c r="AL31" s="179"/>
      <c r="AM31" s="183"/>
      <c r="AN31" s="184"/>
      <c r="AO31" s="185"/>
      <c r="AP31" s="188"/>
      <c r="AQ31" s="189"/>
      <c r="AR31" s="188"/>
      <c r="AS31" s="189"/>
      <c r="AT31" s="188"/>
      <c r="AU31" s="189"/>
      <c r="AV31" s="188"/>
      <c r="AW31" s="189"/>
      <c r="AX31" s="8"/>
      <c r="AY31" s="97"/>
    </row>
    <row r="32" spans="2:51" ht="8.1" customHeight="1" x14ac:dyDescent="0.2">
      <c r="B32" s="137"/>
      <c r="C32" s="3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97"/>
    </row>
    <row r="33" spans="2:51" ht="12" customHeight="1" x14ac:dyDescent="0.2">
      <c r="B33" s="137"/>
      <c r="C33" s="3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97"/>
    </row>
    <row r="34" spans="2:51" ht="15.95" customHeight="1" x14ac:dyDescent="0.2">
      <c r="B34" s="137"/>
      <c r="C34" s="138" t="s">
        <v>4133</v>
      </c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97"/>
    </row>
    <row r="35" spans="2:51" ht="8.1" customHeight="1" x14ac:dyDescent="0.2">
      <c r="B35" s="137"/>
      <c r="C35" s="3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97"/>
    </row>
    <row r="36" spans="2:51" ht="15" customHeight="1" x14ac:dyDescent="0.2">
      <c r="B36" s="137"/>
      <c r="C36" s="38"/>
      <c r="D36" s="257" t="s">
        <v>3698</v>
      </c>
      <c r="E36" s="258"/>
      <c r="F36" s="258"/>
      <c r="G36" s="258"/>
      <c r="H36" s="258"/>
      <c r="I36" s="258"/>
      <c r="J36" s="258"/>
      <c r="K36" s="258"/>
      <c r="L36" s="258"/>
      <c r="M36" s="251" t="s">
        <v>4395</v>
      </c>
      <c r="N36" s="252"/>
      <c r="O36" s="252"/>
      <c r="P36" s="253"/>
      <c r="Q36" s="190" t="s">
        <v>4396</v>
      </c>
      <c r="R36" s="191"/>
      <c r="S36" s="191"/>
      <c r="T36" s="191"/>
      <c r="U36" s="191"/>
      <c r="V36" s="191"/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2"/>
      <c r="AH36" s="207" t="s">
        <v>3693</v>
      </c>
      <c r="AI36" s="208"/>
      <c r="AJ36" s="208"/>
      <c r="AK36" s="209"/>
      <c r="AL36" s="210"/>
      <c r="AM36" s="207" t="s">
        <v>4129</v>
      </c>
      <c r="AN36" s="209"/>
      <c r="AO36" s="210"/>
      <c r="AP36" s="214" t="s">
        <v>1778</v>
      </c>
      <c r="AQ36" s="215"/>
      <c r="AR36" s="215"/>
      <c r="AS36" s="216"/>
      <c r="AT36" s="214" t="s">
        <v>1779</v>
      </c>
      <c r="AU36" s="215"/>
      <c r="AV36" s="215"/>
      <c r="AW36" s="216"/>
      <c r="AX36" s="8"/>
      <c r="AY36" s="97"/>
    </row>
    <row r="37" spans="2:51" ht="15" customHeight="1" x14ac:dyDescent="0.2">
      <c r="B37" s="137"/>
      <c r="C37" s="38"/>
      <c r="D37" s="259"/>
      <c r="E37" s="260"/>
      <c r="F37" s="260"/>
      <c r="G37" s="260"/>
      <c r="H37" s="260"/>
      <c r="I37" s="260"/>
      <c r="J37" s="260"/>
      <c r="K37" s="260"/>
      <c r="L37" s="260"/>
      <c r="M37" s="254"/>
      <c r="N37" s="255"/>
      <c r="O37" s="255"/>
      <c r="P37" s="256"/>
      <c r="Q37" s="193"/>
      <c r="R37" s="194"/>
      <c r="S37" s="194"/>
      <c r="T37" s="194"/>
      <c r="U37" s="194"/>
      <c r="V37" s="194"/>
      <c r="W37" s="194"/>
      <c r="X37" s="194"/>
      <c r="Y37" s="194"/>
      <c r="Z37" s="194"/>
      <c r="AA37" s="194"/>
      <c r="AB37" s="194"/>
      <c r="AC37" s="194"/>
      <c r="AD37" s="194"/>
      <c r="AE37" s="194"/>
      <c r="AF37" s="194"/>
      <c r="AG37" s="195"/>
      <c r="AH37" s="211"/>
      <c r="AI37" s="212"/>
      <c r="AJ37" s="212"/>
      <c r="AK37" s="212"/>
      <c r="AL37" s="213"/>
      <c r="AM37" s="211"/>
      <c r="AN37" s="212"/>
      <c r="AO37" s="213"/>
      <c r="AP37" s="217" t="s">
        <v>1780</v>
      </c>
      <c r="AQ37" s="216"/>
      <c r="AR37" s="214" t="s">
        <v>1781</v>
      </c>
      <c r="AS37" s="216"/>
      <c r="AT37" s="214" t="s">
        <v>1780</v>
      </c>
      <c r="AU37" s="216"/>
      <c r="AV37" s="214" t="s">
        <v>1781</v>
      </c>
      <c r="AW37" s="216"/>
      <c r="AX37" s="8"/>
      <c r="AY37" s="97"/>
    </row>
    <row r="38" spans="2:51" ht="12.95" customHeight="1" x14ac:dyDescent="0.2">
      <c r="B38" s="137" t="str">
        <f>IF(Q38="","",1)</f>
        <v/>
      </c>
      <c r="C38" s="38" t="str">
        <f>LISTAS!$D$26</f>
        <v/>
      </c>
      <c r="D38" s="261"/>
      <c r="E38" s="262"/>
      <c r="F38" s="262"/>
      <c r="G38" s="262"/>
      <c r="H38" s="262"/>
      <c r="I38" s="262"/>
      <c r="J38" s="262"/>
      <c r="K38" s="262"/>
      <c r="L38" s="263"/>
      <c r="M38" s="196"/>
      <c r="N38" s="197"/>
      <c r="O38" s="197"/>
      <c r="P38" s="198"/>
      <c r="Q38" s="169"/>
      <c r="R38" s="170"/>
      <c r="S38" s="170"/>
      <c r="T38" s="170"/>
      <c r="U38" s="170"/>
      <c r="V38" s="170"/>
      <c r="W38" s="170"/>
      <c r="X38" s="170"/>
      <c r="Y38" s="170"/>
      <c r="Z38" s="170"/>
      <c r="AA38" s="170"/>
      <c r="AB38" s="170"/>
      <c r="AC38" s="170"/>
      <c r="AD38" s="170"/>
      <c r="AE38" s="170"/>
      <c r="AF38" s="170"/>
      <c r="AG38" s="170"/>
      <c r="AH38" s="173"/>
      <c r="AI38" s="174"/>
      <c r="AJ38" s="174"/>
      <c r="AK38" s="175"/>
      <c r="AL38" s="176"/>
      <c r="AM38" s="180"/>
      <c r="AN38" s="181"/>
      <c r="AO38" s="182"/>
      <c r="AP38" s="186"/>
      <c r="AQ38" s="187"/>
      <c r="AR38" s="186"/>
      <c r="AS38" s="187"/>
      <c r="AT38" s="186"/>
      <c r="AU38" s="187"/>
      <c r="AV38" s="186"/>
      <c r="AW38" s="187"/>
      <c r="AX38" s="8"/>
      <c r="AY38" s="97"/>
    </row>
    <row r="39" spans="2:51" ht="12.95" customHeight="1" x14ac:dyDescent="0.2">
      <c r="B39" s="137"/>
      <c r="C39" s="38"/>
      <c r="D39" s="264"/>
      <c r="E39" s="262"/>
      <c r="F39" s="262"/>
      <c r="G39" s="262"/>
      <c r="H39" s="262"/>
      <c r="I39" s="262"/>
      <c r="J39" s="262"/>
      <c r="K39" s="262"/>
      <c r="L39" s="263"/>
      <c r="M39" s="199"/>
      <c r="N39" s="200"/>
      <c r="O39" s="200"/>
      <c r="P39" s="201"/>
      <c r="Q39" s="171"/>
      <c r="R39" s="172"/>
      <c r="S39" s="172"/>
      <c r="T39" s="172"/>
      <c r="U39" s="172"/>
      <c r="V39" s="172"/>
      <c r="W39" s="172"/>
      <c r="X39" s="172"/>
      <c r="Y39" s="172"/>
      <c r="Z39" s="172"/>
      <c r="AA39" s="172"/>
      <c r="AB39" s="172"/>
      <c r="AC39" s="172"/>
      <c r="AD39" s="172"/>
      <c r="AE39" s="172"/>
      <c r="AF39" s="172"/>
      <c r="AG39" s="172"/>
      <c r="AH39" s="177"/>
      <c r="AI39" s="178"/>
      <c r="AJ39" s="178"/>
      <c r="AK39" s="178"/>
      <c r="AL39" s="179"/>
      <c r="AM39" s="183"/>
      <c r="AN39" s="184"/>
      <c r="AO39" s="185"/>
      <c r="AP39" s="188"/>
      <c r="AQ39" s="189"/>
      <c r="AR39" s="188"/>
      <c r="AS39" s="189"/>
      <c r="AT39" s="188"/>
      <c r="AU39" s="189"/>
      <c r="AV39" s="188"/>
      <c r="AW39" s="189"/>
      <c r="AX39" s="8"/>
      <c r="AY39" s="97"/>
    </row>
    <row r="40" spans="2:51" ht="12.95" customHeight="1" x14ac:dyDescent="0.2">
      <c r="B40" s="137" t="str">
        <f>IF(Q40="","",1)</f>
        <v/>
      </c>
      <c r="C40" s="38" t="str">
        <f>LISTAS!$D$26</f>
        <v/>
      </c>
      <c r="D40" s="261"/>
      <c r="E40" s="262"/>
      <c r="F40" s="262"/>
      <c r="G40" s="262"/>
      <c r="H40" s="262"/>
      <c r="I40" s="262"/>
      <c r="J40" s="262"/>
      <c r="K40" s="262"/>
      <c r="L40" s="263"/>
      <c r="M40" s="196"/>
      <c r="N40" s="197"/>
      <c r="O40" s="197"/>
      <c r="P40" s="198"/>
      <c r="Q40" s="169"/>
      <c r="R40" s="170"/>
      <c r="S40" s="170"/>
      <c r="T40" s="170"/>
      <c r="U40" s="170"/>
      <c r="V40" s="170"/>
      <c r="W40" s="170"/>
      <c r="X40" s="170"/>
      <c r="Y40" s="170"/>
      <c r="Z40" s="170"/>
      <c r="AA40" s="170"/>
      <c r="AB40" s="170"/>
      <c r="AC40" s="170"/>
      <c r="AD40" s="170"/>
      <c r="AE40" s="170"/>
      <c r="AF40" s="170"/>
      <c r="AG40" s="170"/>
      <c r="AH40" s="173"/>
      <c r="AI40" s="174"/>
      <c r="AJ40" s="174"/>
      <c r="AK40" s="175"/>
      <c r="AL40" s="176"/>
      <c r="AM40" s="180"/>
      <c r="AN40" s="181"/>
      <c r="AO40" s="182"/>
      <c r="AP40" s="186"/>
      <c r="AQ40" s="187"/>
      <c r="AR40" s="186"/>
      <c r="AS40" s="187"/>
      <c r="AT40" s="186"/>
      <c r="AU40" s="187"/>
      <c r="AV40" s="186"/>
      <c r="AW40" s="187"/>
      <c r="AX40" s="8"/>
      <c r="AY40" s="97"/>
    </row>
    <row r="41" spans="2:51" ht="12.95" customHeight="1" x14ac:dyDescent="0.2">
      <c r="B41" s="137"/>
      <c r="C41" s="38"/>
      <c r="D41" s="264"/>
      <c r="E41" s="262"/>
      <c r="F41" s="262"/>
      <c r="G41" s="262"/>
      <c r="H41" s="262"/>
      <c r="I41" s="262"/>
      <c r="J41" s="262"/>
      <c r="K41" s="262"/>
      <c r="L41" s="263"/>
      <c r="M41" s="199"/>
      <c r="N41" s="200"/>
      <c r="O41" s="200"/>
      <c r="P41" s="201"/>
      <c r="Q41" s="171"/>
      <c r="R41" s="172"/>
      <c r="S41" s="172"/>
      <c r="T41" s="172"/>
      <c r="U41" s="172"/>
      <c r="V41" s="172"/>
      <c r="W41" s="172"/>
      <c r="X41" s="172"/>
      <c r="Y41" s="172"/>
      <c r="Z41" s="172"/>
      <c r="AA41" s="172"/>
      <c r="AB41" s="172"/>
      <c r="AC41" s="172"/>
      <c r="AD41" s="172"/>
      <c r="AE41" s="172"/>
      <c r="AF41" s="172"/>
      <c r="AG41" s="172"/>
      <c r="AH41" s="177"/>
      <c r="AI41" s="178"/>
      <c r="AJ41" s="178"/>
      <c r="AK41" s="178"/>
      <c r="AL41" s="179"/>
      <c r="AM41" s="183"/>
      <c r="AN41" s="184"/>
      <c r="AO41" s="185"/>
      <c r="AP41" s="188"/>
      <c r="AQ41" s="189"/>
      <c r="AR41" s="188"/>
      <c r="AS41" s="189"/>
      <c r="AT41" s="188"/>
      <c r="AU41" s="189"/>
      <c r="AV41" s="188"/>
      <c r="AW41" s="189"/>
      <c r="AX41" s="8"/>
      <c r="AY41" s="97"/>
    </row>
    <row r="42" spans="2:51" ht="8.1" customHeight="1" x14ac:dyDescent="0.2">
      <c r="B42" s="96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97"/>
    </row>
    <row r="43" spans="2:51" ht="15.95" customHeight="1" x14ac:dyDescent="0.2">
      <c r="B43" s="96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97"/>
    </row>
    <row r="44" spans="2:51" ht="8.1" customHeight="1" x14ac:dyDescent="0.2">
      <c r="B44" s="96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97"/>
    </row>
    <row r="45" spans="2:51" ht="15.95" customHeight="1" x14ac:dyDescent="0.2">
      <c r="B45" s="96"/>
      <c r="C45" s="8"/>
      <c r="D45" s="17" t="str">
        <f>IF(OR($D$13="",$T$18="",$AA$18="",COUNTIF($M$26:$P$41,"")=5),"Debe de llenar los campos solicitados para pasar a la siguiente fase.","Todos los datos deben ser llenados y selecionados correctamente. No podrá volver a esta sección.")</f>
        <v>Debe de llenar los campos solicitados para pasar a la siguiente fase.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265" t="str">
        <f>IF(LISTAS!D28=TRUE,"Siguiente","")</f>
        <v/>
      </c>
      <c r="AQ45" s="266"/>
      <c r="AR45" s="266"/>
      <c r="AS45" s="266"/>
      <c r="AT45" s="266"/>
      <c r="AU45" s="266"/>
      <c r="AV45" s="266"/>
      <c r="AW45" s="267"/>
      <c r="AX45" s="8"/>
      <c r="AY45" s="97"/>
    </row>
    <row r="46" spans="2:51" ht="8.1" customHeight="1" x14ac:dyDescent="0.2">
      <c r="B46" s="96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268"/>
      <c r="AQ46" s="269"/>
      <c r="AR46" s="269"/>
      <c r="AS46" s="269"/>
      <c r="AT46" s="269"/>
      <c r="AU46" s="269"/>
      <c r="AV46" s="269"/>
      <c r="AW46" s="270"/>
      <c r="AX46" s="8"/>
      <c r="AY46" s="97"/>
    </row>
    <row r="47" spans="2:51" ht="9.9499999999999993" customHeight="1" x14ac:dyDescent="0.2">
      <c r="B47" s="96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97"/>
    </row>
    <row r="48" spans="2:51" ht="12" customHeight="1" x14ac:dyDescent="0.2">
      <c r="B48" s="96"/>
      <c r="C48" s="139" t="s">
        <v>4176</v>
      </c>
      <c r="D48" s="139"/>
      <c r="E48" s="139" t="s">
        <v>4177</v>
      </c>
      <c r="F48" s="139"/>
      <c r="G48" s="139" t="s">
        <v>4126</v>
      </c>
      <c r="H48" s="139"/>
      <c r="I48" s="139" t="s">
        <v>4178</v>
      </c>
      <c r="J48" s="139"/>
      <c r="K48" s="139" t="s">
        <v>4179</v>
      </c>
      <c r="L48" s="139"/>
      <c r="M48" s="139" t="s">
        <v>4180</v>
      </c>
      <c r="N48" s="139"/>
      <c r="O48" s="139" t="s">
        <v>4181</v>
      </c>
      <c r="P48" s="139"/>
      <c r="Q48" s="139" t="s">
        <v>4182</v>
      </c>
      <c r="R48" s="139"/>
      <c r="S48" s="139" t="s">
        <v>4183</v>
      </c>
      <c r="T48" s="139"/>
      <c r="U48" s="139" t="s">
        <v>4184</v>
      </c>
      <c r="V48" s="139"/>
      <c r="W48" s="139" t="s">
        <v>4185</v>
      </c>
      <c r="X48" s="139"/>
      <c r="Y48" s="139" t="s">
        <v>4186</v>
      </c>
      <c r="Z48" s="139"/>
      <c r="AA48" s="139" t="s">
        <v>1780</v>
      </c>
      <c r="AB48" s="139"/>
      <c r="AC48" s="139" t="s">
        <v>4187</v>
      </c>
      <c r="AD48" s="139"/>
      <c r="AE48" s="139" t="s">
        <v>1781</v>
      </c>
      <c r="AF48" s="139"/>
      <c r="AG48" s="139" t="s">
        <v>4188</v>
      </c>
      <c r="AH48" s="139"/>
      <c r="AI48" s="139" t="s">
        <v>4189</v>
      </c>
      <c r="AJ48" s="139"/>
      <c r="AK48" s="139" t="s">
        <v>4190</v>
      </c>
      <c r="AL48" s="139"/>
      <c r="AM48" s="139" t="s">
        <v>4191</v>
      </c>
      <c r="AN48" s="139"/>
      <c r="AO48" s="139" t="s">
        <v>4192</v>
      </c>
      <c r="AP48" s="139"/>
      <c r="AQ48" s="139" t="s">
        <v>4176</v>
      </c>
      <c r="AR48" s="139"/>
      <c r="AS48" s="139" t="s">
        <v>4177</v>
      </c>
      <c r="AT48" s="139"/>
      <c r="AU48" s="139" t="s">
        <v>4126</v>
      </c>
      <c r="AV48" s="139"/>
      <c r="AW48" s="139" t="s">
        <v>4178</v>
      </c>
      <c r="AX48" s="139"/>
      <c r="AY48" s="97"/>
    </row>
    <row r="49" spans="2:51" ht="12" customHeight="1" x14ac:dyDescent="0.2">
      <c r="B49" s="96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  <c r="AC49" s="139"/>
      <c r="AD49" s="139"/>
      <c r="AE49" s="139"/>
      <c r="AF49" s="139"/>
      <c r="AG49" s="139"/>
      <c r="AH49" s="139"/>
      <c r="AI49" s="139"/>
      <c r="AJ49" s="139"/>
      <c r="AK49" s="139"/>
      <c r="AL49" s="139"/>
      <c r="AM49" s="139"/>
      <c r="AN49" s="139"/>
      <c r="AO49" s="139"/>
      <c r="AP49" s="139"/>
      <c r="AQ49" s="139"/>
      <c r="AR49" s="139"/>
      <c r="AS49" s="139"/>
      <c r="AT49" s="139"/>
      <c r="AU49" s="139"/>
      <c r="AV49" s="139"/>
      <c r="AW49" s="139"/>
      <c r="AX49" s="139"/>
      <c r="AY49" s="97"/>
    </row>
    <row r="50" spans="2:51" ht="12" customHeight="1" x14ac:dyDescent="0.2">
      <c r="B50" s="96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97"/>
    </row>
    <row r="51" spans="2:51" ht="12" customHeight="1" x14ac:dyDescent="0.2">
      <c r="B51" s="98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51" s="99"/>
      <c r="D51" s="100"/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  <c r="AB51" s="100"/>
      <c r="AC51" s="100"/>
      <c r="AD51" s="100"/>
      <c r="AE51" s="100"/>
      <c r="AF51" s="100"/>
      <c r="AG51" s="100"/>
      <c r="AH51" s="100"/>
      <c r="AI51" s="100"/>
      <c r="AJ51" s="100"/>
      <c r="AK51" s="100"/>
      <c r="AL51" s="101"/>
      <c r="AM51" s="100"/>
      <c r="AN51" s="100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2" t="str">
        <f ca="1">IF('MOD1'!$AY$49="","",'MOD1'!$AY$49)</f>
        <v>*Equipo de Gestión de la Información - EBR - Ministerio de Educación</v>
      </c>
    </row>
  </sheetData>
  <sheetProtection algorithmName="SHA-512" hashValue="fOPqya4bDd5mR36FaVaAy+PKOBhL7wt79SU5UwKslFw3+gSxmLIDHog+maEsQp5aJ1jlaZYdJ5H6pLJHeE4yOg==" saltValue="eJj8cQra5r+n5QTYsaenng==" spinCount="100000" sheet="1" objects="1" scenarios="1"/>
  <mergeCells count="102">
    <mergeCell ref="D40:L41"/>
    <mergeCell ref="M40:P41"/>
    <mergeCell ref="AA48:AB49"/>
    <mergeCell ref="AC48:AD49"/>
    <mergeCell ref="AE48:AF49"/>
    <mergeCell ref="AG48:AH49"/>
    <mergeCell ref="AW48:AX49"/>
    <mergeCell ref="AK48:AL49"/>
    <mergeCell ref="AM48:AN49"/>
    <mergeCell ref="AO48:AP49"/>
    <mergeCell ref="AQ48:AR49"/>
    <mergeCell ref="AS48:AT49"/>
    <mergeCell ref="AU48:AV49"/>
    <mergeCell ref="AI48:AJ49"/>
    <mergeCell ref="W48:X49"/>
    <mergeCell ref="Y48:Z49"/>
    <mergeCell ref="M48:N49"/>
    <mergeCell ref="O48:P49"/>
    <mergeCell ref="Q48:R49"/>
    <mergeCell ref="S48:T49"/>
    <mergeCell ref="C48:D49"/>
    <mergeCell ref="E48:F49"/>
    <mergeCell ref="G48:H49"/>
    <mergeCell ref="I48:J49"/>
    <mergeCell ref="K48:L49"/>
    <mergeCell ref="U48:V49"/>
    <mergeCell ref="AP45:AW46"/>
    <mergeCell ref="AV28:AW29"/>
    <mergeCell ref="AM24:AO25"/>
    <mergeCell ref="AP24:AS24"/>
    <mergeCell ref="Q24:AG25"/>
    <mergeCell ref="AT24:AW24"/>
    <mergeCell ref="Q26:AG27"/>
    <mergeCell ref="AM26:AO27"/>
    <mergeCell ref="AP26:AQ27"/>
    <mergeCell ref="AR26:AS27"/>
    <mergeCell ref="AT26:AU27"/>
    <mergeCell ref="AV26:AW27"/>
    <mergeCell ref="AV25:AW25"/>
    <mergeCell ref="AT25:AU25"/>
    <mergeCell ref="AR25:AS25"/>
    <mergeCell ref="AP25:AQ25"/>
    <mergeCell ref="D38:L39"/>
    <mergeCell ref="M38:P39"/>
    <mergeCell ref="Q38:AG39"/>
    <mergeCell ref="D30:L31"/>
    <mergeCell ref="D36:L37"/>
    <mergeCell ref="M36:P37"/>
    <mergeCell ref="T9:AW9"/>
    <mergeCell ref="AJ13:AW14"/>
    <mergeCell ref="T13:AH14"/>
    <mergeCell ref="T18:Y19"/>
    <mergeCell ref="Q30:AG31"/>
    <mergeCell ref="AM30:AO31"/>
    <mergeCell ref="AP30:AQ31"/>
    <mergeCell ref="AR30:AS31"/>
    <mergeCell ref="AT30:AU31"/>
    <mergeCell ref="D13:R14"/>
    <mergeCell ref="AH26:AL27"/>
    <mergeCell ref="AH28:AL29"/>
    <mergeCell ref="AH30:AL31"/>
    <mergeCell ref="Q28:AG29"/>
    <mergeCell ref="M26:P27"/>
    <mergeCell ref="M28:P29"/>
    <mergeCell ref="L18:R19"/>
    <mergeCell ref="D18:J19"/>
    <mergeCell ref="D16:J17"/>
    <mergeCell ref="L16:R17"/>
    <mergeCell ref="M24:P25"/>
    <mergeCell ref="D24:L25"/>
    <mergeCell ref="D26:L27"/>
    <mergeCell ref="D28:L29"/>
    <mergeCell ref="Q36:AG37"/>
    <mergeCell ref="M30:P31"/>
    <mergeCell ref="AA18:AW19"/>
    <mergeCell ref="AV30:AW31"/>
    <mergeCell ref="AH24:AL25"/>
    <mergeCell ref="AM28:AO29"/>
    <mergeCell ref="AP28:AQ29"/>
    <mergeCell ref="AR28:AS29"/>
    <mergeCell ref="AT28:AU29"/>
    <mergeCell ref="AH36:AL37"/>
    <mergeCell ref="AM36:AO37"/>
    <mergeCell ref="AP36:AS36"/>
    <mergeCell ref="AT36:AW36"/>
    <mergeCell ref="AP37:AQ37"/>
    <mergeCell ref="AR37:AS37"/>
    <mergeCell ref="AT37:AU37"/>
    <mergeCell ref="AV37:AW37"/>
    <mergeCell ref="Q40:AG41"/>
    <mergeCell ref="AH40:AL41"/>
    <mergeCell ref="AM40:AO41"/>
    <mergeCell ref="AP40:AQ41"/>
    <mergeCell ref="AR40:AS41"/>
    <mergeCell ref="AT40:AU41"/>
    <mergeCell ref="AV40:AW41"/>
    <mergeCell ref="AH38:AL39"/>
    <mergeCell ref="AM38:AO39"/>
    <mergeCell ref="AP38:AQ39"/>
    <mergeCell ref="AR38:AS39"/>
    <mergeCell ref="AT38:AU39"/>
    <mergeCell ref="AV38:AW39"/>
  </mergeCells>
  <conditionalFormatting sqref="AP45:AW46">
    <cfRule type="expression" dxfId="213" priority="21">
      <formula>$AP$45=""</formula>
    </cfRule>
  </conditionalFormatting>
  <conditionalFormatting sqref="C48:AX49">
    <cfRule type="expression" dxfId="212" priority="14">
      <formula>IF(CODE(C48)=38,1,0)</formula>
    </cfRule>
    <cfRule type="expression" dxfId="211" priority="15">
      <formula>IF(CODE(C48)=37,1,0)</formula>
    </cfRule>
    <cfRule type="expression" dxfId="210" priority="16">
      <formula>IF(OR(CODE(C48)=143,CODE(C48)=167,CODE(C48)=168,CODE(C48)=254),1,0)</formula>
    </cfRule>
  </conditionalFormatting>
  <dataValidations xWindow="126" yWindow="294" count="16">
    <dataValidation type="whole" allowBlank="1" showInputMessage="1" showErrorMessage="1" errorTitle="Mensaje de validación" error="Solo se permite datos numéricos enteros._x000a__x000a_Intente de nuevo." promptTitle="Ingrese" prompt="Código modlar de la Institución Educativa" sqref="M26:P31 M38:P41">
      <formula1>1</formula1>
      <formula2>9999999</formula2>
    </dataValidation>
    <dataValidation type="list" allowBlank="1" showInputMessage="1" showErrorMessage="1" errorTitle="Mensaje de Validación" error="Solo se permite datos de la lista desplegable._x000a__x000a_Intente de nuevo." promptTitle="Seleccionar" prompt="La Institución Educativa se encuenta en una zona, Rural o Urbana?" sqref="AM26:AO31 AM38:AO41">
      <formula1>"Rural, Urbana"</formula1>
    </dataValidation>
    <dataValidation type="list" allowBlank="1" showInputMessage="1" showErrorMessage="1" errorTitle="Mensaje de Validación" error="Solo se permite datos de la lista desplegable._x000a__x000a_Intente de nuevo." promptTitle="Seleccionar" prompt="Modalidad Educativa de La Institución Educativa" sqref="AH26:AL31 AH38:AL41">
      <formula1>"Unidocente, Polidocente Completo, Polidocente Multigrado, No disponible, No aplica"</formula1>
    </dataValidation>
    <dataValidation type="list" allowBlank="1" showInputMessage="1" showErrorMessage="1" errorTitle="Mensaje de validación" error="Solo se permite datos de la lista desplegable._x000a__x000a_Intente de nuevo" promptTitle="Seleccionar" prompt="Tipo de dependencia, Público o Privado?" sqref="T18:Y19">
      <formula1>"Público, Privado"</formula1>
    </dataValidation>
    <dataValidation type="list" allowBlank="1" showInputMessage="1" showErrorMessage="1" errorTitle="Mensaje de validación" error="Solo se permite datos de la lista desplegable._x000a__x000a_Intente de nuevo" promptTitle="Seleccionar" prompt="Cuenta con Plan de Salud Escolar?" sqref="D18:J19">
      <formula1>"SI, NO"</formula1>
    </dataValidation>
    <dataValidation type="list" allowBlank="1" showInputMessage="1" showErrorMessage="1" errorTitle="Mensaje de validación" error="Solo se permite datos de la lista desplegable._x000a__x000a_Intente de nuevo" promptTitle="Seleccionar" prompt="La Institución Educativa es usuario de Qali Warma?" sqref="L18:R19">
      <formula1>"SI, NO"</formula1>
    </dataValidation>
    <dataValidation allowBlank="1" showInputMessage="1" showErrorMessage="1" promptTitle="Ingrese" prompt="Apellidos del coordinador del comité ambiental" sqref="T13:AH14"/>
    <dataValidation allowBlank="1" showInputMessage="1" showErrorMessage="1" promptTitle="Ingrese" prompt="Nombres del coordinador del comité ambiental" sqref="AJ13:AW14"/>
    <dataValidation allowBlank="1" showInputMessage="1" showErrorMessage="1" promptTitle="Ingrese" prompt="Dirección de la Institución Educativa" sqref="AA18:AW19"/>
    <dataValidation allowBlank="1" showInputMessage="1" showErrorMessage="1" promptTitle="Información automática" prompt="Cargo y nombre de quien registra la evaluación de la educación ambiental en la gestión escolar." sqref="T9:AW9"/>
    <dataValidation allowBlank="1" showInputMessage="1" showErrorMessage="1" promptTitle="Información automática" prompt="Nombre de la Institución Educativa que brinda el ESCALE del Ministerio de Educación." sqref="Q38:AG41 Q26:AG31"/>
    <dataValidation type="whole" allowBlank="1" showInputMessage="1" showErrorMessage="1" errorTitle="Mensaje de validación" error="Solo se permite datos numéricos enteros._x000a__x000a_Intente de nuevo." promptTitle="Ingrese" prompt="Número de Estudiantes hombres" sqref="AP26:AQ31 AP38:AQ41">
      <formula1>0</formula1>
      <formula2>9999</formula2>
    </dataValidation>
    <dataValidation type="whole" allowBlank="1" showInputMessage="1" showErrorMessage="1" errorTitle="Mensaje de validación" error="Solo se permite datos numéricos enteros._x000a__x000a_Intente de nuevo." promptTitle="Ingrese" prompt="Número de Estudiantes mujeres" sqref="AR26:AS31 AR38:AS41">
      <formula1>0</formula1>
      <formula2>9999</formula2>
    </dataValidation>
    <dataValidation type="whole" allowBlank="1" showInputMessage="1" showErrorMessage="1" errorTitle="Mensaje de validación" error="Solo se permite datos numéricos enteros._x000a__x000a_Intente de nuevo." promptTitle="Ingrese" prompt="Número de Docentes hombres" sqref="AT26:AU31 AT38:AU41">
      <formula1>0</formula1>
      <formula2>9999</formula2>
    </dataValidation>
    <dataValidation type="whole" allowBlank="1" showInputMessage="1" showErrorMessage="1" errorTitle="Mensaje de validación" error="Solo se permite datos numéricos enteros._x000a__x000a_Intente de nuevo." promptTitle="Ingrese" prompt="Número de Docentes mujeres" sqref="AV26:AW31 AV38:AW41">
      <formula1>0</formula1>
      <formula2>9999</formula2>
    </dataValidation>
    <dataValidation type="list" allowBlank="1" showInputMessage="1" showErrorMessage="1" errorTitle="Mensaje de validación" error="Solo se permite datos de la lista desplegable._x000a__x000a_Intente de nuevo" promptTitle="Seleccionar" prompt="Nivel educativo de Institución Educativa" sqref="D26:L31 D38:L41">
      <formula1>"Educacion Inicial, Educacion Primaria, Educacion Secundaria, Educacion Basica Alternativa, Educacion Basica Especial"</formula1>
    </dataValidation>
  </dataValidations>
  <hyperlinks>
    <hyperlink ref="D21" r:id="rId1" display="ABRAHAM_CARBALLIDO@HOTMAIL.COM"/>
    <hyperlink ref="D33" r:id="rId2" display="ABRAHAM_CARBALLIDO@HOTMAIL.COM"/>
  </hyperlinks>
  <printOptions horizontalCentered="1" verticalCentered="1"/>
  <pageMargins left="0" right="0" top="0.39370078740157483" bottom="0.39370078740157483" header="0.19685039370078741" footer="0.19685039370078741"/>
  <pageSetup paperSize="9" scale="96" orientation="landscape" r:id="rId3"/>
  <headerFooter>
    <oddHeader>&amp;L&amp;8&amp;F&amp;R&amp;8&amp;A</oddHeader>
    <oddFooter>&amp;L&amp;8Impreso el &amp;D, a horas: &amp;T&amp;R&amp;8Página: &amp;P de &amp;N</oddFooter>
  </headerFooter>
  <drawing r:id="rId4"/>
  <extLst>
    <ext xmlns:x14="http://schemas.microsoft.com/office/spreadsheetml/2009/9/main" uri="{CCE6A557-97BC-4b89-ADB6-D9C93CAAB3DF}">
      <x14:dataValidations xmlns:xm="http://schemas.microsoft.com/office/excel/2006/main" xWindow="126" yWindow="294" count="1">
        <x14:dataValidation type="list" allowBlank="1" showInputMessage="1" showErrorMessage="1" errorTitle="Mensaje de validación" error="Solo se permite datos de la lista desplegable._x000a__x000a_Intente de nuevo." promptTitle="Seleccionar" prompt="Nombre de DRE o Ugel">
          <x14:formula1>
            <xm:f>OFFSET(LISTAS!$Z$2:$Z$36,0,0,35-COUNTIF(LISTAS!$Z$2:$Z$36,""),1)</xm:f>
          </x14:formula1>
          <xm:sqref>D13:R14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00FF"/>
    <pageSetUpPr fitToPage="1"/>
  </sheetPr>
  <dimension ref="A1:AY52"/>
  <sheetViews>
    <sheetView showGridLines="0" topLeftCell="A7" zoomScaleNormal="100" workbookViewId="0">
      <selection activeCell="AP46" sqref="AP46:AW47"/>
    </sheetView>
  </sheetViews>
  <sheetFormatPr baseColWidth="10" defaultColWidth="2.7109375" defaultRowHeight="12" customHeight="1" x14ac:dyDescent="0.2"/>
  <cols>
    <col min="1" max="1" width="2.7109375" style="36" customWidth="1"/>
    <col min="2" max="56" width="2.7109375" style="36"/>
    <col min="57" max="57" width="3" style="36" bestFit="1" customWidth="1"/>
    <col min="58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A2" s="35" t="b">
        <f>LISTAS!D110</f>
        <v>0</v>
      </c>
      <c r="B2" s="1" t="s">
        <v>3800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12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14.1" customHeight="1" x14ac:dyDescent="0.2">
      <c r="B9" s="7"/>
      <c r="C9" s="285" t="s">
        <v>3804</v>
      </c>
      <c r="D9" s="286"/>
      <c r="E9" s="286"/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6"/>
      <c r="T9" s="286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9"/>
    </row>
    <row r="10" spans="1:51" ht="14.1" customHeight="1" x14ac:dyDescent="0.2">
      <c r="B10" s="7"/>
      <c r="C10" s="286"/>
      <c r="D10" s="286"/>
      <c r="E10" s="286"/>
      <c r="F10" s="286"/>
      <c r="G10" s="286"/>
      <c r="H10" s="286"/>
      <c r="I10" s="286"/>
      <c r="J10" s="286"/>
      <c r="K10" s="286"/>
      <c r="L10" s="286"/>
      <c r="M10" s="286"/>
      <c r="N10" s="286"/>
      <c r="O10" s="286"/>
      <c r="P10" s="286"/>
      <c r="Q10" s="286"/>
      <c r="R10" s="286"/>
      <c r="S10" s="286"/>
      <c r="T10" s="286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9"/>
    </row>
    <row r="11" spans="1:51" ht="9.1999999999999993" customHeight="1" x14ac:dyDescent="0.2">
      <c r="B11" s="7"/>
      <c r="C11" s="8"/>
      <c r="D11" s="287" t="s">
        <v>3805</v>
      </c>
      <c r="E11" s="288"/>
      <c r="F11" s="288"/>
      <c r="G11" s="288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288"/>
      <c r="U11" s="288"/>
      <c r="V11" s="288"/>
      <c r="W11" s="288"/>
      <c r="X11" s="288"/>
      <c r="Y11" s="288"/>
      <c r="Z11" s="288"/>
      <c r="AA11" s="288"/>
      <c r="AB11" s="288"/>
      <c r="AC11" s="288"/>
      <c r="AD11" s="288"/>
      <c r="AE11" s="288"/>
      <c r="AF11" s="288"/>
      <c r="AG11" s="288"/>
      <c r="AH11" s="288"/>
      <c r="AI11" s="288"/>
      <c r="AJ11" s="288"/>
      <c r="AK11" s="288"/>
      <c r="AL11" s="288"/>
      <c r="AM11" s="288"/>
      <c r="AN11" s="288"/>
      <c r="AO11" s="288"/>
      <c r="AP11" s="288"/>
      <c r="AQ11" s="288"/>
      <c r="AR11" s="288"/>
      <c r="AS11" s="288"/>
      <c r="AT11" s="288"/>
      <c r="AU11" s="288"/>
      <c r="AV11" s="288"/>
      <c r="AW11" s="288"/>
      <c r="AX11" s="8"/>
      <c r="AY11" s="9"/>
    </row>
    <row r="12" spans="1:51" ht="9.1999999999999993" customHeight="1" x14ac:dyDescent="0.2">
      <c r="B12" s="7"/>
      <c r="C12" s="8"/>
      <c r="D12" s="288"/>
      <c r="E12" s="288"/>
      <c r="F12" s="288"/>
      <c r="G12" s="288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288"/>
      <c r="U12" s="288"/>
      <c r="V12" s="288"/>
      <c r="W12" s="288"/>
      <c r="X12" s="288"/>
      <c r="Y12" s="288"/>
      <c r="Z12" s="288"/>
      <c r="AA12" s="288"/>
      <c r="AB12" s="288"/>
      <c r="AC12" s="288"/>
      <c r="AD12" s="288"/>
      <c r="AE12" s="288"/>
      <c r="AF12" s="288"/>
      <c r="AG12" s="288"/>
      <c r="AH12" s="288"/>
      <c r="AI12" s="288"/>
      <c r="AJ12" s="288"/>
      <c r="AK12" s="288"/>
      <c r="AL12" s="288"/>
      <c r="AM12" s="288"/>
      <c r="AN12" s="288"/>
      <c r="AO12" s="288"/>
      <c r="AP12" s="288"/>
      <c r="AQ12" s="288"/>
      <c r="AR12" s="288"/>
      <c r="AS12" s="288"/>
      <c r="AT12" s="288"/>
      <c r="AU12" s="288"/>
      <c r="AV12" s="288"/>
      <c r="AW12" s="288"/>
      <c r="AX12" s="8"/>
      <c r="AY12" s="9"/>
    </row>
    <row r="13" spans="1:51" ht="9.1999999999999993" customHeight="1" x14ac:dyDescent="0.2">
      <c r="B13" s="7"/>
      <c r="C13" s="8"/>
      <c r="D13" s="288"/>
      <c r="E13" s="288"/>
      <c r="F13" s="288"/>
      <c r="G13" s="288"/>
      <c r="H13" s="288"/>
      <c r="I13" s="288"/>
      <c r="J13" s="288"/>
      <c r="K13" s="288"/>
      <c r="L13" s="288"/>
      <c r="M13" s="288"/>
      <c r="N13" s="288"/>
      <c r="O13" s="288"/>
      <c r="P13" s="288"/>
      <c r="Q13" s="288"/>
      <c r="R13" s="288"/>
      <c r="S13" s="288"/>
      <c r="T13" s="288"/>
      <c r="U13" s="288"/>
      <c r="V13" s="288"/>
      <c r="W13" s="288"/>
      <c r="X13" s="288"/>
      <c r="Y13" s="288"/>
      <c r="Z13" s="288"/>
      <c r="AA13" s="288"/>
      <c r="AB13" s="288"/>
      <c r="AC13" s="288"/>
      <c r="AD13" s="288"/>
      <c r="AE13" s="288"/>
      <c r="AF13" s="288"/>
      <c r="AG13" s="288"/>
      <c r="AH13" s="288"/>
      <c r="AI13" s="288"/>
      <c r="AJ13" s="288"/>
      <c r="AK13" s="288"/>
      <c r="AL13" s="288"/>
      <c r="AM13" s="288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8"/>
      <c r="AY13" s="9"/>
    </row>
    <row r="14" spans="1:51" ht="10.5" customHeight="1" x14ac:dyDescent="0.2">
      <c r="B14" s="7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9"/>
    </row>
    <row r="15" spans="1:51" ht="10.5" customHeight="1" x14ac:dyDescent="0.2">
      <c r="B15" s="7"/>
      <c r="C15" s="22">
        <v>1</v>
      </c>
      <c r="D15" s="277" t="s">
        <v>1802</v>
      </c>
      <c r="E15" s="278"/>
      <c r="F15" s="278"/>
      <c r="G15" s="278"/>
      <c r="H15" s="278"/>
      <c r="I15" s="278"/>
      <c r="J15" s="278"/>
      <c r="K15" s="278"/>
      <c r="L15" s="278"/>
      <c r="M15" s="278"/>
      <c r="N15" s="278"/>
      <c r="O15" s="278"/>
      <c r="P15" s="278"/>
      <c r="Q15" s="279"/>
      <c r="R15" s="8"/>
      <c r="S15" s="22">
        <v>2</v>
      </c>
      <c r="T15" s="295" t="s">
        <v>3712</v>
      </c>
      <c r="U15" s="296"/>
      <c r="V15" s="296"/>
      <c r="W15" s="296"/>
      <c r="X15" s="296"/>
      <c r="Y15" s="296"/>
      <c r="Z15" s="296"/>
      <c r="AA15" s="296"/>
      <c r="AB15" s="296"/>
      <c r="AC15" s="296"/>
      <c r="AD15" s="296"/>
      <c r="AE15" s="296"/>
      <c r="AF15" s="296"/>
      <c r="AG15" s="297"/>
      <c r="AH15" s="8"/>
      <c r="AI15" s="22">
        <v>3</v>
      </c>
      <c r="AJ15" s="289" t="s">
        <v>1803</v>
      </c>
      <c r="AK15" s="290"/>
      <c r="AL15" s="290"/>
      <c r="AM15" s="290"/>
      <c r="AN15" s="290"/>
      <c r="AO15" s="290"/>
      <c r="AP15" s="290"/>
      <c r="AQ15" s="290"/>
      <c r="AR15" s="290"/>
      <c r="AS15" s="290"/>
      <c r="AT15" s="290"/>
      <c r="AU15" s="290"/>
      <c r="AV15" s="290"/>
      <c r="AW15" s="291"/>
      <c r="AX15" s="8"/>
      <c r="AY15" s="9"/>
    </row>
    <row r="16" spans="1:51" ht="10.5" customHeight="1" x14ac:dyDescent="0.2">
      <c r="B16" s="7"/>
      <c r="C16" s="8"/>
      <c r="D16" s="280"/>
      <c r="E16" s="281"/>
      <c r="F16" s="281"/>
      <c r="G16" s="281"/>
      <c r="H16" s="281"/>
      <c r="I16" s="281"/>
      <c r="J16" s="281"/>
      <c r="K16" s="281"/>
      <c r="L16" s="281"/>
      <c r="M16" s="281"/>
      <c r="N16" s="281"/>
      <c r="O16" s="281"/>
      <c r="P16" s="281"/>
      <c r="Q16" s="282"/>
      <c r="R16" s="8"/>
      <c r="S16" s="8"/>
      <c r="T16" s="298"/>
      <c r="U16" s="299"/>
      <c r="V16" s="299"/>
      <c r="W16" s="299"/>
      <c r="X16" s="299"/>
      <c r="Y16" s="299"/>
      <c r="Z16" s="299"/>
      <c r="AA16" s="299"/>
      <c r="AB16" s="299"/>
      <c r="AC16" s="299"/>
      <c r="AD16" s="299"/>
      <c r="AE16" s="299"/>
      <c r="AF16" s="299"/>
      <c r="AG16" s="300"/>
      <c r="AH16" s="8"/>
      <c r="AI16" s="8"/>
      <c r="AJ16" s="292"/>
      <c r="AK16" s="293"/>
      <c r="AL16" s="293"/>
      <c r="AM16" s="293"/>
      <c r="AN16" s="293"/>
      <c r="AO16" s="293"/>
      <c r="AP16" s="293"/>
      <c r="AQ16" s="293"/>
      <c r="AR16" s="293"/>
      <c r="AS16" s="293"/>
      <c r="AT16" s="293"/>
      <c r="AU16" s="293"/>
      <c r="AV16" s="293"/>
      <c r="AW16" s="294"/>
      <c r="AX16" s="8"/>
      <c r="AY16" s="9"/>
    </row>
    <row r="17" spans="2:51" ht="10.5" customHeight="1" x14ac:dyDescent="0.2">
      <c r="B17" s="7"/>
      <c r="C17" s="8"/>
      <c r="D17" s="280"/>
      <c r="E17" s="281"/>
      <c r="F17" s="281"/>
      <c r="G17" s="281"/>
      <c r="H17" s="281"/>
      <c r="I17" s="281"/>
      <c r="J17" s="281"/>
      <c r="K17" s="281"/>
      <c r="L17" s="281"/>
      <c r="M17" s="281"/>
      <c r="N17" s="281"/>
      <c r="O17" s="281"/>
      <c r="P17" s="281"/>
      <c r="Q17" s="282"/>
      <c r="R17" s="8"/>
      <c r="S17" s="8"/>
      <c r="T17" s="298"/>
      <c r="U17" s="299"/>
      <c r="V17" s="299"/>
      <c r="W17" s="299"/>
      <c r="X17" s="299"/>
      <c r="Y17" s="299"/>
      <c r="Z17" s="299"/>
      <c r="AA17" s="299"/>
      <c r="AB17" s="299"/>
      <c r="AC17" s="299"/>
      <c r="AD17" s="299"/>
      <c r="AE17" s="299"/>
      <c r="AF17" s="299"/>
      <c r="AG17" s="300"/>
      <c r="AH17" s="8"/>
      <c r="AI17" s="8"/>
      <c r="AJ17" s="292"/>
      <c r="AK17" s="293"/>
      <c r="AL17" s="293"/>
      <c r="AM17" s="293"/>
      <c r="AN17" s="293"/>
      <c r="AO17" s="293"/>
      <c r="AP17" s="293"/>
      <c r="AQ17" s="293"/>
      <c r="AR17" s="293"/>
      <c r="AS17" s="293"/>
      <c r="AT17" s="293"/>
      <c r="AU17" s="293"/>
      <c r="AV17" s="293"/>
      <c r="AW17" s="294"/>
      <c r="AX17" s="8"/>
      <c r="AY17" s="9"/>
    </row>
    <row r="18" spans="2:51" ht="10.5" customHeight="1" x14ac:dyDescent="0.2">
      <c r="B18" s="7"/>
      <c r="C18" s="8"/>
      <c r="D18" s="280"/>
      <c r="E18" s="281"/>
      <c r="F18" s="281"/>
      <c r="G18" s="281"/>
      <c r="H18" s="281"/>
      <c r="I18" s="281"/>
      <c r="J18" s="281"/>
      <c r="K18" s="281"/>
      <c r="L18" s="281"/>
      <c r="M18" s="281"/>
      <c r="N18" s="281"/>
      <c r="O18" s="281"/>
      <c r="P18" s="281"/>
      <c r="Q18" s="282"/>
      <c r="R18" s="8"/>
      <c r="S18" s="8"/>
      <c r="T18" s="298"/>
      <c r="U18" s="299"/>
      <c r="V18" s="299"/>
      <c r="W18" s="299"/>
      <c r="X18" s="299"/>
      <c r="Y18" s="299"/>
      <c r="Z18" s="299"/>
      <c r="AA18" s="299"/>
      <c r="AB18" s="299"/>
      <c r="AC18" s="299"/>
      <c r="AD18" s="299"/>
      <c r="AE18" s="299"/>
      <c r="AF18" s="299"/>
      <c r="AG18" s="300"/>
      <c r="AH18" s="8"/>
      <c r="AI18" s="8"/>
      <c r="AJ18" s="292"/>
      <c r="AK18" s="293"/>
      <c r="AL18" s="293"/>
      <c r="AM18" s="293"/>
      <c r="AN18" s="293"/>
      <c r="AO18" s="293"/>
      <c r="AP18" s="293"/>
      <c r="AQ18" s="293"/>
      <c r="AR18" s="293"/>
      <c r="AS18" s="293"/>
      <c r="AT18" s="293"/>
      <c r="AU18" s="293"/>
      <c r="AV18" s="293"/>
      <c r="AW18" s="294"/>
      <c r="AX18" s="8"/>
      <c r="AY18" s="9"/>
    </row>
    <row r="19" spans="2:51" ht="10.5" customHeight="1" x14ac:dyDescent="0.2">
      <c r="B19" s="7"/>
      <c r="C19" s="8"/>
      <c r="D19" s="280"/>
      <c r="E19" s="281"/>
      <c r="F19" s="281"/>
      <c r="G19" s="281"/>
      <c r="H19" s="281"/>
      <c r="I19" s="281"/>
      <c r="J19" s="281"/>
      <c r="K19" s="281"/>
      <c r="L19" s="281"/>
      <c r="M19" s="281"/>
      <c r="N19" s="281"/>
      <c r="O19" s="281"/>
      <c r="P19" s="281"/>
      <c r="Q19" s="282"/>
      <c r="R19" s="8"/>
      <c r="S19" s="8"/>
      <c r="T19" s="298"/>
      <c r="U19" s="299"/>
      <c r="V19" s="299"/>
      <c r="W19" s="299"/>
      <c r="X19" s="299"/>
      <c r="Y19" s="299"/>
      <c r="Z19" s="299"/>
      <c r="AA19" s="299"/>
      <c r="AB19" s="299"/>
      <c r="AC19" s="299"/>
      <c r="AD19" s="299"/>
      <c r="AE19" s="299"/>
      <c r="AF19" s="299"/>
      <c r="AG19" s="300"/>
      <c r="AH19" s="8"/>
      <c r="AI19" s="8"/>
      <c r="AJ19" s="292"/>
      <c r="AK19" s="293"/>
      <c r="AL19" s="293"/>
      <c r="AM19" s="293"/>
      <c r="AN19" s="293"/>
      <c r="AO19" s="293"/>
      <c r="AP19" s="293"/>
      <c r="AQ19" s="293"/>
      <c r="AR19" s="293"/>
      <c r="AS19" s="293"/>
      <c r="AT19" s="293"/>
      <c r="AU19" s="293"/>
      <c r="AV19" s="293"/>
      <c r="AW19" s="294"/>
      <c r="AX19" s="8"/>
      <c r="AY19" s="9"/>
    </row>
    <row r="20" spans="2:51" ht="10.5" customHeight="1" x14ac:dyDescent="0.2">
      <c r="B20" s="7"/>
      <c r="C20" s="8"/>
      <c r="D20" s="280"/>
      <c r="E20" s="281"/>
      <c r="F20" s="281"/>
      <c r="G20" s="281"/>
      <c r="H20" s="281"/>
      <c r="I20" s="281"/>
      <c r="J20" s="281"/>
      <c r="K20" s="281"/>
      <c r="L20" s="281"/>
      <c r="M20" s="281"/>
      <c r="N20" s="281"/>
      <c r="O20" s="281"/>
      <c r="P20" s="281"/>
      <c r="Q20" s="282"/>
      <c r="R20" s="8"/>
      <c r="S20" s="8"/>
      <c r="T20" s="298"/>
      <c r="U20" s="299"/>
      <c r="V20" s="299"/>
      <c r="W20" s="299"/>
      <c r="X20" s="299"/>
      <c r="Y20" s="299"/>
      <c r="Z20" s="299"/>
      <c r="AA20" s="299"/>
      <c r="AB20" s="299"/>
      <c r="AC20" s="299"/>
      <c r="AD20" s="299"/>
      <c r="AE20" s="299"/>
      <c r="AF20" s="299"/>
      <c r="AG20" s="300"/>
      <c r="AH20" s="8"/>
      <c r="AI20" s="8"/>
      <c r="AJ20" s="292"/>
      <c r="AK20" s="293"/>
      <c r="AL20" s="293"/>
      <c r="AM20" s="293"/>
      <c r="AN20" s="293"/>
      <c r="AO20" s="293"/>
      <c r="AP20" s="293"/>
      <c r="AQ20" s="293"/>
      <c r="AR20" s="293"/>
      <c r="AS20" s="293"/>
      <c r="AT20" s="293"/>
      <c r="AU20" s="293"/>
      <c r="AV20" s="293"/>
      <c r="AW20" s="294"/>
      <c r="AX20" s="8"/>
      <c r="AY20" s="9"/>
    </row>
    <row r="21" spans="2:51" ht="10.5" customHeight="1" x14ac:dyDescent="0.2">
      <c r="B21" s="7"/>
      <c r="C21" s="8"/>
      <c r="D21" s="280"/>
      <c r="E21" s="281"/>
      <c r="F21" s="281"/>
      <c r="G21" s="281"/>
      <c r="H21" s="281"/>
      <c r="I21" s="281"/>
      <c r="J21" s="281"/>
      <c r="K21" s="281"/>
      <c r="L21" s="281"/>
      <c r="M21" s="281"/>
      <c r="N21" s="281"/>
      <c r="O21" s="281"/>
      <c r="P21" s="281"/>
      <c r="Q21" s="282"/>
      <c r="R21" s="8"/>
      <c r="S21" s="8"/>
      <c r="T21" s="298"/>
      <c r="U21" s="299"/>
      <c r="V21" s="299"/>
      <c r="W21" s="299"/>
      <c r="X21" s="299"/>
      <c r="Y21" s="299"/>
      <c r="Z21" s="299"/>
      <c r="AA21" s="299"/>
      <c r="AB21" s="299"/>
      <c r="AC21" s="299"/>
      <c r="AD21" s="299"/>
      <c r="AE21" s="299"/>
      <c r="AF21" s="299"/>
      <c r="AG21" s="300"/>
      <c r="AH21" s="8"/>
      <c r="AI21" s="8"/>
      <c r="AJ21" s="292"/>
      <c r="AK21" s="293"/>
      <c r="AL21" s="293"/>
      <c r="AM21" s="293"/>
      <c r="AN21" s="293"/>
      <c r="AO21" s="293"/>
      <c r="AP21" s="293"/>
      <c r="AQ21" s="293"/>
      <c r="AR21" s="293"/>
      <c r="AS21" s="293"/>
      <c r="AT21" s="293"/>
      <c r="AU21" s="293"/>
      <c r="AV21" s="293"/>
      <c r="AW21" s="294"/>
      <c r="AX21" s="8"/>
      <c r="AY21" s="9"/>
    </row>
    <row r="22" spans="2:51" ht="10.5" customHeight="1" x14ac:dyDescent="0.2">
      <c r="B22" s="7"/>
      <c r="C22" s="8"/>
      <c r="D22" s="280"/>
      <c r="E22" s="281"/>
      <c r="F22" s="281"/>
      <c r="G22" s="281"/>
      <c r="H22" s="281"/>
      <c r="I22" s="281"/>
      <c r="J22" s="281"/>
      <c r="K22" s="281"/>
      <c r="L22" s="281"/>
      <c r="M22" s="281"/>
      <c r="N22" s="281"/>
      <c r="O22" s="281"/>
      <c r="P22" s="281"/>
      <c r="Q22" s="282"/>
      <c r="R22" s="8"/>
      <c r="S22" s="8"/>
      <c r="T22" s="298"/>
      <c r="U22" s="299"/>
      <c r="V22" s="299"/>
      <c r="W22" s="299"/>
      <c r="X22" s="299"/>
      <c r="Y22" s="299"/>
      <c r="Z22" s="299"/>
      <c r="AA22" s="299"/>
      <c r="AB22" s="299"/>
      <c r="AC22" s="299"/>
      <c r="AD22" s="299"/>
      <c r="AE22" s="299"/>
      <c r="AF22" s="299"/>
      <c r="AG22" s="300"/>
      <c r="AH22" s="8"/>
      <c r="AI22" s="8"/>
      <c r="AJ22" s="292"/>
      <c r="AK22" s="293"/>
      <c r="AL22" s="293"/>
      <c r="AM22" s="293"/>
      <c r="AN22" s="293"/>
      <c r="AO22" s="293"/>
      <c r="AP22" s="293"/>
      <c r="AQ22" s="293"/>
      <c r="AR22" s="293"/>
      <c r="AS22" s="293"/>
      <c r="AT22" s="293"/>
      <c r="AU22" s="293"/>
      <c r="AV22" s="293"/>
      <c r="AW22" s="294"/>
      <c r="AX22" s="8"/>
      <c r="AY22" s="9"/>
    </row>
    <row r="23" spans="2:51" ht="10.5" customHeight="1" x14ac:dyDescent="0.2">
      <c r="B23" s="7"/>
      <c r="C23" s="8"/>
      <c r="D23" s="280"/>
      <c r="E23" s="281"/>
      <c r="F23" s="281"/>
      <c r="G23" s="281"/>
      <c r="H23" s="281"/>
      <c r="I23" s="281"/>
      <c r="J23" s="281"/>
      <c r="K23" s="281"/>
      <c r="L23" s="281"/>
      <c r="M23" s="281"/>
      <c r="N23" s="281"/>
      <c r="O23" s="281"/>
      <c r="P23" s="281"/>
      <c r="Q23" s="282"/>
      <c r="R23" s="8"/>
      <c r="S23" s="8"/>
      <c r="T23" s="298"/>
      <c r="U23" s="299"/>
      <c r="V23" s="299"/>
      <c r="W23" s="299"/>
      <c r="X23" s="299"/>
      <c r="Y23" s="299"/>
      <c r="Z23" s="299"/>
      <c r="AA23" s="299"/>
      <c r="AB23" s="299"/>
      <c r="AC23" s="299"/>
      <c r="AD23" s="299"/>
      <c r="AE23" s="299"/>
      <c r="AF23" s="299"/>
      <c r="AG23" s="300"/>
      <c r="AH23" s="8"/>
      <c r="AI23" s="8"/>
      <c r="AJ23" s="292"/>
      <c r="AK23" s="293"/>
      <c r="AL23" s="293"/>
      <c r="AM23" s="293"/>
      <c r="AN23" s="293"/>
      <c r="AO23" s="293"/>
      <c r="AP23" s="293"/>
      <c r="AQ23" s="293"/>
      <c r="AR23" s="293"/>
      <c r="AS23" s="293"/>
      <c r="AT23" s="293"/>
      <c r="AU23" s="293"/>
      <c r="AV23" s="293"/>
      <c r="AW23" s="294"/>
      <c r="AX23" s="8"/>
      <c r="AY23" s="9"/>
    </row>
    <row r="24" spans="2:51" ht="10.5" customHeight="1" x14ac:dyDescent="0.2">
      <c r="B24" s="7"/>
      <c r="C24" s="8"/>
      <c r="D24" s="280"/>
      <c r="E24" s="281"/>
      <c r="F24" s="281"/>
      <c r="G24" s="281"/>
      <c r="H24" s="281"/>
      <c r="I24" s="281"/>
      <c r="J24" s="281"/>
      <c r="K24" s="281"/>
      <c r="L24" s="281"/>
      <c r="M24" s="281"/>
      <c r="N24" s="281"/>
      <c r="O24" s="281"/>
      <c r="P24" s="281"/>
      <c r="Q24" s="282"/>
      <c r="R24" s="8"/>
      <c r="S24" s="8"/>
      <c r="T24" s="298"/>
      <c r="U24" s="299"/>
      <c r="V24" s="299"/>
      <c r="W24" s="299"/>
      <c r="X24" s="299"/>
      <c r="Y24" s="299"/>
      <c r="Z24" s="299"/>
      <c r="AA24" s="299"/>
      <c r="AB24" s="299"/>
      <c r="AC24" s="299"/>
      <c r="AD24" s="299"/>
      <c r="AE24" s="299"/>
      <c r="AF24" s="299"/>
      <c r="AG24" s="300"/>
      <c r="AH24" s="8"/>
      <c r="AI24" s="8"/>
      <c r="AJ24" s="292"/>
      <c r="AK24" s="293"/>
      <c r="AL24" s="293"/>
      <c r="AM24" s="293"/>
      <c r="AN24" s="293"/>
      <c r="AO24" s="293"/>
      <c r="AP24" s="293"/>
      <c r="AQ24" s="293"/>
      <c r="AR24" s="293"/>
      <c r="AS24" s="293"/>
      <c r="AT24" s="293"/>
      <c r="AU24" s="293"/>
      <c r="AV24" s="293"/>
      <c r="AW24" s="294"/>
      <c r="AX24" s="8"/>
      <c r="AY24" s="9"/>
    </row>
    <row r="25" spans="2:51" ht="10.5" customHeight="1" x14ac:dyDescent="0.2">
      <c r="B25" s="7"/>
      <c r="C25" s="8"/>
      <c r="D25" s="280"/>
      <c r="E25" s="281"/>
      <c r="F25" s="281"/>
      <c r="G25" s="281"/>
      <c r="H25" s="281"/>
      <c r="I25" s="281"/>
      <c r="J25" s="281"/>
      <c r="K25" s="281"/>
      <c r="L25" s="281"/>
      <c r="M25" s="281"/>
      <c r="N25" s="281"/>
      <c r="O25" s="281"/>
      <c r="P25" s="281"/>
      <c r="Q25" s="282"/>
      <c r="R25" s="8"/>
      <c r="S25" s="8"/>
      <c r="T25" s="298"/>
      <c r="U25" s="299"/>
      <c r="V25" s="299"/>
      <c r="W25" s="299"/>
      <c r="X25" s="299"/>
      <c r="Y25" s="299"/>
      <c r="Z25" s="299"/>
      <c r="AA25" s="299"/>
      <c r="AB25" s="299"/>
      <c r="AC25" s="299"/>
      <c r="AD25" s="299"/>
      <c r="AE25" s="299"/>
      <c r="AF25" s="299"/>
      <c r="AG25" s="300"/>
      <c r="AH25" s="8"/>
      <c r="AI25" s="8"/>
      <c r="AJ25" s="292"/>
      <c r="AK25" s="293"/>
      <c r="AL25" s="293"/>
      <c r="AM25" s="293"/>
      <c r="AN25" s="293"/>
      <c r="AO25" s="293"/>
      <c r="AP25" s="293"/>
      <c r="AQ25" s="293"/>
      <c r="AR25" s="293"/>
      <c r="AS25" s="293"/>
      <c r="AT25" s="293"/>
      <c r="AU25" s="293"/>
      <c r="AV25" s="293"/>
      <c r="AW25" s="294"/>
      <c r="AX25" s="8"/>
      <c r="AY25" s="9"/>
    </row>
    <row r="26" spans="2:51" ht="10.5" customHeight="1" x14ac:dyDescent="0.2">
      <c r="B26" s="7"/>
      <c r="C26" s="8"/>
      <c r="D26" s="280"/>
      <c r="E26" s="281"/>
      <c r="F26" s="281"/>
      <c r="G26" s="281"/>
      <c r="H26" s="281"/>
      <c r="I26" s="281"/>
      <c r="J26" s="281"/>
      <c r="K26" s="281"/>
      <c r="L26" s="281"/>
      <c r="M26" s="281"/>
      <c r="N26" s="281"/>
      <c r="O26" s="281"/>
      <c r="P26" s="281"/>
      <c r="Q26" s="282"/>
      <c r="R26" s="8"/>
      <c r="S26" s="8"/>
      <c r="T26" s="298"/>
      <c r="U26" s="299"/>
      <c r="V26" s="299"/>
      <c r="W26" s="299"/>
      <c r="X26" s="299"/>
      <c r="Y26" s="299"/>
      <c r="Z26" s="299"/>
      <c r="AA26" s="299"/>
      <c r="AB26" s="299"/>
      <c r="AC26" s="299"/>
      <c r="AD26" s="299"/>
      <c r="AE26" s="299"/>
      <c r="AF26" s="299"/>
      <c r="AG26" s="300"/>
      <c r="AH26" s="8"/>
      <c r="AI26" s="8"/>
      <c r="AJ26" s="292"/>
      <c r="AK26" s="293"/>
      <c r="AL26" s="293"/>
      <c r="AM26" s="293"/>
      <c r="AN26" s="293"/>
      <c r="AO26" s="293"/>
      <c r="AP26" s="293"/>
      <c r="AQ26" s="293"/>
      <c r="AR26" s="293"/>
      <c r="AS26" s="293"/>
      <c r="AT26" s="293"/>
      <c r="AU26" s="293"/>
      <c r="AV26" s="293"/>
      <c r="AW26" s="294"/>
      <c r="AX26" s="8"/>
      <c r="AY26" s="9"/>
    </row>
    <row r="27" spans="2:51" ht="10.5" customHeight="1" x14ac:dyDescent="0.2">
      <c r="B27" s="7"/>
      <c r="C27" s="8"/>
      <c r="D27" s="283" t="str">
        <f>REPT(CHAR(73),ROUNDDOWN(72*(COUNTIF(LISTAS!A:A,1)-COUNTIFS(LISTAS!A:A,1,LISTAS!D:D,""))/COUNTIF(LISTAS!A:A,1),0))</f>
        <v/>
      </c>
      <c r="E27" s="283"/>
      <c r="F27" s="283"/>
      <c r="G27" s="283"/>
      <c r="H27" s="283"/>
      <c r="I27" s="283"/>
      <c r="J27" s="283"/>
      <c r="K27" s="283"/>
      <c r="L27" s="283"/>
      <c r="M27" s="283"/>
      <c r="N27" s="283"/>
      <c r="O27" s="283"/>
      <c r="P27" s="284" t="str">
        <f>IF(LISTAS!D45=TRUE,"a","")</f>
        <v/>
      </c>
      <c r="Q27" s="284"/>
      <c r="R27" s="8"/>
      <c r="S27" s="8"/>
      <c r="T27" s="283" t="str">
        <f>REPT(CHAR(73),ROUNDDOWN(72*(COUNTIF(LISTAS!A:A,2)-COUNTIFS(LISTAS!A:A,2,LISTAS!D:D,""))/COUNTIF(LISTAS!A:A,2),0))</f>
        <v/>
      </c>
      <c r="U27" s="283"/>
      <c r="V27" s="283"/>
      <c r="W27" s="283"/>
      <c r="X27" s="283"/>
      <c r="Y27" s="283"/>
      <c r="Z27" s="283"/>
      <c r="AA27" s="283"/>
      <c r="AB27" s="283"/>
      <c r="AC27" s="283"/>
      <c r="AD27" s="283"/>
      <c r="AE27" s="283"/>
      <c r="AF27" s="284" t="str">
        <f>IF(LISTAS!D51=TRUE,"a","")</f>
        <v/>
      </c>
      <c r="AG27" s="284"/>
      <c r="AH27" s="8"/>
      <c r="AI27" s="8"/>
      <c r="AJ27" s="283" t="str">
        <f>REPT(CHAR(73),ROUNDDOWN(72*72*(COUNTIF(LISTAS!A:A,3)-COUNTIFS(LISTAS!A:A,3,LISTAS!D:D,""))/COUNTIF(LISTAS!A:A,3),0))</f>
        <v/>
      </c>
      <c r="AK27" s="283"/>
      <c r="AL27" s="283"/>
      <c r="AM27" s="283"/>
      <c r="AN27" s="283"/>
      <c r="AO27" s="283"/>
      <c r="AP27" s="283"/>
      <c r="AQ27" s="283"/>
      <c r="AR27" s="283"/>
      <c r="AS27" s="283"/>
      <c r="AT27" s="283"/>
      <c r="AU27" s="283"/>
      <c r="AV27" s="284" t="str">
        <f>IF(LISTAS!D72=TRUE,"a","")</f>
        <v/>
      </c>
      <c r="AW27" s="284"/>
      <c r="AX27" s="8"/>
      <c r="AY27" s="9"/>
    </row>
    <row r="28" spans="2:51" ht="10.5" customHeight="1" x14ac:dyDescent="0.2">
      <c r="B28" s="7"/>
      <c r="C28" s="8"/>
      <c r="D28" s="283"/>
      <c r="E28" s="283"/>
      <c r="F28" s="283"/>
      <c r="G28" s="283"/>
      <c r="H28" s="283"/>
      <c r="I28" s="283"/>
      <c r="J28" s="283"/>
      <c r="K28" s="283"/>
      <c r="L28" s="283"/>
      <c r="M28" s="283"/>
      <c r="N28" s="283"/>
      <c r="O28" s="283"/>
      <c r="P28" s="284"/>
      <c r="Q28" s="284"/>
      <c r="R28" s="8"/>
      <c r="S28" s="8"/>
      <c r="T28" s="283"/>
      <c r="U28" s="283"/>
      <c r="V28" s="283"/>
      <c r="W28" s="283"/>
      <c r="X28" s="283"/>
      <c r="Y28" s="283"/>
      <c r="Z28" s="283"/>
      <c r="AA28" s="283"/>
      <c r="AB28" s="283"/>
      <c r="AC28" s="283"/>
      <c r="AD28" s="283"/>
      <c r="AE28" s="283"/>
      <c r="AF28" s="284"/>
      <c r="AG28" s="284"/>
      <c r="AH28" s="8"/>
      <c r="AI28" s="8"/>
      <c r="AJ28" s="283"/>
      <c r="AK28" s="283"/>
      <c r="AL28" s="283"/>
      <c r="AM28" s="283"/>
      <c r="AN28" s="283"/>
      <c r="AO28" s="283"/>
      <c r="AP28" s="283"/>
      <c r="AQ28" s="283"/>
      <c r="AR28" s="283"/>
      <c r="AS28" s="283"/>
      <c r="AT28" s="283"/>
      <c r="AU28" s="283"/>
      <c r="AV28" s="284"/>
      <c r="AW28" s="284"/>
      <c r="AX28" s="8"/>
      <c r="AY28" s="9"/>
    </row>
    <row r="29" spans="2:51" ht="10.5" customHeight="1" x14ac:dyDescent="0.2">
      <c r="B29" s="7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9"/>
    </row>
    <row r="30" spans="2:51" ht="10.5" customHeight="1" x14ac:dyDescent="0.2">
      <c r="B30" s="7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9"/>
    </row>
    <row r="31" spans="2:51" ht="10.5" customHeight="1" x14ac:dyDescent="0.2">
      <c r="B31" s="7"/>
      <c r="C31" s="22">
        <v>4</v>
      </c>
      <c r="D31" s="289" t="s">
        <v>1805</v>
      </c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  <c r="Q31" s="291"/>
      <c r="R31" s="8"/>
      <c r="S31" s="22">
        <v>5</v>
      </c>
      <c r="T31" s="303" t="s">
        <v>1804</v>
      </c>
      <c r="U31" s="304"/>
      <c r="V31" s="304"/>
      <c r="W31" s="304"/>
      <c r="X31" s="304"/>
      <c r="Y31" s="304"/>
      <c r="Z31" s="304"/>
      <c r="AA31" s="304"/>
      <c r="AB31" s="304"/>
      <c r="AC31" s="304"/>
      <c r="AD31" s="304"/>
      <c r="AE31" s="304"/>
      <c r="AF31" s="304"/>
      <c r="AG31" s="305"/>
      <c r="AH31" s="8"/>
      <c r="AI31" s="22">
        <v>6</v>
      </c>
      <c r="AJ31" s="309" t="s">
        <v>3699</v>
      </c>
      <c r="AK31" s="310"/>
      <c r="AL31" s="310"/>
      <c r="AM31" s="310"/>
      <c r="AN31" s="310"/>
      <c r="AO31" s="310"/>
      <c r="AP31" s="310"/>
      <c r="AQ31" s="310"/>
      <c r="AR31" s="310"/>
      <c r="AS31" s="310"/>
      <c r="AT31" s="310"/>
      <c r="AU31" s="310"/>
      <c r="AV31" s="310"/>
      <c r="AW31" s="311"/>
      <c r="AX31" s="8"/>
      <c r="AY31" s="9"/>
    </row>
    <row r="32" spans="2:51" ht="10.5" customHeight="1" x14ac:dyDescent="0.2">
      <c r="B32" s="7"/>
      <c r="C32" s="8"/>
      <c r="D32" s="292"/>
      <c r="E32" s="293"/>
      <c r="F32" s="293"/>
      <c r="G32" s="293"/>
      <c r="H32" s="293"/>
      <c r="I32" s="293"/>
      <c r="J32" s="293"/>
      <c r="K32" s="293"/>
      <c r="L32" s="293"/>
      <c r="M32" s="293"/>
      <c r="N32" s="293"/>
      <c r="O32" s="293"/>
      <c r="P32" s="293"/>
      <c r="Q32" s="294"/>
      <c r="R32" s="8"/>
      <c r="S32" s="8"/>
      <c r="T32" s="306"/>
      <c r="U32" s="307"/>
      <c r="V32" s="307"/>
      <c r="W32" s="307"/>
      <c r="X32" s="307"/>
      <c r="Y32" s="307"/>
      <c r="Z32" s="307"/>
      <c r="AA32" s="307"/>
      <c r="AB32" s="307"/>
      <c r="AC32" s="307"/>
      <c r="AD32" s="307"/>
      <c r="AE32" s="307"/>
      <c r="AF32" s="307"/>
      <c r="AG32" s="308"/>
      <c r="AH32" s="8"/>
      <c r="AI32" s="8"/>
      <c r="AJ32" s="312"/>
      <c r="AK32" s="313"/>
      <c r="AL32" s="313"/>
      <c r="AM32" s="313"/>
      <c r="AN32" s="313"/>
      <c r="AO32" s="313"/>
      <c r="AP32" s="313"/>
      <c r="AQ32" s="313"/>
      <c r="AR32" s="313"/>
      <c r="AS32" s="313"/>
      <c r="AT32" s="313"/>
      <c r="AU32" s="313"/>
      <c r="AV32" s="313"/>
      <c r="AW32" s="314"/>
      <c r="AX32" s="8"/>
      <c r="AY32" s="9"/>
    </row>
    <row r="33" spans="2:51" ht="10.5" customHeight="1" x14ac:dyDescent="0.2">
      <c r="B33" s="7"/>
      <c r="C33" s="8"/>
      <c r="D33" s="292"/>
      <c r="E33" s="293"/>
      <c r="F33" s="293"/>
      <c r="G33" s="293"/>
      <c r="H33" s="293"/>
      <c r="I33" s="293"/>
      <c r="J33" s="293"/>
      <c r="K33" s="293"/>
      <c r="L33" s="293"/>
      <c r="M33" s="293"/>
      <c r="N33" s="293"/>
      <c r="O33" s="293"/>
      <c r="P33" s="293"/>
      <c r="Q33" s="294"/>
      <c r="R33" s="8"/>
      <c r="S33" s="8"/>
      <c r="T33" s="306"/>
      <c r="U33" s="307"/>
      <c r="V33" s="307"/>
      <c r="W33" s="307"/>
      <c r="X33" s="307"/>
      <c r="Y33" s="307"/>
      <c r="Z33" s="307"/>
      <c r="AA33" s="307"/>
      <c r="AB33" s="307"/>
      <c r="AC33" s="307"/>
      <c r="AD33" s="307"/>
      <c r="AE33" s="307"/>
      <c r="AF33" s="307"/>
      <c r="AG33" s="308"/>
      <c r="AH33" s="8"/>
      <c r="AI33" s="8"/>
      <c r="AJ33" s="312"/>
      <c r="AK33" s="313"/>
      <c r="AL33" s="313"/>
      <c r="AM33" s="313"/>
      <c r="AN33" s="313"/>
      <c r="AO33" s="313"/>
      <c r="AP33" s="313"/>
      <c r="AQ33" s="313"/>
      <c r="AR33" s="313"/>
      <c r="AS33" s="313"/>
      <c r="AT33" s="313"/>
      <c r="AU33" s="313"/>
      <c r="AV33" s="313"/>
      <c r="AW33" s="314"/>
      <c r="AX33" s="8"/>
      <c r="AY33" s="9"/>
    </row>
    <row r="34" spans="2:51" ht="10.5" customHeight="1" x14ac:dyDescent="0.2">
      <c r="B34" s="7"/>
      <c r="C34" s="8"/>
      <c r="D34" s="292"/>
      <c r="E34" s="293"/>
      <c r="F34" s="293"/>
      <c r="G34" s="293"/>
      <c r="H34" s="293"/>
      <c r="I34" s="293"/>
      <c r="J34" s="293"/>
      <c r="K34" s="293"/>
      <c r="L34" s="293"/>
      <c r="M34" s="293"/>
      <c r="N34" s="293"/>
      <c r="O34" s="293"/>
      <c r="P34" s="293"/>
      <c r="Q34" s="294"/>
      <c r="R34" s="8"/>
      <c r="S34" s="8"/>
      <c r="T34" s="306"/>
      <c r="U34" s="307"/>
      <c r="V34" s="307"/>
      <c r="W34" s="307"/>
      <c r="X34" s="307"/>
      <c r="Y34" s="307"/>
      <c r="Z34" s="307"/>
      <c r="AA34" s="307"/>
      <c r="AB34" s="307"/>
      <c r="AC34" s="307"/>
      <c r="AD34" s="307"/>
      <c r="AE34" s="307"/>
      <c r="AF34" s="307"/>
      <c r="AG34" s="308"/>
      <c r="AH34" s="8"/>
      <c r="AI34" s="8"/>
      <c r="AJ34" s="312"/>
      <c r="AK34" s="313"/>
      <c r="AL34" s="313"/>
      <c r="AM34" s="313"/>
      <c r="AN34" s="313"/>
      <c r="AO34" s="313"/>
      <c r="AP34" s="313"/>
      <c r="AQ34" s="313"/>
      <c r="AR34" s="313"/>
      <c r="AS34" s="313"/>
      <c r="AT34" s="313"/>
      <c r="AU34" s="313"/>
      <c r="AV34" s="313"/>
      <c r="AW34" s="314"/>
      <c r="AX34" s="8"/>
      <c r="AY34" s="9"/>
    </row>
    <row r="35" spans="2:51" ht="10.5" customHeight="1" x14ac:dyDescent="0.2">
      <c r="B35" s="7"/>
      <c r="C35" s="8"/>
      <c r="D35" s="292"/>
      <c r="E35" s="293"/>
      <c r="F35" s="293"/>
      <c r="G35" s="293"/>
      <c r="H35" s="293"/>
      <c r="I35" s="293"/>
      <c r="J35" s="293"/>
      <c r="K35" s="293"/>
      <c r="L35" s="293"/>
      <c r="M35" s="293"/>
      <c r="N35" s="293"/>
      <c r="O35" s="293"/>
      <c r="P35" s="293"/>
      <c r="Q35" s="294"/>
      <c r="R35" s="8"/>
      <c r="S35" s="8"/>
      <c r="T35" s="306"/>
      <c r="U35" s="307"/>
      <c r="V35" s="307"/>
      <c r="W35" s="307"/>
      <c r="X35" s="307"/>
      <c r="Y35" s="307"/>
      <c r="Z35" s="307"/>
      <c r="AA35" s="307"/>
      <c r="AB35" s="307"/>
      <c r="AC35" s="307"/>
      <c r="AD35" s="307"/>
      <c r="AE35" s="307"/>
      <c r="AF35" s="307"/>
      <c r="AG35" s="308"/>
      <c r="AH35" s="8"/>
      <c r="AI35" s="8"/>
      <c r="AJ35" s="312"/>
      <c r="AK35" s="313"/>
      <c r="AL35" s="313"/>
      <c r="AM35" s="313"/>
      <c r="AN35" s="313"/>
      <c r="AO35" s="313"/>
      <c r="AP35" s="313"/>
      <c r="AQ35" s="313"/>
      <c r="AR35" s="313"/>
      <c r="AS35" s="313"/>
      <c r="AT35" s="313"/>
      <c r="AU35" s="313"/>
      <c r="AV35" s="313"/>
      <c r="AW35" s="314"/>
      <c r="AX35" s="8"/>
      <c r="AY35" s="9"/>
    </row>
    <row r="36" spans="2:51" ht="10.5" customHeight="1" x14ac:dyDescent="0.2">
      <c r="B36" s="7"/>
      <c r="C36" s="8"/>
      <c r="D36" s="292"/>
      <c r="E36" s="293"/>
      <c r="F36" s="293"/>
      <c r="G36" s="293"/>
      <c r="H36" s="293"/>
      <c r="I36" s="293"/>
      <c r="J36" s="293"/>
      <c r="K36" s="293"/>
      <c r="L36" s="293"/>
      <c r="M36" s="293"/>
      <c r="N36" s="293"/>
      <c r="O36" s="293"/>
      <c r="P36" s="293"/>
      <c r="Q36" s="294"/>
      <c r="R36" s="8"/>
      <c r="S36" s="8"/>
      <c r="T36" s="306"/>
      <c r="U36" s="307"/>
      <c r="V36" s="307"/>
      <c r="W36" s="307"/>
      <c r="X36" s="307"/>
      <c r="Y36" s="307"/>
      <c r="Z36" s="307"/>
      <c r="AA36" s="307"/>
      <c r="AB36" s="307"/>
      <c r="AC36" s="307"/>
      <c r="AD36" s="307"/>
      <c r="AE36" s="307"/>
      <c r="AF36" s="307"/>
      <c r="AG36" s="308"/>
      <c r="AH36" s="8"/>
      <c r="AI36" s="8"/>
      <c r="AJ36" s="312"/>
      <c r="AK36" s="313"/>
      <c r="AL36" s="313"/>
      <c r="AM36" s="313"/>
      <c r="AN36" s="313"/>
      <c r="AO36" s="313"/>
      <c r="AP36" s="313"/>
      <c r="AQ36" s="313"/>
      <c r="AR36" s="313"/>
      <c r="AS36" s="313"/>
      <c r="AT36" s="313"/>
      <c r="AU36" s="313"/>
      <c r="AV36" s="313"/>
      <c r="AW36" s="314"/>
      <c r="AX36" s="8"/>
      <c r="AY36" s="9"/>
    </row>
    <row r="37" spans="2:51" ht="10.5" customHeight="1" x14ac:dyDescent="0.2">
      <c r="B37" s="7"/>
      <c r="C37" s="8"/>
      <c r="D37" s="292"/>
      <c r="E37" s="293"/>
      <c r="F37" s="293"/>
      <c r="G37" s="293"/>
      <c r="H37" s="293"/>
      <c r="I37" s="293"/>
      <c r="J37" s="293"/>
      <c r="K37" s="293"/>
      <c r="L37" s="293"/>
      <c r="M37" s="293"/>
      <c r="N37" s="293"/>
      <c r="O37" s="293"/>
      <c r="P37" s="293"/>
      <c r="Q37" s="294"/>
      <c r="R37" s="8"/>
      <c r="S37" s="8"/>
      <c r="T37" s="306"/>
      <c r="U37" s="307"/>
      <c r="V37" s="307"/>
      <c r="W37" s="307"/>
      <c r="X37" s="307"/>
      <c r="Y37" s="307"/>
      <c r="Z37" s="307"/>
      <c r="AA37" s="307"/>
      <c r="AB37" s="307"/>
      <c r="AC37" s="307"/>
      <c r="AD37" s="307"/>
      <c r="AE37" s="307"/>
      <c r="AF37" s="307"/>
      <c r="AG37" s="308"/>
      <c r="AH37" s="8"/>
      <c r="AI37" s="8"/>
      <c r="AJ37" s="312"/>
      <c r="AK37" s="313"/>
      <c r="AL37" s="313"/>
      <c r="AM37" s="313"/>
      <c r="AN37" s="313"/>
      <c r="AO37" s="313"/>
      <c r="AP37" s="313"/>
      <c r="AQ37" s="313"/>
      <c r="AR37" s="313"/>
      <c r="AS37" s="313"/>
      <c r="AT37" s="313"/>
      <c r="AU37" s="313"/>
      <c r="AV37" s="313"/>
      <c r="AW37" s="314"/>
      <c r="AX37" s="8"/>
      <c r="AY37" s="9"/>
    </row>
    <row r="38" spans="2:51" ht="10.5" customHeight="1" x14ac:dyDescent="0.2">
      <c r="B38" s="7"/>
      <c r="C38" s="8"/>
      <c r="D38" s="292"/>
      <c r="E38" s="293"/>
      <c r="F38" s="293"/>
      <c r="G38" s="293"/>
      <c r="H38" s="293"/>
      <c r="I38" s="293"/>
      <c r="J38" s="293"/>
      <c r="K38" s="293"/>
      <c r="L38" s="293"/>
      <c r="M38" s="293"/>
      <c r="N38" s="293"/>
      <c r="O38" s="293"/>
      <c r="P38" s="293"/>
      <c r="Q38" s="294"/>
      <c r="R38" s="8"/>
      <c r="S38" s="8"/>
      <c r="T38" s="306"/>
      <c r="U38" s="307"/>
      <c r="V38" s="307"/>
      <c r="W38" s="307"/>
      <c r="X38" s="307"/>
      <c r="Y38" s="307"/>
      <c r="Z38" s="307"/>
      <c r="AA38" s="307"/>
      <c r="AB38" s="307"/>
      <c r="AC38" s="307"/>
      <c r="AD38" s="307"/>
      <c r="AE38" s="307"/>
      <c r="AF38" s="307"/>
      <c r="AG38" s="308"/>
      <c r="AH38" s="8"/>
      <c r="AI38" s="8"/>
      <c r="AJ38" s="312"/>
      <c r="AK38" s="313"/>
      <c r="AL38" s="313"/>
      <c r="AM38" s="313"/>
      <c r="AN38" s="313"/>
      <c r="AO38" s="313"/>
      <c r="AP38" s="313"/>
      <c r="AQ38" s="313"/>
      <c r="AR38" s="313"/>
      <c r="AS38" s="313"/>
      <c r="AT38" s="313"/>
      <c r="AU38" s="313"/>
      <c r="AV38" s="313"/>
      <c r="AW38" s="314"/>
      <c r="AX38" s="8"/>
      <c r="AY38" s="9"/>
    </row>
    <row r="39" spans="2:51" ht="10.5" customHeight="1" x14ac:dyDescent="0.2">
      <c r="B39" s="7"/>
      <c r="C39" s="8"/>
      <c r="D39" s="292"/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4"/>
      <c r="R39" s="8"/>
      <c r="S39" s="8"/>
      <c r="T39" s="306"/>
      <c r="U39" s="307"/>
      <c r="V39" s="307"/>
      <c r="W39" s="307"/>
      <c r="X39" s="307"/>
      <c r="Y39" s="307"/>
      <c r="Z39" s="307"/>
      <c r="AA39" s="307"/>
      <c r="AB39" s="307"/>
      <c r="AC39" s="307"/>
      <c r="AD39" s="307"/>
      <c r="AE39" s="307"/>
      <c r="AF39" s="307"/>
      <c r="AG39" s="308"/>
      <c r="AH39" s="8"/>
      <c r="AI39" s="8"/>
      <c r="AJ39" s="312"/>
      <c r="AK39" s="313"/>
      <c r="AL39" s="313"/>
      <c r="AM39" s="313"/>
      <c r="AN39" s="313"/>
      <c r="AO39" s="313"/>
      <c r="AP39" s="313"/>
      <c r="AQ39" s="313"/>
      <c r="AR39" s="313"/>
      <c r="AS39" s="313"/>
      <c r="AT39" s="313"/>
      <c r="AU39" s="313"/>
      <c r="AV39" s="313"/>
      <c r="AW39" s="314"/>
      <c r="AX39" s="8"/>
      <c r="AY39" s="9"/>
    </row>
    <row r="40" spans="2:51" ht="10.5" customHeight="1" x14ac:dyDescent="0.2">
      <c r="B40" s="7"/>
      <c r="C40" s="8"/>
      <c r="D40" s="292"/>
      <c r="E40" s="293"/>
      <c r="F40" s="293"/>
      <c r="G40" s="293"/>
      <c r="H40" s="293"/>
      <c r="I40" s="293"/>
      <c r="J40" s="293"/>
      <c r="K40" s="293"/>
      <c r="L40" s="293"/>
      <c r="M40" s="293"/>
      <c r="N40" s="293"/>
      <c r="O40" s="293"/>
      <c r="P40" s="293"/>
      <c r="Q40" s="294"/>
      <c r="R40" s="8"/>
      <c r="S40" s="8"/>
      <c r="T40" s="306"/>
      <c r="U40" s="307"/>
      <c r="V40" s="307"/>
      <c r="W40" s="307"/>
      <c r="X40" s="307"/>
      <c r="Y40" s="307"/>
      <c r="Z40" s="307"/>
      <c r="AA40" s="307"/>
      <c r="AB40" s="307"/>
      <c r="AC40" s="307"/>
      <c r="AD40" s="307"/>
      <c r="AE40" s="307"/>
      <c r="AF40" s="307"/>
      <c r="AG40" s="308"/>
      <c r="AH40" s="8"/>
      <c r="AI40" s="8"/>
      <c r="AJ40" s="312"/>
      <c r="AK40" s="313"/>
      <c r="AL40" s="313"/>
      <c r="AM40" s="313"/>
      <c r="AN40" s="313"/>
      <c r="AO40" s="313"/>
      <c r="AP40" s="313"/>
      <c r="AQ40" s="313"/>
      <c r="AR40" s="313"/>
      <c r="AS40" s="313"/>
      <c r="AT40" s="313"/>
      <c r="AU40" s="313"/>
      <c r="AV40" s="313"/>
      <c r="AW40" s="314"/>
      <c r="AX40" s="8"/>
      <c r="AY40" s="9"/>
    </row>
    <row r="41" spans="2:51" ht="10.5" customHeight="1" x14ac:dyDescent="0.2">
      <c r="B41" s="7"/>
      <c r="C41" s="8"/>
      <c r="D41" s="292"/>
      <c r="E41" s="293"/>
      <c r="F41" s="293"/>
      <c r="G41" s="293"/>
      <c r="H41" s="293"/>
      <c r="I41" s="293"/>
      <c r="J41" s="293"/>
      <c r="K41" s="293"/>
      <c r="L41" s="293"/>
      <c r="M41" s="293"/>
      <c r="N41" s="293"/>
      <c r="O41" s="293"/>
      <c r="P41" s="293"/>
      <c r="Q41" s="294"/>
      <c r="R41" s="8"/>
      <c r="S41" s="8"/>
      <c r="T41" s="306"/>
      <c r="U41" s="307"/>
      <c r="V41" s="307"/>
      <c r="W41" s="307"/>
      <c r="X41" s="307"/>
      <c r="Y41" s="307"/>
      <c r="Z41" s="307"/>
      <c r="AA41" s="307"/>
      <c r="AB41" s="307"/>
      <c r="AC41" s="307"/>
      <c r="AD41" s="307"/>
      <c r="AE41" s="307"/>
      <c r="AF41" s="307"/>
      <c r="AG41" s="308"/>
      <c r="AH41" s="8"/>
      <c r="AI41" s="8"/>
      <c r="AJ41" s="312"/>
      <c r="AK41" s="313"/>
      <c r="AL41" s="313"/>
      <c r="AM41" s="313"/>
      <c r="AN41" s="313"/>
      <c r="AO41" s="313"/>
      <c r="AP41" s="313"/>
      <c r="AQ41" s="313"/>
      <c r="AR41" s="313"/>
      <c r="AS41" s="313"/>
      <c r="AT41" s="313"/>
      <c r="AU41" s="313"/>
      <c r="AV41" s="313"/>
      <c r="AW41" s="314"/>
      <c r="AX41" s="8"/>
      <c r="AY41" s="9"/>
    </row>
    <row r="42" spans="2:51" ht="10.5" customHeight="1" x14ac:dyDescent="0.2">
      <c r="B42" s="7"/>
      <c r="C42" s="8"/>
      <c r="D42" s="292"/>
      <c r="E42" s="293"/>
      <c r="F42" s="293"/>
      <c r="G42" s="293"/>
      <c r="H42" s="293"/>
      <c r="I42" s="293"/>
      <c r="J42" s="293"/>
      <c r="K42" s="293"/>
      <c r="L42" s="293"/>
      <c r="M42" s="293"/>
      <c r="N42" s="293"/>
      <c r="O42" s="293"/>
      <c r="P42" s="293"/>
      <c r="Q42" s="294"/>
      <c r="R42" s="8"/>
      <c r="S42" s="8"/>
      <c r="T42" s="306"/>
      <c r="U42" s="307"/>
      <c r="V42" s="307"/>
      <c r="W42" s="307"/>
      <c r="X42" s="307"/>
      <c r="Y42" s="307"/>
      <c r="Z42" s="307"/>
      <c r="AA42" s="307"/>
      <c r="AB42" s="307"/>
      <c r="AC42" s="307"/>
      <c r="AD42" s="307"/>
      <c r="AE42" s="307"/>
      <c r="AF42" s="307"/>
      <c r="AG42" s="308"/>
      <c r="AH42" s="8"/>
      <c r="AI42" s="8"/>
      <c r="AJ42" s="312"/>
      <c r="AK42" s="313"/>
      <c r="AL42" s="313"/>
      <c r="AM42" s="313"/>
      <c r="AN42" s="313"/>
      <c r="AO42" s="313"/>
      <c r="AP42" s="313"/>
      <c r="AQ42" s="313"/>
      <c r="AR42" s="313"/>
      <c r="AS42" s="313"/>
      <c r="AT42" s="313"/>
      <c r="AU42" s="313"/>
      <c r="AV42" s="313"/>
      <c r="AW42" s="314"/>
      <c r="AX42" s="8"/>
      <c r="AY42" s="9"/>
    </row>
    <row r="43" spans="2:51" ht="10.5" customHeight="1" x14ac:dyDescent="0.2">
      <c r="B43" s="7"/>
      <c r="C43" s="8"/>
      <c r="D43" s="283" t="str">
        <f>REPT(CHAR(73),ROUNDDOWN(72*72*(COUNTIF(LISTAS!A:A,4)-COUNTIFS(LISTAS!A:A,4,LISTAS!D:D,""))/COUNTIF(LISTAS!A:A,4),0))</f>
        <v/>
      </c>
      <c r="E43" s="283"/>
      <c r="F43" s="283"/>
      <c r="G43" s="283"/>
      <c r="H43" s="283"/>
      <c r="I43" s="283"/>
      <c r="J43" s="283"/>
      <c r="K43" s="283"/>
      <c r="L43" s="283"/>
      <c r="M43" s="283"/>
      <c r="N43" s="283"/>
      <c r="O43" s="283"/>
      <c r="P43" s="284" t="str">
        <f>IF(LISTAS!D103=TRUE,"a","")</f>
        <v/>
      </c>
      <c r="Q43" s="284"/>
      <c r="R43" s="8"/>
      <c r="S43" s="8"/>
      <c r="T43" s="301" t="str">
        <f>REPT(CHAR(73),ROUNDDOWN(72*72*(COUNTIF(LISTAS!A:A,5)-COUNTIFS(LISTAS!A:A,5,LISTAS!D:D,""))/COUNTIF(LISTAS!A:A,5),0))</f>
        <v/>
      </c>
      <c r="U43" s="301"/>
      <c r="V43" s="301"/>
      <c r="W43" s="301"/>
      <c r="X43" s="301"/>
      <c r="Y43" s="301"/>
      <c r="Z43" s="301"/>
      <c r="AA43" s="301"/>
      <c r="AB43" s="301"/>
      <c r="AC43" s="301"/>
      <c r="AD43" s="301"/>
      <c r="AE43" s="301"/>
      <c r="AF43" s="302" t="str">
        <f>IF(LISTAS!D109=TRUE,"a","")</f>
        <v/>
      </c>
      <c r="AG43" s="302"/>
      <c r="AH43" s="8"/>
      <c r="AI43" s="8"/>
      <c r="AJ43" s="301" t="str">
        <f>REPT(CHAR(73),ROUNDDOWN(72*(COUNTIF(LISTAS!A:A,6)-COUNTIFS(LISTAS!A:A,6,LISTAS!D:D,"")+COUNTIFS(LISTAS!A:A,"PEAI",LISTAS!D:D,"")*4)/COUNTIF(LISTAS!A:A,6),0))</f>
        <v/>
      </c>
      <c r="AK43" s="301"/>
      <c r="AL43" s="301"/>
      <c r="AM43" s="301"/>
      <c r="AN43" s="301"/>
      <c r="AO43" s="301"/>
      <c r="AP43" s="301"/>
      <c r="AQ43" s="301"/>
      <c r="AR43" s="301"/>
      <c r="AS43" s="301"/>
      <c r="AT43" s="301"/>
      <c r="AU43" s="301"/>
      <c r="AV43" s="302" t="str">
        <f>IF(LISTAS!D164=TRUE,IF(LISTAS!D165=FALSE,"a",""),"")</f>
        <v/>
      </c>
      <c r="AW43" s="302"/>
      <c r="AX43" s="8"/>
      <c r="AY43" s="9"/>
    </row>
    <row r="44" spans="2:51" ht="10.5" customHeight="1" x14ac:dyDescent="0.2">
      <c r="B44" s="7"/>
      <c r="C44" s="8"/>
      <c r="D44" s="283"/>
      <c r="E44" s="283"/>
      <c r="F44" s="283"/>
      <c r="G44" s="283"/>
      <c r="H44" s="283"/>
      <c r="I44" s="283"/>
      <c r="J44" s="283"/>
      <c r="K44" s="283"/>
      <c r="L44" s="283"/>
      <c r="M44" s="283"/>
      <c r="N44" s="283"/>
      <c r="O44" s="283"/>
      <c r="P44" s="284"/>
      <c r="Q44" s="284"/>
      <c r="R44" s="8"/>
      <c r="S44" s="8"/>
      <c r="T44" s="301"/>
      <c r="U44" s="301"/>
      <c r="V44" s="301"/>
      <c r="W44" s="301"/>
      <c r="X44" s="301"/>
      <c r="Y44" s="301"/>
      <c r="Z44" s="301"/>
      <c r="AA44" s="301"/>
      <c r="AB44" s="301"/>
      <c r="AC44" s="301"/>
      <c r="AD44" s="301"/>
      <c r="AE44" s="301"/>
      <c r="AF44" s="302"/>
      <c r="AG44" s="302"/>
      <c r="AH44" s="8"/>
      <c r="AI44" s="8"/>
      <c r="AJ44" s="301"/>
      <c r="AK44" s="301"/>
      <c r="AL44" s="301"/>
      <c r="AM44" s="301"/>
      <c r="AN44" s="301"/>
      <c r="AO44" s="301"/>
      <c r="AP44" s="301"/>
      <c r="AQ44" s="301"/>
      <c r="AR44" s="301"/>
      <c r="AS44" s="301"/>
      <c r="AT44" s="301"/>
      <c r="AU44" s="301"/>
      <c r="AV44" s="302"/>
      <c r="AW44" s="302"/>
      <c r="AX44" s="8"/>
      <c r="AY44" s="9"/>
    </row>
    <row r="45" spans="2:51" ht="10.5" customHeight="1" x14ac:dyDescent="0.2">
      <c r="B45" s="7"/>
      <c r="C45" s="8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5"/>
      <c r="Q45" s="105"/>
      <c r="R45" s="8"/>
      <c r="S45" s="8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5"/>
      <c r="AG45" s="105"/>
      <c r="AH45" s="8"/>
      <c r="AI45" s="8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5"/>
      <c r="AW45" s="105"/>
      <c r="AX45" s="8"/>
      <c r="AY45" s="9"/>
    </row>
    <row r="46" spans="2:51" ht="10.5" customHeight="1" x14ac:dyDescent="0.2">
      <c r="B46" s="7"/>
      <c r="C46" s="8"/>
      <c r="D46" s="106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5"/>
      <c r="Q46" s="105"/>
      <c r="R46" s="8"/>
      <c r="S46" s="8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5"/>
      <c r="AG46" s="105"/>
      <c r="AH46" s="8"/>
      <c r="AI46" s="8"/>
      <c r="AJ46" s="104"/>
      <c r="AK46" s="104"/>
      <c r="AL46" s="104"/>
      <c r="AM46" s="104"/>
      <c r="AN46" s="104"/>
      <c r="AO46" s="104"/>
      <c r="AP46" s="271" t="str">
        <f>IF(LISTAS!D110=TRUE,"Enviar Data","")</f>
        <v/>
      </c>
      <c r="AQ46" s="272"/>
      <c r="AR46" s="272"/>
      <c r="AS46" s="272"/>
      <c r="AT46" s="272"/>
      <c r="AU46" s="272"/>
      <c r="AV46" s="272"/>
      <c r="AW46" s="273"/>
      <c r="AX46" s="8"/>
      <c r="AY46" s="9"/>
    </row>
    <row r="47" spans="2:51" ht="10.5" customHeight="1" x14ac:dyDescent="0.2">
      <c r="B47" s="7"/>
      <c r="C47" s="8"/>
      <c r="D47" s="107" t="s">
        <v>4175</v>
      </c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5"/>
      <c r="Q47" s="105"/>
      <c r="R47" s="8"/>
      <c r="S47" s="8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5"/>
      <c r="AG47" s="105"/>
      <c r="AH47" s="8"/>
      <c r="AI47" s="8"/>
      <c r="AJ47" s="104"/>
      <c r="AK47" s="104"/>
      <c r="AL47" s="104"/>
      <c r="AM47" s="104"/>
      <c r="AN47" s="104"/>
      <c r="AO47" s="104"/>
      <c r="AP47" s="274"/>
      <c r="AQ47" s="275"/>
      <c r="AR47" s="275"/>
      <c r="AS47" s="275"/>
      <c r="AT47" s="275"/>
      <c r="AU47" s="275"/>
      <c r="AV47" s="275"/>
      <c r="AW47" s="276"/>
      <c r="AX47" s="8"/>
      <c r="AY47" s="9"/>
    </row>
    <row r="48" spans="2:51" ht="10.5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7"/>
      <c r="C49" s="139" t="s">
        <v>4176</v>
      </c>
      <c r="D49" s="139"/>
      <c r="E49" s="139" t="s">
        <v>4177</v>
      </c>
      <c r="F49" s="139"/>
      <c r="G49" s="139" t="s">
        <v>4126</v>
      </c>
      <c r="H49" s="139"/>
      <c r="I49" s="139" t="s">
        <v>4178</v>
      </c>
      <c r="J49" s="139"/>
      <c r="K49" s="139" t="s">
        <v>4179</v>
      </c>
      <c r="L49" s="139"/>
      <c r="M49" s="139" t="s">
        <v>4180</v>
      </c>
      <c r="N49" s="139"/>
      <c r="O49" s="139" t="s">
        <v>4181</v>
      </c>
      <c r="P49" s="139"/>
      <c r="Q49" s="139" t="s">
        <v>4182</v>
      </c>
      <c r="R49" s="139"/>
      <c r="S49" s="139" t="s">
        <v>4183</v>
      </c>
      <c r="T49" s="139"/>
      <c r="U49" s="139" t="s">
        <v>4184</v>
      </c>
      <c r="V49" s="139"/>
      <c r="W49" s="139" t="s">
        <v>4185</v>
      </c>
      <c r="X49" s="139"/>
      <c r="Y49" s="139" t="s">
        <v>4186</v>
      </c>
      <c r="Z49" s="139"/>
      <c r="AA49" s="139" t="s">
        <v>1780</v>
      </c>
      <c r="AB49" s="139"/>
      <c r="AC49" s="139" t="s">
        <v>4187</v>
      </c>
      <c r="AD49" s="139"/>
      <c r="AE49" s="139" t="s">
        <v>1781</v>
      </c>
      <c r="AF49" s="139"/>
      <c r="AG49" s="139" t="s">
        <v>4188</v>
      </c>
      <c r="AH49" s="139"/>
      <c r="AI49" s="139" t="s">
        <v>4189</v>
      </c>
      <c r="AJ49" s="139"/>
      <c r="AK49" s="139" t="s">
        <v>4190</v>
      </c>
      <c r="AL49" s="139"/>
      <c r="AM49" s="139" t="s">
        <v>4191</v>
      </c>
      <c r="AN49" s="139"/>
      <c r="AO49" s="139" t="s">
        <v>4192</v>
      </c>
      <c r="AP49" s="139"/>
      <c r="AQ49" s="139" t="s">
        <v>4176</v>
      </c>
      <c r="AR49" s="139"/>
      <c r="AS49" s="139" t="s">
        <v>4177</v>
      </c>
      <c r="AT49" s="139"/>
      <c r="AU49" s="139" t="s">
        <v>4126</v>
      </c>
      <c r="AV49" s="139"/>
      <c r="AW49" s="139" t="s">
        <v>4178</v>
      </c>
      <c r="AX49" s="139"/>
      <c r="AY49" s="9"/>
    </row>
    <row r="50" spans="2:51" ht="12" customHeight="1" x14ac:dyDescent="0.2">
      <c r="B50" s="7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  <c r="AC50" s="139"/>
      <c r="AD50" s="139"/>
      <c r="AE50" s="139"/>
      <c r="AF50" s="139"/>
      <c r="AG50" s="139"/>
      <c r="AH50" s="139"/>
      <c r="AI50" s="139"/>
      <c r="AJ50" s="139"/>
      <c r="AK50" s="139"/>
      <c r="AL50" s="139"/>
      <c r="AM50" s="139"/>
      <c r="AN50" s="139"/>
      <c r="AO50" s="139"/>
      <c r="AP50" s="139"/>
      <c r="AQ50" s="139"/>
      <c r="AR50" s="139"/>
      <c r="AS50" s="139"/>
      <c r="AT50" s="139"/>
      <c r="AU50" s="139"/>
      <c r="AV50" s="139"/>
      <c r="AW50" s="139"/>
      <c r="AX50" s="139"/>
      <c r="AY50" s="9"/>
    </row>
    <row r="51" spans="2:51" ht="12" customHeight="1" x14ac:dyDescent="0.2">
      <c r="B51" s="7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9"/>
    </row>
    <row r="52" spans="2:51" ht="12" customHeight="1" x14ac:dyDescent="0.2">
      <c r="B52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52" s="11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3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5" t="str">
        <f ca="1">IF('MOD1'!$AY$49="","",'MOD1'!$AY$49)</f>
        <v>*Equipo de Gestión de la Información - EBR - Ministerio de Educación</v>
      </c>
    </row>
  </sheetData>
  <sheetProtection algorithmName="SHA-512" hashValue="+yjODV4g5kuKESJiOdd5uestSDZhWib221R8WrYMk6CSypeVaaUZEUN+t+b2medS4g7UxoI/0pRIdtgb1UMx+Q==" saltValue="bD26MLsGSVs0CQKpMfItEA==" spinCount="100000" sheet="1" objects="1" scenarios="1"/>
  <mergeCells count="45">
    <mergeCell ref="AJ43:AU44"/>
    <mergeCell ref="AV43:AW44"/>
    <mergeCell ref="P27:Q28"/>
    <mergeCell ref="T43:AE44"/>
    <mergeCell ref="AF43:AG44"/>
    <mergeCell ref="T31:AG42"/>
    <mergeCell ref="D31:Q42"/>
    <mergeCell ref="D27:O28"/>
    <mergeCell ref="AJ31:AW42"/>
    <mergeCell ref="D43:O44"/>
    <mergeCell ref="P43:Q44"/>
    <mergeCell ref="D15:Q26"/>
    <mergeCell ref="T27:AE28"/>
    <mergeCell ref="AJ27:AU28"/>
    <mergeCell ref="AV27:AW28"/>
    <mergeCell ref="C9:AX10"/>
    <mergeCell ref="D11:AW13"/>
    <mergeCell ref="AJ15:AW26"/>
    <mergeCell ref="T15:AG26"/>
    <mergeCell ref="AF27:AG28"/>
    <mergeCell ref="AM49:AN50"/>
    <mergeCell ref="Q49:R50"/>
    <mergeCell ref="S49:T50"/>
    <mergeCell ref="U49:V50"/>
    <mergeCell ref="W49:X50"/>
    <mergeCell ref="AA49:AB50"/>
    <mergeCell ref="AC49:AD50"/>
    <mergeCell ref="AE49:AF50"/>
    <mergeCell ref="AG49:AH50"/>
    <mergeCell ref="AI49:AJ50"/>
    <mergeCell ref="AK49:AL50"/>
    <mergeCell ref="C49:D50"/>
    <mergeCell ref="E49:F50"/>
    <mergeCell ref="G49:H50"/>
    <mergeCell ref="I49:J50"/>
    <mergeCell ref="Y49:Z50"/>
    <mergeCell ref="M49:N50"/>
    <mergeCell ref="O49:P50"/>
    <mergeCell ref="K49:L50"/>
    <mergeCell ref="AP46:AW47"/>
    <mergeCell ref="AU49:AV50"/>
    <mergeCell ref="AW49:AX50"/>
    <mergeCell ref="AO49:AP50"/>
    <mergeCell ref="AQ49:AR50"/>
    <mergeCell ref="AS49:AT50"/>
  </mergeCells>
  <conditionalFormatting sqref="AP46:AW47">
    <cfRule type="expression" dxfId="209" priority="4">
      <formula>$AP$46=""</formula>
    </cfRule>
  </conditionalFormatting>
  <conditionalFormatting sqref="C49:AX50">
    <cfRule type="expression" dxfId="208" priority="1">
      <formula>IF(CODE(C49)=38,1,0)</formula>
    </cfRule>
    <cfRule type="expression" dxfId="207" priority="2">
      <formula>IF(CODE(C49)=37,1,0)</formula>
    </cfRule>
    <cfRule type="expression" dxfId="206" priority="3">
      <formula>IF(OR(CODE(C49)=143,CODE(C49)=167,CODE(C49)=168,CODE(C49)=254),1,0)</formula>
    </cfRule>
  </conditionalFormatting>
  <printOptions horizontalCentered="1" verticalCentered="1"/>
  <pageMargins left="0" right="0" top="0.39370078740157483" bottom="0.39370078740157483" header="0.19685039370078741" footer="0.19685039370078741"/>
  <pageSetup paperSize="9" scale="98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00FF"/>
    <pageSetUpPr fitToPage="1"/>
  </sheetPr>
  <dimension ref="A1:AY64"/>
  <sheetViews>
    <sheetView showGridLines="0" zoomScaleNormal="100" zoomScaleSheetLayoutView="100" workbookViewId="0">
      <selection activeCell="H36" sqref="H36:N37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70" width="2.7109375" style="36"/>
    <col min="71" max="71" width="4" style="36" bestFit="1" customWidth="1"/>
    <col min="72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15" t="s">
        <v>3644</v>
      </c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  <c r="W9" s="316"/>
      <c r="X9" s="316"/>
      <c r="Y9" s="316"/>
      <c r="Z9" s="316"/>
      <c r="AA9" s="316"/>
      <c r="AB9" s="316"/>
      <c r="AC9" s="316"/>
      <c r="AD9" s="316"/>
      <c r="AE9" s="316"/>
      <c r="AF9" s="316"/>
      <c r="AG9" s="316"/>
      <c r="AH9" s="316"/>
      <c r="AI9" s="316"/>
      <c r="AJ9" s="316"/>
      <c r="AK9" s="316"/>
      <c r="AL9" s="316"/>
      <c r="AM9" s="316"/>
      <c r="AN9" s="316"/>
      <c r="AO9" s="316"/>
      <c r="AP9" s="316"/>
      <c r="AQ9" s="316"/>
      <c r="AR9" s="316"/>
      <c r="AS9" s="316"/>
      <c r="AT9" s="316"/>
      <c r="AU9" s="316"/>
      <c r="AV9" s="316"/>
      <c r="AW9" s="316"/>
      <c r="AX9" s="316"/>
      <c r="AY9" s="9"/>
    </row>
    <row r="10" spans="1:51" ht="9" customHeight="1" x14ac:dyDescent="0.2">
      <c r="B10" s="7"/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9"/>
    </row>
    <row r="11" spans="1:51" ht="12" customHeight="1" x14ac:dyDescent="0.2">
      <c r="B11" s="7"/>
      <c r="C11" s="319" t="s">
        <v>1793</v>
      </c>
      <c r="D11" s="320"/>
      <c r="E11" s="320"/>
      <c r="F11" s="320"/>
      <c r="G11" s="320"/>
      <c r="H11" s="321" t="s">
        <v>1794</v>
      </c>
      <c r="I11" s="322"/>
      <c r="J11" s="322"/>
      <c r="K11" s="322"/>
      <c r="L11" s="322"/>
      <c r="M11" s="322"/>
      <c r="N11" s="322"/>
      <c r="O11" s="322"/>
      <c r="P11" s="322"/>
      <c r="Q11" s="322"/>
      <c r="R11" s="322"/>
      <c r="S11" s="322"/>
      <c r="T11" s="322"/>
      <c r="U11" s="322"/>
      <c r="V11" s="322"/>
      <c r="W11" s="322"/>
      <c r="X11" s="322"/>
      <c r="Y11" s="322"/>
      <c r="Z11" s="322"/>
      <c r="AA11" s="322"/>
      <c r="AB11" s="322"/>
      <c r="AC11" s="322"/>
      <c r="AD11" s="322"/>
      <c r="AE11" s="322"/>
      <c r="AF11" s="324"/>
      <c r="AG11" s="324"/>
      <c r="AH11" s="324"/>
      <c r="AI11" s="323"/>
      <c r="AJ11" s="319" t="s">
        <v>1800</v>
      </c>
      <c r="AK11" s="320"/>
      <c r="AL11" s="320"/>
      <c r="AM11" s="320"/>
      <c r="AN11" s="320"/>
      <c r="AO11" s="320"/>
      <c r="AP11" s="319" t="s">
        <v>1801</v>
      </c>
      <c r="AQ11" s="320"/>
      <c r="AR11" s="320"/>
      <c r="AS11" s="320"/>
      <c r="AT11" s="320"/>
      <c r="AU11" s="320"/>
      <c r="AV11" s="320"/>
      <c r="AW11" s="320"/>
      <c r="AX11" s="320"/>
      <c r="AY11" s="9"/>
    </row>
    <row r="12" spans="1:51" ht="9.9499999999999993" customHeight="1" x14ac:dyDescent="0.2">
      <c r="B12" s="7"/>
      <c r="C12" s="320"/>
      <c r="D12" s="320"/>
      <c r="E12" s="320"/>
      <c r="F12" s="320"/>
      <c r="G12" s="320"/>
      <c r="H12" s="321" t="s">
        <v>1795</v>
      </c>
      <c r="I12" s="322"/>
      <c r="J12" s="322"/>
      <c r="K12" s="322"/>
      <c r="L12" s="322"/>
      <c r="M12" s="322"/>
      <c r="N12" s="323"/>
      <c r="O12" s="321" t="s">
        <v>1796</v>
      </c>
      <c r="P12" s="322"/>
      <c r="Q12" s="322"/>
      <c r="R12" s="322"/>
      <c r="S12" s="322"/>
      <c r="T12" s="322"/>
      <c r="U12" s="323"/>
      <c r="V12" s="321" t="s">
        <v>1797</v>
      </c>
      <c r="W12" s="322"/>
      <c r="X12" s="322"/>
      <c r="Y12" s="322"/>
      <c r="Z12" s="322"/>
      <c r="AA12" s="322"/>
      <c r="AB12" s="323"/>
      <c r="AC12" s="321" t="s">
        <v>1798</v>
      </c>
      <c r="AD12" s="322"/>
      <c r="AE12" s="322"/>
      <c r="AF12" s="322"/>
      <c r="AG12" s="322"/>
      <c r="AH12" s="322"/>
      <c r="AI12" s="323"/>
      <c r="AJ12" s="320"/>
      <c r="AK12" s="320"/>
      <c r="AL12" s="320"/>
      <c r="AM12" s="320"/>
      <c r="AN12" s="320"/>
      <c r="AO12" s="320"/>
      <c r="AP12" s="320"/>
      <c r="AQ12" s="320"/>
      <c r="AR12" s="320"/>
      <c r="AS12" s="320"/>
      <c r="AT12" s="320"/>
      <c r="AU12" s="320"/>
      <c r="AV12" s="320"/>
      <c r="AW12" s="320"/>
      <c r="AX12" s="320"/>
      <c r="AY12" s="9"/>
    </row>
    <row r="13" spans="1:51" ht="11.45" customHeight="1" x14ac:dyDescent="0.2">
      <c r="B13" s="7"/>
      <c r="C13" s="317" t="str">
        <f>LISTAS!AJ2</f>
        <v>1. La I.E. cuenta con un Comité Ambiental reconocido e institucionalizado.</v>
      </c>
      <c r="D13" s="318"/>
      <c r="E13" s="318"/>
      <c r="F13" s="318"/>
      <c r="G13" s="318"/>
      <c r="H13" s="334" t="str">
        <f>LISTAS!AK2</f>
        <v xml:space="preserve">El Comité Ambiental y sus comisiones, fueron reconocidos mediante Resolución directoral. </v>
      </c>
      <c r="I13" s="335"/>
      <c r="J13" s="335"/>
      <c r="K13" s="335"/>
      <c r="L13" s="335"/>
      <c r="M13" s="335"/>
      <c r="N13" s="336"/>
      <c r="O13" s="334" t="str">
        <f>LISTAS!AL2</f>
        <v>Las actividades del Comité Ambiental y sus comisiones están incluidas en el PAT.</v>
      </c>
      <c r="P13" s="335"/>
      <c r="Q13" s="335"/>
      <c r="R13" s="335"/>
      <c r="S13" s="335"/>
      <c r="T13" s="335"/>
      <c r="U13" s="336"/>
      <c r="V13" s="334" t="str">
        <f>LISTAS!AM2</f>
        <v xml:space="preserve">El Comité Ambiental cumplió con la cuota de género y/o interculturalidad (mínimo 30%) en su conformación, según corresponda. </v>
      </c>
      <c r="W13" s="335"/>
      <c r="X13" s="335"/>
      <c r="Y13" s="335"/>
      <c r="Z13" s="335"/>
      <c r="AA13" s="335"/>
      <c r="AB13" s="336"/>
      <c r="AC13" s="334" t="str">
        <f>LISTAS!AN2</f>
        <v>El Comité Ambiental está conformado al menos por un (01) representante de la comunidad local (de instituciones privadas, públicas, organizaciones sociales, líderes y otros).</v>
      </c>
      <c r="AD13" s="335"/>
      <c r="AE13" s="335"/>
      <c r="AF13" s="335"/>
      <c r="AG13" s="335"/>
      <c r="AH13" s="335"/>
      <c r="AI13" s="336"/>
      <c r="AJ13" s="338" t="str">
        <f>LISTAS!AO2</f>
        <v xml:space="preserve">N° de hitos de aplicación del enfoque ambiental puestos en práctica en la institucionalización del Comité Ambiental. </v>
      </c>
      <c r="AK13" s="339"/>
      <c r="AL13" s="339"/>
      <c r="AM13" s="339"/>
      <c r="AN13" s="339"/>
      <c r="AO13" s="340"/>
      <c r="AP13" s="350"/>
      <c r="AQ13" s="351"/>
      <c r="AR13" s="351"/>
      <c r="AS13" s="351"/>
      <c r="AT13" s="351"/>
      <c r="AU13" s="351"/>
      <c r="AV13" s="351"/>
      <c r="AW13" s="351"/>
      <c r="AX13" s="351"/>
      <c r="AY13" s="9"/>
    </row>
    <row r="14" spans="1:51" ht="11.45" customHeight="1" x14ac:dyDescent="0.2">
      <c r="B14" s="7"/>
      <c r="C14" s="318"/>
      <c r="D14" s="318"/>
      <c r="E14" s="318"/>
      <c r="F14" s="318"/>
      <c r="G14" s="318"/>
      <c r="H14" s="337"/>
      <c r="I14" s="335"/>
      <c r="J14" s="335"/>
      <c r="K14" s="335"/>
      <c r="L14" s="335"/>
      <c r="M14" s="335"/>
      <c r="N14" s="336"/>
      <c r="O14" s="337"/>
      <c r="P14" s="335"/>
      <c r="Q14" s="335"/>
      <c r="R14" s="335"/>
      <c r="S14" s="335"/>
      <c r="T14" s="335"/>
      <c r="U14" s="336"/>
      <c r="V14" s="337"/>
      <c r="W14" s="335"/>
      <c r="X14" s="335"/>
      <c r="Y14" s="335"/>
      <c r="Z14" s="335"/>
      <c r="AA14" s="335"/>
      <c r="AB14" s="336"/>
      <c r="AC14" s="337"/>
      <c r="AD14" s="335"/>
      <c r="AE14" s="335"/>
      <c r="AF14" s="335"/>
      <c r="AG14" s="335"/>
      <c r="AH14" s="335"/>
      <c r="AI14" s="336"/>
      <c r="AJ14" s="341"/>
      <c r="AK14" s="342"/>
      <c r="AL14" s="342"/>
      <c r="AM14" s="342"/>
      <c r="AN14" s="342"/>
      <c r="AO14" s="343"/>
      <c r="AP14" s="351"/>
      <c r="AQ14" s="351"/>
      <c r="AR14" s="351"/>
      <c r="AS14" s="351"/>
      <c r="AT14" s="351"/>
      <c r="AU14" s="351"/>
      <c r="AV14" s="351"/>
      <c r="AW14" s="351"/>
      <c r="AX14" s="351"/>
      <c r="AY14" s="9"/>
    </row>
    <row r="15" spans="1:51" ht="11.45" customHeight="1" x14ac:dyDescent="0.2">
      <c r="B15" s="7"/>
      <c r="C15" s="318"/>
      <c r="D15" s="318"/>
      <c r="E15" s="318"/>
      <c r="F15" s="318"/>
      <c r="G15" s="318"/>
      <c r="H15" s="337"/>
      <c r="I15" s="335"/>
      <c r="J15" s="335"/>
      <c r="K15" s="335"/>
      <c r="L15" s="335"/>
      <c r="M15" s="335"/>
      <c r="N15" s="336"/>
      <c r="O15" s="337"/>
      <c r="P15" s="335"/>
      <c r="Q15" s="335"/>
      <c r="R15" s="335"/>
      <c r="S15" s="335"/>
      <c r="T15" s="335"/>
      <c r="U15" s="336"/>
      <c r="V15" s="337"/>
      <c r="W15" s="335"/>
      <c r="X15" s="335"/>
      <c r="Y15" s="335"/>
      <c r="Z15" s="335"/>
      <c r="AA15" s="335"/>
      <c r="AB15" s="336"/>
      <c r="AC15" s="337"/>
      <c r="AD15" s="335"/>
      <c r="AE15" s="335"/>
      <c r="AF15" s="335"/>
      <c r="AG15" s="335"/>
      <c r="AH15" s="335"/>
      <c r="AI15" s="336"/>
      <c r="AJ15" s="341"/>
      <c r="AK15" s="342"/>
      <c r="AL15" s="342"/>
      <c r="AM15" s="342"/>
      <c r="AN15" s="342"/>
      <c r="AO15" s="343"/>
      <c r="AP15" s="351"/>
      <c r="AQ15" s="351"/>
      <c r="AR15" s="351"/>
      <c r="AS15" s="351"/>
      <c r="AT15" s="351"/>
      <c r="AU15" s="351"/>
      <c r="AV15" s="351"/>
      <c r="AW15" s="351"/>
      <c r="AX15" s="351"/>
      <c r="AY15" s="9"/>
    </row>
    <row r="16" spans="1:51" ht="11.45" customHeight="1" x14ac:dyDescent="0.2">
      <c r="B16" s="7"/>
      <c r="C16" s="318"/>
      <c r="D16" s="318"/>
      <c r="E16" s="318"/>
      <c r="F16" s="318"/>
      <c r="G16" s="318"/>
      <c r="H16" s="337"/>
      <c r="I16" s="335"/>
      <c r="J16" s="335"/>
      <c r="K16" s="335"/>
      <c r="L16" s="335"/>
      <c r="M16" s="335"/>
      <c r="N16" s="336"/>
      <c r="O16" s="337"/>
      <c r="P16" s="335"/>
      <c r="Q16" s="335"/>
      <c r="R16" s="335"/>
      <c r="S16" s="335"/>
      <c r="T16" s="335"/>
      <c r="U16" s="336"/>
      <c r="V16" s="337"/>
      <c r="W16" s="335"/>
      <c r="X16" s="335"/>
      <c r="Y16" s="335"/>
      <c r="Z16" s="335"/>
      <c r="AA16" s="335"/>
      <c r="AB16" s="336"/>
      <c r="AC16" s="337"/>
      <c r="AD16" s="335"/>
      <c r="AE16" s="335"/>
      <c r="AF16" s="335"/>
      <c r="AG16" s="335"/>
      <c r="AH16" s="335"/>
      <c r="AI16" s="336"/>
      <c r="AJ16" s="341"/>
      <c r="AK16" s="342"/>
      <c r="AL16" s="342"/>
      <c r="AM16" s="342"/>
      <c r="AN16" s="342"/>
      <c r="AO16" s="343"/>
      <c r="AP16" s="351"/>
      <c r="AQ16" s="351"/>
      <c r="AR16" s="351"/>
      <c r="AS16" s="351"/>
      <c r="AT16" s="351"/>
      <c r="AU16" s="351"/>
      <c r="AV16" s="351"/>
      <c r="AW16" s="351"/>
      <c r="AX16" s="351"/>
      <c r="AY16" s="9"/>
    </row>
    <row r="17" spans="2:51" ht="11.45" customHeight="1" x14ac:dyDescent="0.2">
      <c r="B17" s="7"/>
      <c r="C17" s="318"/>
      <c r="D17" s="318"/>
      <c r="E17" s="318"/>
      <c r="F17" s="318"/>
      <c r="G17" s="318"/>
      <c r="H17" s="337"/>
      <c r="I17" s="335"/>
      <c r="J17" s="335"/>
      <c r="K17" s="335"/>
      <c r="L17" s="335"/>
      <c r="M17" s="335"/>
      <c r="N17" s="336"/>
      <c r="O17" s="337"/>
      <c r="P17" s="335"/>
      <c r="Q17" s="335"/>
      <c r="R17" s="335"/>
      <c r="S17" s="335"/>
      <c r="T17" s="335"/>
      <c r="U17" s="336"/>
      <c r="V17" s="337"/>
      <c r="W17" s="335"/>
      <c r="X17" s="335"/>
      <c r="Y17" s="335"/>
      <c r="Z17" s="335"/>
      <c r="AA17" s="335"/>
      <c r="AB17" s="336"/>
      <c r="AC17" s="337"/>
      <c r="AD17" s="335"/>
      <c r="AE17" s="335"/>
      <c r="AF17" s="335"/>
      <c r="AG17" s="335"/>
      <c r="AH17" s="335"/>
      <c r="AI17" s="336"/>
      <c r="AJ17" s="341"/>
      <c r="AK17" s="342"/>
      <c r="AL17" s="342"/>
      <c r="AM17" s="342"/>
      <c r="AN17" s="342"/>
      <c r="AO17" s="343"/>
      <c r="AP17" s="351"/>
      <c r="AQ17" s="351"/>
      <c r="AR17" s="351"/>
      <c r="AS17" s="351"/>
      <c r="AT17" s="351"/>
      <c r="AU17" s="351"/>
      <c r="AV17" s="351"/>
      <c r="AW17" s="351"/>
      <c r="AX17" s="351"/>
      <c r="AY17" s="9"/>
    </row>
    <row r="18" spans="2:51" ht="11.45" customHeight="1" x14ac:dyDescent="0.2">
      <c r="B18" s="7"/>
      <c r="C18" s="318"/>
      <c r="D18" s="318"/>
      <c r="E18" s="318"/>
      <c r="F18" s="318"/>
      <c r="G18" s="318"/>
      <c r="H18" s="337"/>
      <c r="I18" s="335"/>
      <c r="J18" s="335"/>
      <c r="K18" s="335"/>
      <c r="L18" s="335"/>
      <c r="M18" s="335"/>
      <c r="N18" s="336"/>
      <c r="O18" s="337"/>
      <c r="P18" s="335"/>
      <c r="Q18" s="335"/>
      <c r="R18" s="335"/>
      <c r="S18" s="335"/>
      <c r="T18" s="335"/>
      <c r="U18" s="336"/>
      <c r="V18" s="337"/>
      <c r="W18" s="335"/>
      <c r="X18" s="335"/>
      <c r="Y18" s="335"/>
      <c r="Z18" s="335"/>
      <c r="AA18" s="335"/>
      <c r="AB18" s="336"/>
      <c r="AC18" s="337"/>
      <c r="AD18" s="335"/>
      <c r="AE18" s="335"/>
      <c r="AF18" s="335"/>
      <c r="AG18" s="335"/>
      <c r="AH18" s="335"/>
      <c r="AI18" s="336"/>
      <c r="AJ18" s="341"/>
      <c r="AK18" s="342"/>
      <c r="AL18" s="342"/>
      <c r="AM18" s="342"/>
      <c r="AN18" s="342"/>
      <c r="AO18" s="343"/>
      <c r="AP18" s="351"/>
      <c r="AQ18" s="351"/>
      <c r="AR18" s="351"/>
      <c r="AS18" s="351"/>
      <c r="AT18" s="351"/>
      <c r="AU18" s="351"/>
      <c r="AV18" s="351"/>
      <c r="AW18" s="351"/>
      <c r="AX18" s="351"/>
      <c r="AY18" s="9"/>
    </row>
    <row r="19" spans="2:51" ht="11.45" customHeight="1" x14ac:dyDescent="0.2">
      <c r="B19" s="7"/>
      <c r="C19" s="318"/>
      <c r="D19" s="318"/>
      <c r="E19" s="318"/>
      <c r="F19" s="318"/>
      <c r="G19" s="318"/>
      <c r="H19" s="337"/>
      <c r="I19" s="335"/>
      <c r="J19" s="335"/>
      <c r="K19" s="335"/>
      <c r="L19" s="335"/>
      <c r="M19" s="335"/>
      <c r="N19" s="336"/>
      <c r="O19" s="337"/>
      <c r="P19" s="335"/>
      <c r="Q19" s="335"/>
      <c r="R19" s="335"/>
      <c r="S19" s="335"/>
      <c r="T19" s="335"/>
      <c r="U19" s="336"/>
      <c r="V19" s="337"/>
      <c r="W19" s="335"/>
      <c r="X19" s="335"/>
      <c r="Y19" s="335"/>
      <c r="Z19" s="335"/>
      <c r="AA19" s="335"/>
      <c r="AB19" s="336"/>
      <c r="AC19" s="337"/>
      <c r="AD19" s="335"/>
      <c r="AE19" s="335"/>
      <c r="AF19" s="335"/>
      <c r="AG19" s="335"/>
      <c r="AH19" s="335"/>
      <c r="AI19" s="336"/>
      <c r="AJ19" s="341"/>
      <c r="AK19" s="342"/>
      <c r="AL19" s="342"/>
      <c r="AM19" s="342"/>
      <c r="AN19" s="342"/>
      <c r="AO19" s="343"/>
      <c r="AP19" s="351"/>
      <c r="AQ19" s="351"/>
      <c r="AR19" s="351"/>
      <c r="AS19" s="351"/>
      <c r="AT19" s="351"/>
      <c r="AU19" s="351"/>
      <c r="AV19" s="351"/>
      <c r="AW19" s="351"/>
      <c r="AX19" s="351"/>
      <c r="AY19" s="9"/>
    </row>
    <row r="20" spans="2:51" ht="25.5" customHeight="1" x14ac:dyDescent="0.2">
      <c r="B20" s="7"/>
      <c r="C20" s="318"/>
      <c r="D20" s="318"/>
      <c r="E20" s="318"/>
      <c r="F20" s="318"/>
      <c r="G20" s="318"/>
      <c r="H20" s="337"/>
      <c r="I20" s="335"/>
      <c r="J20" s="335"/>
      <c r="K20" s="335"/>
      <c r="L20" s="335"/>
      <c r="M20" s="335"/>
      <c r="N20" s="336"/>
      <c r="O20" s="337"/>
      <c r="P20" s="335"/>
      <c r="Q20" s="335"/>
      <c r="R20" s="335"/>
      <c r="S20" s="335"/>
      <c r="T20" s="335"/>
      <c r="U20" s="336"/>
      <c r="V20" s="337"/>
      <c r="W20" s="335"/>
      <c r="X20" s="335"/>
      <c r="Y20" s="335"/>
      <c r="Z20" s="335"/>
      <c r="AA20" s="335"/>
      <c r="AB20" s="336"/>
      <c r="AC20" s="337"/>
      <c r="AD20" s="335"/>
      <c r="AE20" s="335"/>
      <c r="AF20" s="335"/>
      <c r="AG20" s="335"/>
      <c r="AH20" s="335"/>
      <c r="AI20" s="336"/>
      <c r="AJ20" s="341"/>
      <c r="AK20" s="342"/>
      <c r="AL20" s="342"/>
      <c r="AM20" s="342"/>
      <c r="AN20" s="342"/>
      <c r="AO20" s="343"/>
      <c r="AP20" s="351"/>
      <c r="AQ20" s="351"/>
      <c r="AR20" s="351"/>
      <c r="AS20" s="351"/>
      <c r="AT20" s="351"/>
      <c r="AU20" s="351"/>
      <c r="AV20" s="351"/>
      <c r="AW20" s="351"/>
      <c r="AX20" s="351"/>
      <c r="AY20" s="9"/>
    </row>
    <row r="21" spans="2:51" ht="6.95" customHeight="1" x14ac:dyDescent="0.2">
      <c r="B21" s="7"/>
      <c r="C21" s="318"/>
      <c r="D21" s="318"/>
      <c r="E21" s="318"/>
      <c r="F21" s="318"/>
      <c r="G21" s="318"/>
      <c r="H21" s="325"/>
      <c r="I21" s="326"/>
      <c r="J21" s="326"/>
      <c r="K21" s="326"/>
      <c r="L21" s="326"/>
      <c r="M21" s="326"/>
      <c r="N21" s="327"/>
      <c r="O21" s="325"/>
      <c r="P21" s="326"/>
      <c r="Q21" s="326"/>
      <c r="R21" s="326"/>
      <c r="S21" s="326"/>
      <c r="T21" s="326"/>
      <c r="U21" s="327"/>
      <c r="V21" s="325"/>
      <c r="W21" s="326"/>
      <c r="X21" s="326"/>
      <c r="Y21" s="326"/>
      <c r="Z21" s="326"/>
      <c r="AA21" s="326"/>
      <c r="AB21" s="327"/>
      <c r="AC21" s="325"/>
      <c r="AD21" s="326"/>
      <c r="AE21" s="326"/>
      <c r="AF21" s="326"/>
      <c r="AG21" s="326"/>
      <c r="AH21" s="326"/>
      <c r="AI21" s="327"/>
      <c r="AJ21" s="341"/>
      <c r="AK21" s="342"/>
      <c r="AL21" s="342"/>
      <c r="AM21" s="342"/>
      <c r="AN21" s="342"/>
      <c r="AO21" s="343"/>
      <c r="AP21" s="351"/>
      <c r="AQ21" s="351"/>
      <c r="AR21" s="351"/>
      <c r="AS21" s="351"/>
      <c r="AT21" s="351"/>
      <c r="AU21" s="351"/>
      <c r="AV21" s="351"/>
      <c r="AW21" s="351"/>
      <c r="AX21" s="351"/>
      <c r="AY21" s="9"/>
    </row>
    <row r="22" spans="2:51" ht="6.95" customHeight="1" x14ac:dyDescent="0.2">
      <c r="B22" s="7"/>
      <c r="C22" s="318"/>
      <c r="D22" s="318"/>
      <c r="E22" s="318"/>
      <c r="F22" s="318"/>
      <c r="G22" s="318"/>
      <c r="H22" s="328"/>
      <c r="I22" s="326"/>
      <c r="J22" s="326"/>
      <c r="K22" s="326"/>
      <c r="L22" s="326"/>
      <c r="M22" s="326"/>
      <c r="N22" s="327"/>
      <c r="O22" s="328"/>
      <c r="P22" s="326"/>
      <c r="Q22" s="326"/>
      <c r="R22" s="326"/>
      <c r="S22" s="326"/>
      <c r="T22" s="326"/>
      <c r="U22" s="327"/>
      <c r="V22" s="328"/>
      <c r="W22" s="326"/>
      <c r="X22" s="326"/>
      <c r="Y22" s="326"/>
      <c r="Z22" s="326"/>
      <c r="AA22" s="326"/>
      <c r="AB22" s="327"/>
      <c r="AC22" s="328"/>
      <c r="AD22" s="326"/>
      <c r="AE22" s="326"/>
      <c r="AF22" s="326"/>
      <c r="AG22" s="326"/>
      <c r="AH22" s="326"/>
      <c r="AI22" s="327"/>
      <c r="AJ22" s="341"/>
      <c r="AK22" s="342"/>
      <c r="AL22" s="342"/>
      <c r="AM22" s="342"/>
      <c r="AN22" s="342"/>
      <c r="AO22" s="343"/>
      <c r="AP22" s="351"/>
      <c r="AQ22" s="351"/>
      <c r="AR22" s="351"/>
      <c r="AS22" s="351"/>
      <c r="AT22" s="351"/>
      <c r="AU22" s="351"/>
      <c r="AV22" s="351"/>
      <c r="AW22" s="351"/>
      <c r="AX22" s="351"/>
      <c r="AY22" s="9"/>
    </row>
    <row r="23" spans="2:51" ht="11.45" customHeight="1" x14ac:dyDescent="0.2">
      <c r="B23" s="7"/>
      <c r="C23" s="360" t="s">
        <v>4107</v>
      </c>
      <c r="D23" s="360"/>
      <c r="E23" s="360"/>
      <c r="F23" s="360"/>
      <c r="G23" s="360"/>
      <c r="H23" s="329" t="str">
        <f>LISTAS!AP2</f>
        <v>Resolución Directoral de conformación del Comité Ambiental.</v>
      </c>
      <c r="I23" s="330"/>
      <c r="J23" s="330"/>
      <c r="K23" s="330"/>
      <c r="L23" s="330"/>
      <c r="M23" s="330"/>
      <c r="N23" s="330"/>
      <c r="O23" s="329" t="str">
        <f>LISTAS!AQ2</f>
        <v>Plan de Trabajo del Comité. PAT.</v>
      </c>
      <c r="P23" s="330"/>
      <c r="Q23" s="330"/>
      <c r="R23" s="330"/>
      <c r="S23" s="330"/>
      <c r="T23" s="330"/>
      <c r="U23" s="330"/>
      <c r="V23" s="329" t="str">
        <f>LISTAS!AR2</f>
        <v>Resolución Directoral de conformación del Comité Ambiental.</v>
      </c>
      <c r="W23" s="330"/>
      <c r="X23" s="330"/>
      <c r="Y23" s="330"/>
      <c r="Z23" s="330"/>
      <c r="AA23" s="330"/>
      <c r="AB23" s="330"/>
      <c r="AC23" s="329" t="str">
        <f>LISTAS!AS2</f>
        <v>Resolución Directoral de conformación del Comité Ambiental.</v>
      </c>
      <c r="AD23" s="330"/>
      <c r="AE23" s="330"/>
      <c r="AF23" s="330"/>
      <c r="AG23" s="330"/>
      <c r="AH23" s="330"/>
      <c r="AI23" s="330"/>
      <c r="AJ23" s="344"/>
      <c r="AK23" s="345"/>
      <c r="AL23" s="345"/>
      <c r="AM23" s="345"/>
      <c r="AN23" s="345"/>
      <c r="AO23" s="346"/>
      <c r="AP23" s="329"/>
      <c r="AQ23" s="329"/>
      <c r="AR23" s="329"/>
      <c r="AS23" s="329"/>
      <c r="AT23" s="329"/>
      <c r="AU23" s="329"/>
      <c r="AV23" s="329"/>
      <c r="AW23" s="329"/>
      <c r="AX23" s="329"/>
      <c r="AY23" s="9"/>
    </row>
    <row r="24" spans="2:51" ht="11.45" customHeight="1" x14ac:dyDescent="0.2">
      <c r="B24" s="7"/>
      <c r="C24" s="361"/>
      <c r="D24" s="361"/>
      <c r="E24" s="361"/>
      <c r="F24" s="361"/>
      <c r="G24" s="361"/>
      <c r="H24" s="331"/>
      <c r="I24" s="332"/>
      <c r="J24" s="332"/>
      <c r="K24" s="332"/>
      <c r="L24" s="332"/>
      <c r="M24" s="332"/>
      <c r="N24" s="332"/>
      <c r="O24" s="331"/>
      <c r="P24" s="332"/>
      <c r="Q24" s="332"/>
      <c r="R24" s="332"/>
      <c r="S24" s="332"/>
      <c r="T24" s="332"/>
      <c r="U24" s="332"/>
      <c r="V24" s="331"/>
      <c r="W24" s="332"/>
      <c r="X24" s="332"/>
      <c r="Y24" s="332"/>
      <c r="Z24" s="332"/>
      <c r="AA24" s="332"/>
      <c r="AB24" s="332"/>
      <c r="AC24" s="331"/>
      <c r="AD24" s="332"/>
      <c r="AE24" s="332"/>
      <c r="AF24" s="332"/>
      <c r="AG24" s="332"/>
      <c r="AH24" s="332"/>
      <c r="AI24" s="332"/>
      <c r="AJ24" s="344"/>
      <c r="AK24" s="345"/>
      <c r="AL24" s="345"/>
      <c r="AM24" s="345"/>
      <c r="AN24" s="345"/>
      <c r="AO24" s="346"/>
      <c r="AP24" s="331"/>
      <c r="AQ24" s="331"/>
      <c r="AR24" s="331"/>
      <c r="AS24" s="331"/>
      <c r="AT24" s="331"/>
      <c r="AU24" s="331"/>
      <c r="AV24" s="331"/>
      <c r="AW24" s="331"/>
      <c r="AX24" s="331"/>
      <c r="AY24" s="9"/>
    </row>
    <row r="25" spans="2:51" ht="11.45" customHeight="1" x14ac:dyDescent="0.2">
      <c r="B25" s="7"/>
      <c r="C25" s="361"/>
      <c r="D25" s="361"/>
      <c r="E25" s="361"/>
      <c r="F25" s="361"/>
      <c r="G25" s="361"/>
      <c r="H25" s="331"/>
      <c r="I25" s="332"/>
      <c r="J25" s="332"/>
      <c r="K25" s="332"/>
      <c r="L25" s="332"/>
      <c r="M25" s="332"/>
      <c r="N25" s="332"/>
      <c r="O25" s="331"/>
      <c r="P25" s="332"/>
      <c r="Q25" s="332"/>
      <c r="R25" s="332"/>
      <c r="S25" s="332"/>
      <c r="T25" s="332"/>
      <c r="U25" s="332"/>
      <c r="V25" s="331"/>
      <c r="W25" s="332"/>
      <c r="X25" s="332"/>
      <c r="Y25" s="332"/>
      <c r="Z25" s="332"/>
      <c r="AA25" s="332"/>
      <c r="AB25" s="332"/>
      <c r="AC25" s="331"/>
      <c r="AD25" s="332"/>
      <c r="AE25" s="332"/>
      <c r="AF25" s="332"/>
      <c r="AG25" s="332"/>
      <c r="AH25" s="332"/>
      <c r="AI25" s="332"/>
      <c r="AJ25" s="344"/>
      <c r="AK25" s="345"/>
      <c r="AL25" s="345"/>
      <c r="AM25" s="345"/>
      <c r="AN25" s="345"/>
      <c r="AO25" s="346"/>
      <c r="AP25" s="331"/>
      <c r="AQ25" s="331"/>
      <c r="AR25" s="331"/>
      <c r="AS25" s="331"/>
      <c r="AT25" s="331"/>
      <c r="AU25" s="331"/>
      <c r="AV25" s="331"/>
      <c r="AW25" s="331"/>
      <c r="AX25" s="331"/>
      <c r="AY25" s="9"/>
    </row>
    <row r="26" spans="2:51" ht="11.45" customHeight="1" x14ac:dyDescent="0.2">
      <c r="B26" s="7"/>
      <c r="C26" s="362"/>
      <c r="D26" s="362"/>
      <c r="E26" s="362"/>
      <c r="F26" s="362"/>
      <c r="G26" s="362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3"/>
      <c r="AC26" s="333"/>
      <c r="AD26" s="333"/>
      <c r="AE26" s="333"/>
      <c r="AF26" s="333"/>
      <c r="AG26" s="333"/>
      <c r="AH26" s="333"/>
      <c r="AI26" s="333"/>
      <c r="AJ26" s="347"/>
      <c r="AK26" s="348"/>
      <c r="AL26" s="348"/>
      <c r="AM26" s="348"/>
      <c r="AN26" s="348"/>
      <c r="AO26" s="349"/>
      <c r="AP26" s="352"/>
      <c r="AQ26" s="352"/>
      <c r="AR26" s="352"/>
      <c r="AS26" s="352"/>
      <c r="AT26" s="352"/>
      <c r="AU26" s="352"/>
      <c r="AV26" s="352"/>
      <c r="AW26" s="352"/>
      <c r="AX26" s="352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317" t="str">
        <f>LISTAS!AJ3</f>
        <v>2. La I.E. actualizó y/o elaboró sus herramientas de gestión escolar con enfoque ambiental.</v>
      </c>
      <c r="D28" s="318"/>
      <c r="E28" s="318"/>
      <c r="F28" s="318"/>
      <c r="G28" s="318"/>
      <c r="H28" s="334" t="str">
        <f>LISTAS!AK3</f>
        <v>La I.E. incluyó en el PEI, en el análisis situacional, su situación ambiental y vincula el diagnóstico al enfoque ambiental en la gestión escolar.</v>
      </c>
      <c r="I28" s="335"/>
      <c r="J28" s="335"/>
      <c r="K28" s="335"/>
      <c r="L28" s="335"/>
      <c r="M28" s="335"/>
      <c r="N28" s="336"/>
      <c r="O28" s="334" t="str">
        <f>LISTAS!AL3</f>
        <v xml:space="preserve">El PEI de la I.E incorporó el enfoque ambiental en su visión y en los objetivos y/o metas de gestión escolar centrada en los aprendizajes. </v>
      </c>
      <c r="P28" s="335"/>
      <c r="Q28" s="335"/>
      <c r="R28" s="335"/>
      <c r="S28" s="335"/>
      <c r="T28" s="335"/>
      <c r="U28" s="336"/>
      <c r="V28" s="334" t="str">
        <f>LISTAS!AM3</f>
        <v>La I.E. incorporó en el PAT las actividades ambientales estandarizadas consideradas en la presente matriz.</v>
      </c>
      <c r="W28" s="335"/>
      <c r="X28" s="335"/>
      <c r="Y28" s="335"/>
      <c r="Z28" s="335"/>
      <c r="AA28" s="335"/>
      <c r="AB28" s="336"/>
      <c r="AC28" s="334" t="str">
        <f>LISTAS!AN3</f>
        <v>La I.E. incorporó en su Reglamento Interno al Comité Ambiental.</v>
      </c>
      <c r="AD28" s="335"/>
      <c r="AE28" s="335"/>
      <c r="AF28" s="335"/>
      <c r="AG28" s="335"/>
      <c r="AH28" s="335"/>
      <c r="AI28" s="336"/>
      <c r="AJ28" s="338" t="str">
        <f>LISTAS!AO3</f>
        <v>N° de hitos de aplicación del enfoque ambiental puestos en práctica en la formulación de herramientas de gestión escolar.</v>
      </c>
      <c r="AK28" s="339"/>
      <c r="AL28" s="339"/>
      <c r="AM28" s="339"/>
      <c r="AN28" s="339"/>
      <c r="AO28" s="340"/>
      <c r="AP28" s="350"/>
      <c r="AQ28" s="351"/>
      <c r="AR28" s="351"/>
      <c r="AS28" s="351"/>
      <c r="AT28" s="351"/>
      <c r="AU28" s="351"/>
      <c r="AV28" s="351"/>
      <c r="AW28" s="351"/>
      <c r="AX28" s="351"/>
      <c r="AY28" s="9"/>
    </row>
    <row r="29" spans="2:51" ht="11.45" customHeight="1" x14ac:dyDescent="0.2">
      <c r="B29" s="7"/>
      <c r="C29" s="318"/>
      <c r="D29" s="318"/>
      <c r="E29" s="318"/>
      <c r="F29" s="318"/>
      <c r="G29" s="318"/>
      <c r="H29" s="337"/>
      <c r="I29" s="335"/>
      <c r="J29" s="335"/>
      <c r="K29" s="335"/>
      <c r="L29" s="335"/>
      <c r="M29" s="335"/>
      <c r="N29" s="336"/>
      <c r="O29" s="337"/>
      <c r="P29" s="335"/>
      <c r="Q29" s="335"/>
      <c r="R29" s="335"/>
      <c r="S29" s="335"/>
      <c r="T29" s="335"/>
      <c r="U29" s="336"/>
      <c r="V29" s="337"/>
      <c r="W29" s="335"/>
      <c r="X29" s="335"/>
      <c r="Y29" s="335"/>
      <c r="Z29" s="335"/>
      <c r="AA29" s="335"/>
      <c r="AB29" s="336"/>
      <c r="AC29" s="337"/>
      <c r="AD29" s="335"/>
      <c r="AE29" s="335"/>
      <c r="AF29" s="335"/>
      <c r="AG29" s="335"/>
      <c r="AH29" s="335"/>
      <c r="AI29" s="336"/>
      <c r="AJ29" s="341"/>
      <c r="AK29" s="342"/>
      <c r="AL29" s="342"/>
      <c r="AM29" s="342"/>
      <c r="AN29" s="342"/>
      <c r="AO29" s="343"/>
      <c r="AP29" s="351"/>
      <c r="AQ29" s="351"/>
      <c r="AR29" s="351"/>
      <c r="AS29" s="351"/>
      <c r="AT29" s="351"/>
      <c r="AU29" s="351"/>
      <c r="AV29" s="351"/>
      <c r="AW29" s="351"/>
      <c r="AX29" s="351"/>
      <c r="AY29" s="9"/>
    </row>
    <row r="30" spans="2:51" ht="11.45" customHeight="1" x14ac:dyDescent="0.2">
      <c r="B30" s="7"/>
      <c r="C30" s="318"/>
      <c r="D30" s="318"/>
      <c r="E30" s="318"/>
      <c r="F30" s="318"/>
      <c r="G30" s="318"/>
      <c r="H30" s="337"/>
      <c r="I30" s="335"/>
      <c r="J30" s="335"/>
      <c r="K30" s="335"/>
      <c r="L30" s="335"/>
      <c r="M30" s="335"/>
      <c r="N30" s="336"/>
      <c r="O30" s="337"/>
      <c r="P30" s="335"/>
      <c r="Q30" s="335"/>
      <c r="R30" s="335"/>
      <c r="S30" s="335"/>
      <c r="T30" s="335"/>
      <c r="U30" s="336"/>
      <c r="V30" s="337"/>
      <c r="W30" s="335"/>
      <c r="X30" s="335"/>
      <c r="Y30" s="335"/>
      <c r="Z30" s="335"/>
      <c r="AA30" s="335"/>
      <c r="AB30" s="336"/>
      <c r="AC30" s="337"/>
      <c r="AD30" s="335"/>
      <c r="AE30" s="335"/>
      <c r="AF30" s="335"/>
      <c r="AG30" s="335"/>
      <c r="AH30" s="335"/>
      <c r="AI30" s="336"/>
      <c r="AJ30" s="341"/>
      <c r="AK30" s="342"/>
      <c r="AL30" s="342"/>
      <c r="AM30" s="342"/>
      <c r="AN30" s="342"/>
      <c r="AO30" s="343"/>
      <c r="AP30" s="351"/>
      <c r="AQ30" s="351"/>
      <c r="AR30" s="351"/>
      <c r="AS30" s="351"/>
      <c r="AT30" s="351"/>
      <c r="AU30" s="351"/>
      <c r="AV30" s="351"/>
      <c r="AW30" s="351"/>
      <c r="AX30" s="351"/>
      <c r="AY30" s="9"/>
    </row>
    <row r="31" spans="2:51" ht="11.45" customHeight="1" x14ac:dyDescent="0.2">
      <c r="B31" s="7"/>
      <c r="C31" s="318"/>
      <c r="D31" s="318"/>
      <c r="E31" s="318"/>
      <c r="F31" s="318"/>
      <c r="G31" s="318"/>
      <c r="H31" s="337"/>
      <c r="I31" s="335"/>
      <c r="J31" s="335"/>
      <c r="K31" s="335"/>
      <c r="L31" s="335"/>
      <c r="M31" s="335"/>
      <c r="N31" s="336"/>
      <c r="O31" s="337"/>
      <c r="P31" s="335"/>
      <c r="Q31" s="335"/>
      <c r="R31" s="335"/>
      <c r="S31" s="335"/>
      <c r="T31" s="335"/>
      <c r="U31" s="336"/>
      <c r="V31" s="337"/>
      <c r="W31" s="335"/>
      <c r="X31" s="335"/>
      <c r="Y31" s="335"/>
      <c r="Z31" s="335"/>
      <c r="AA31" s="335"/>
      <c r="AB31" s="336"/>
      <c r="AC31" s="337"/>
      <c r="AD31" s="335"/>
      <c r="AE31" s="335"/>
      <c r="AF31" s="335"/>
      <c r="AG31" s="335"/>
      <c r="AH31" s="335"/>
      <c r="AI31" s="336"/>
      <c r="AJ31" s="341"/>
      <c r="AK31" s="342"/>
      <c r="AL31" s="342"/>
      <c r="AM31" s="342"/>
      <c r="AN31" s="342"/>
      <c r="AO31" s="343"/>
      <c r="AP31" s="351"/>
      <c r="AQ31" s="351"/>
      <c r="AR31" s="351"/>
      <c r="AS31" s="351"/>
      <c r="AT31" s="351"/>
      <c r="AU31" s="351"/>
      <c r="AV31" s="351"/>
      <c r="AW31" s="351"/>
      <c r="AX31" s="351"/>
      <c r="AY31" s="9"/>
    </row>
    <row r="32" spans="2:51" ht="11.45" customHeight="1" x14ac:dyDescent="0.2">
      <c r="B32" s="7"/>
      <c r="C32" s="318"/>
      <c r="D32" s="318"/>
      <c r="E32" s="318"/>
      <c r="F32" s="318"/>
      <c r="G32" s="318"/>
      <c r="H32" s="337"/>
      <c r="I32" s="335"/>
      <c r="J32" s="335"/>
      <c r="K32" s="335"/>
      <c r="L32" s="335"/>
      <c r="M32" s="335"/>
      <c r="N32" s="336"/>
      <c r="O32" s="337"/>
      <c r="P32" s="335"/>
      <c r="Q32" s="335"/>
      <c r="R32" s="335"/>
      <c r="S32" s="335"/>
      <c r="T32" s="335"/>
      <c r="U32" s="336"/>
      <c r="V32" s="337"/>
      <c r="W32" s="335"/>
      <c r="X32" s="335"/>
      <c r="Y32" s="335"/>
      <c r="Z32" s="335"/>
      <c r="AA32" s="335"/>
      <c r="AB32" s="336"/>
      <c r="AC32" s="337"/>
      <c r="AD32" s="335"/>
      <c r="AE32" s="335"/>
      <c r="AF32" s="335"/>
      <c r="AG32" s="335"/>
      <c r="AH32" s="335"/>
      <c r="AI32" s="336"/>
      <c r="AJ32" s="341"/>
      <c r="AK32" s="342"/>
      <c r="AL32" s="342"/>
      <c r="AM32" s="342"/>
      <c r="AN32" s="342"/>
      <c r="AO32" s="343"/>
      <c r="AP32" s="351"/>
      <c r="AQ32" s="351"/>
      <c r="AR32" s="351"/>
      <c r="AS32" s="351"/>
      <c r="AT32" s="351"/>
      <c r="AU32" s="351"/>
      <c r="AV32" s="351"/>
      <c r="AW32" s="351"/>
      <c r="AX32" s="351"/>
      <c r="AY32" s="9"/>
    </row>
    <row r="33" spans="2:51" ht="11.45" customHeight="1" x14ac:dyDescent="0.2">
      <c r="B33" s="7"/>
      <c r="C33" s="318"/>
      <c r="D33" s="318"/>
      <c r="E33" s="318"/>
      <c r="F33" s="318"/>
      <c r="G33" s="318"/>
      <c r="H33" s="337"/>
      <c r="I33" s="335"/>
      <c r="J33" s="335"/>
      <c r="K33" s="335"/>
      <c r="L33" s="335"/>
      <c r="M33" s="335"/>
      <c r="N33" s="336"/>
      <c r="O33" s="337"/>
      <c r="P33" s="335"/>
      <c r="Q33" s="335"/>
      <c r="R33" s="335"/>
      <c r="S33" s="335"/>
      <c r="T33" s="335"/>
      <c r="U33" s="336"/>
      <c r="V33" s="337"/>
      <c r="W33" s="335"/>
      <c r="X33" s="335"/>
      <c r="Y33" s="335"/>
      <c r="Z33" s="335"/>
      <c r="AA33" s="335"/>
      <c r="AB33" s="336"/>
      <c r="AC33" s="337"/>
      <c r="AD33" s="335"/>
      <c r="AE33" s="335"/>
      <c r="AF33" s="335"/>
      <c r="AG33" s="335"/>
      <c r="AH33" s="335"/>
      <c r="AI33" s="336"/>
      <c r="AJ33" s="341"/>
      <c r="AK33" s="342"/>
      <c r="AL33" s="342"/>
      <c r="AM33" s="342"/>
      <c r="AN33" s="342"/>
      <c r="AO33" s="343"/>
      <c r="AP33" s="351"/>
      <c r="AQ33" s="351"/>
      <c r="AR33" s="351"/>
      <c r="AS33" s="351"/>
      <c r="AT33" s="351"/>
      <c r="AU33" s="351"/>
      <c r="AV33" s="351"/>
      <c r="AW33" s="351"/>
      <c r="AX33" s="351"/>
      <c r="AY33" s="9"/>
    </row>
    <row r="34" spans="2:51" ht="11.45" customHeight="1" x14ac:dyDescent="0.2">
      <c r="B34" s="7"/>
      <c r="C34" s="318"/>
      <c r="D34" s="318"/>
      <c r="E34" s="318"/>
      <c r="F34" s="318"/>
      <c r="G34" s="318"/>
      <c r="H34" s="337"/>
      <c r="I34" s="335"/>
      <c r="J34" s="335"/>
      <c r="K34" s="335"/>
      <c r="L34" s="335"/>
      <c r="M34" s="335"/>
      <c r="N34" s="336"/>
      <c r="O34" s="337"/>
      <c r="P34" s="335"/>
      <c r="Q34" s="335"/>
      <c r="R34" s="335"/>
      <c r="S34" s="335"/>
      <c r="T34" s="335"/>
      <c r="U34" s="336"/>
      <c r="V34" s="337"/>
      <c r="W34" s="335"/>
      <c r="X34" s="335"/>
      <c r="Y34" s="335"/>
      <c r="Z34" s="335"/>
      <c r="AA34" s="335"/>
      <c r="AB34" s="336"/>
      <c r="AC34" s="337"/>
      <c r="AD34" s="335"/>
      <c r="AE34" s="335"/>
      <c r="AF34" s="335"/>
      <c r="AG34" s="335"/>
      <c r="AH34" s="335"/>
      <c r="AI34" s="336"/>
      <c r="AJ34" s="341"/>
      <c r="AK34" s="342"/>
      <c r="AL34" s="342"/>
      <c r="AM34" s="342"/>
      <c r="AN34" s="342"/>
      <c r="AO34" s="343"/>
      <c r="AP34" s="351"/>
      <c r="AQ34" s="351"/>
      <c r="AR34" s="351"/>
      <c r="AS34" s="351"/>
      <c r="AT34" s="351"/>
      <c r="AU34" s="351"/>
      <c r="AV34" s="351"/>
      <c r="AW34" s="351"/>
      <c r="AX34" s="351"/>
      <c r="AY34" s="9"/>
    </row>
    <row r="35" spans="2:51" ht="25.5" customHeight="1" x14ac:dyDescent="0.2">
      <c r="B35" s="7"/>
      <c r="C35" s="318"/>
      <c r="D35" s="318"/>
      <c r="E35" s="318"/>
      <c r="F35" s="318"/>
      <c r="G35" s="318"/>
      <c r="H35" s="337"/>
      <c r="I35" s="335"/>
      <c r="J35" s="335"/>
      <c r="K35" s="335"/>
      <c r="L35" s="335"/>
      <c r="M35" s="335"/>
      <c r="N35" s="336"/>
      <c r="O35" s="337"/>
      <c r="P35" s="335"/>
      <c r="Q35" s="335"/>
      <c r="R35" s="335"/>
      <c r="S35" s="335"/>
      <c r="T35" s="335"/>
      <c r="U35" s="336"/>
      <c r="V35" s="337"/>
      <c r="W35" s="335"/>
      <c r="X35" s="335"/>
      <c r="Y35" s="335"/>
      <c r="Z35" s="335"/>
      <c r="AA35" s="335"/>
      <c r="AB35" s="336"/>
      <c r="AC35" s="337"/>
      <c r="AD35" s="335"/>
      <c r="AE35" s="335"/>
      <c r="AF35" s="335"/>
      <c r="AG35" s="335"/>
      <c r="AH35" s="335"/>
      <c r="AI35" s="336"/>
      <c r="AJ35" s="341"/>
      <c r="AK35" s="342"/>
      <c r="AL35" s="342"/>
      <c r="AM35" s="342"/>
      <c r="AN35" s="342"/>
      <c r="AO35" s="343"/>
      <c r="AP35" s="351"/>
      <c r="AQ35" s="351"/>
      <c r="AR35" s="351"/>
      <c r="AS35" s="351"/>
      <c r="AT35" s="351"/>
      <c r="AU35" s="351"/>
      <c r="AV35" s="351"/>
      <c r="AW35" s="351"/>
      <c r="AX35" s="351"/>
      <c r="AY35" s="9"/>
    </row>
    <row r="36" spans="2:51" ht="6.95" customHeight="1" x14ac:dyDescent="0.2">
      <c r="B36" s="7"/>
      <c r="C36" s="318"/>
      <c r="D36" s="318"/>
      <c r="E36" s="318"/>
      <c r="F36" s="318"/>
      <c r="G36" s="318"/>
      <c r="H36" s="325"/>
      <c r="I36" s="326"/>
      <c r="J36" s="326"/>
      <c r="K36" s="326"/>
      <c r="L36" s="326"/>
      <c r="M36" s="326"/>
      <c r="N36" s="327"/>
      <c r="O36" s="325"/>
      <c r="P36" s="326"/>
      <c r="Q36" s="326"/>
      <c r="R36" s="326"/>
      <c r="S36" s="326"/>
      <c r="T36" s="326"/>
      <c r="U36" s="327"/>
      <c r="V36" s="325"/>
      <c r="W36" s="326"/>
      <c r="X36" s="326"/>
      <c r="Y36" s="326"/>
      <c r="Z36" s="326"/>
      <c r="AA36" s="326"/>
      <c r="AB36" s="327"/>
      <c r="AC36" s="325"/>
      <c r="AD36" s="326"/>
      <c r="AE36" s="326"/>
      <c r="AF36" s="326"/>
      <c r="AG36" s="326"/>
      <c r="AH36" s="326"/>
      <c r="AI36" s="327"/>
      <c r="AJ36" s="341"/>
      <c r="AK36" s="342"/>
      <c r="AL36" s="342"/>
      <c r="AM36" s="342"/>
      <c r="AN36" s="342"/>
      <c r="AO36" s="343"/>
      <c r="AP36" s="351"/>
      <c r="AQ36" s="351"/>
      <c r="AR36" s="351"/>
      <c r="AS36" s="351"/>
      <c r="AT36" s="351"/>
      <c r="AU36" s="351"/>
      <c r="AV36" s="351"/>
      <c r="AW36" s="351"/>
      <c r="AX36" s="351"/>
      <c r="AY36" s="9"/>
    </row>
    <row r="37" spans="2:51" ht="6.95" customHeight="1" x14ac:dyDescent="0.2">
      <c r="B37" s="7"/>
      <c r="C37" s="318"/>
      <c r="D37" s="318"/>
      <c r="E37" s="318"/>
      <c r="F37" s="318"/>
      <c r="G37" s="318"/>
      <c r="H37" s="328"/>
      <c r="I37" s="326"/>
      <c r="J37" s="326"/>
      <c r="K37" s="326"/>
      <c r="L37" s="326"/>
      <c r="M37" s="326"/>
      <c r="N37" s="327"/>
      <c r="O37" s="328"/>
      <c r="P37" s="326"/>
      <c r="Q37" s="326"/>
      <c r="R37" s="326"/>
      <c r="S37" s="326"/>
      <c r="T37" s="326"/>
      <c r="U37" s="327"/>
      <c r="V37" s="328"/>
      <c r="W37" s="326"/>
      <c r="X37" s="326"/>
      <c r="Y37" s="326"/>
      <c r="Z37" s="326"/>
      <c r="AA37" s="326"/>
      <c r="AB37" s="327"/>
      <c r="AC37" s="328"/>
      <c r="AD37" s="326"/>
      <c r="AE37" s="326"/>
      <c r="AF37" s="326"/>
      <c r="AG37" s="326"/>
      <c r="AH37" s="326"/>
      <c r="AI37" s="327"/>
      <c r="AJ37" s="341"/>
      <c r="AK37" s="342"/>
      <c r="AL37" s="342"/>
      <c r="AM37" s="342"/>
      <c r="AN37" s="342"/>
      <c r="AO37" s="343"/>
      <c r="AP37" s="351"/>
      <c r="AQ37" s="351"/>
      <c r="AR37" s="351"/>
      <c r="AS37" s="351"/>
      <c r="AT37" s="351"/>
      <c r="AU37" s="351"/>
      <c r="AV37" s="351"/>
      <c r="AW37" s="351"/>
      <c r="AX37" s="351"/>
      <c r="AY37" s="9"/>
    </row>
    <row r="38" spans="2:51" ht="11.45" customHeight="1" x14ac:dyDescent="0.2">
      <c r="B38" s="7"/>
      <c r="C38" s="360" t="s">
        <v>4107</v>
      </c>
      <c r="D38" s="360"/>
      <c r="E38" s="360"/>
      <c r="F38" s="360"/>
      <c r="G38" s="360"/>
      <c r="H38" s="329" t="str">
        <f>LISTAS!AP3</f>
        <v>PEI.</v>
      </c>
      <c r="I38" s="330"/>
      <c r="J38" s="330"/>
      <c r="K38" s="330"/>
      <c r="L38" s="330"/>
      <c r="M38" s="330"/>
      <c r="N38" s="330"/>
      <c r="O38" s="329" t="str">
        <f>LISTAS!AQ3</f>
        <v>PEI.</v>
      </c>
      <c r="P38" s="330"/>
      <c r="Q38" s="330"/>
      <c r="R38" s="330"/>
      <c r="S38" s="330"/>
      <c r="T38" s="330"/>
      <c r="U38" s="330"/>
      <c r="V38" s="329" t="str">
        <f>LISTAS!AR3</f>
        <v>PAT.</v>
      </c>
      <c r="W38" s="330"/>
      <c r="X38" s="330"/>
      <c r="Y38" s="330"/>
      <c r="Z38" s="330"/>
      <c r="AA38" s="330"/>
      <c r="AB38" s="330"/>
      <c r="AC38" s="329" t="str">
        <f>LISTAS!AS3</f>
        <v>RI.</v>
      </c>
      <c r="AD38" s="330"/>
      <c r="AE38" s="330"/>
      <c r="AF38" s="330"/>
      <c r="AG38" s="330"/>
      <c r="AH38" s="330"/>
      <c r="AI38" s="330"/>
      <c r="AJ38" s="344"/>
      <c r="AK38" s="345"/>
      <c r="AL38" s="345"/>
      <c r="AM38" s="345"/>
      <c r="AN38" s="345"/>
      <c r="AO38" s="346"/>
      <c r="AP38" s="329" t="s">
        <v>3721</v>
      </c>
      <c r="AQ38" s="329"/>
      <c r="AR38" s="329"/>
      <c r="AS38" s="329"/>
      <c r="AT38" s="329"/>
      <c r="AU38" s="329"/>
      <c r="AV38" s="329"/>
      <c r="AW38" s="329"/>
      <c r="AX38" s="329"/>
      <c r="AY38" s="9"/>
    </row>
    <row r="39" spans="2:51" ht="11.45" customHeight="1" x14ac:dyDescent="0.2">
      <c r="B39" s="7"/>
      <c r="C39" s="361"/>
      <c r="D39" s="361"/>
      <c r="E39" s="361"/>
      <c r="F39" s="361"/>
      <c r="G39" s="361"/>
      <c r="H39" s="331"/>
      <c r="I39" s="332"/>
      <c r="J39" s="332"/>
      <c r="K39" s="332"/>
      <c r="L39" s="332"/>
      <c r="M39" s="332"/>
      <c r="N39" s="332"/>
      <c r="O39" s="331"/>
      <c r="P39" s="332"/>
      <c r="Q39" s="332"/>
      <c r="R39" s="332"/>
      <c r="S39" s="332"/>
      <c r="T39" s="332"/>
      <c r="U39" s="332"/>
      <c r="V39" s="331"/>
      <c r="W39" s="332"/>
      <c r="X39" s="332"/>
      <c r="Y39" s="332"/>
      <c r="Z39" s="332"/>
      <c r="AA39" s="332"/>
      <c r="AB39" s="332"/>
      <c r="AC39" s="331"/>
      <c r="AD39" s="332"/>
      <c r="AE39" s="332"/>
      <c r="AF39" s="332"/>
      <c r="AG39" s="332"/>
      <c r="AH39" s="332"/>
      <c r="AI39" s="332"/>
      <c r="AJ39" s="344"/>
      <c r="AK39" s="345"/>
      <c r="AL39" s="345"/>
      <c r="AM39" s="345"/>
      <c r="AN39" s="345"/>
      <c r="AO39" s="346"/>
      <c r="AP39" s="331"/>
      <c r="AQ39" s="331"/>
      <c r="AR39" s="331"/>
      <c r="AS39" s="331"/>
      <c r="AT39" s="331"/>
      <c r="AU39" s="331"/>
      <c r="AV39" s="331"/>
      <c r="AW39" s="331"/>
      <c r="AX39" s="331"/>
      <c r="AY39" s="9"/>
    </row>
    <row r="40" spans="2:51" ht="11.45" customHeight="1" x14ac:dyDescent="0.2">
      <c r="B40" s="7"/>
      <c r="C40" s="361"/>
      <c r="D40" s="361"/>
      <c r="E40" s="361"/>
      <c r="F40" s="361"/>
      <c r="G40" s="361"/>
      <c r="H40" s="331"/>
      <c r="I40" s="332"/>
      <c r="J40" s="332"/>
      <c r="K40" s="332"/>
      <c r="L40" s="332"/>
      <c r="M40" s="332"/>
      <c r="N40" s="332"/>
      <c r="O40" s="331"/>
      <c r="P40" s="332"/>
      <c r="Q40" s="332"/>
      <c r="R40" s="332"/>
      <c r="S40" s="332"/>
      <c r="T40" s="332"/>
      <c r="U40" s="332"/>
      <c r="V40" s="331"/>
      <c r="W40" s="332"/>
      <c r="X40" s="332"/>
      <c r="Y40" s="332"/>
      <c r="Z40" s="332"/>
      <c r="AA40" s="332"/>
      <c r="AB40" s="332"/>
      <c r="AC40" s="331"/>
      <c r="AD40" s="332"/>
      <c r="AE40" s="332"/>
      <c r="AF40" s="332"/>
      <c r="AG40" s="332"/>
      <c r="AH40" s="332"/>
      <c r="AI40" s="332"/>
      <c r="AJ40" s="344"/>
      <c r="AK40" s="345"/>
      <c r="AL40" s="345"/>
      <c r="AM40" s="345"/>
      <c r="AN40" s="345"/>
      <c r="AO40" s="346"/>
      <c r="AP40" s="331"/>
      <c r="AQ40" s="331"/>
      <c r="AR40" s="331"/>
      <c r="AS40" s="331"/>
      <c r="AT40" s="331"/>
      <c r="AU40" s="331"/>
      <c r="AV40" s="331"/>
      <c r="AW40" s="331"/>
      <c r="AX40" s="331"/>
      <c r="AY40" s="9"/>
    </row>
    <row r="41" spans="2:51" ht="11.45" customHeight="1" x14ac:dyDescent="0.2">
      <c r="B41" s="7"/>
      <c r="C41" s="362"/>
      <c r="D41" s="362"/>
      <c r="E41" s="362"/>
      <c r="F41" s="362"/>
      <c r="G41" s="362"/>
      <c r="H41" s="333"/>
      <c r="I41" s="333"/>
      <c r="J41" s="333"/>
      <c r="K41" s="333"/>
      <c r="L41" s="333"/>
      <c r="M41" s="333"/>
      <c r="N41" s="333"/>
      <c r="O41" s="333"/>
      <c r="P41" s="333"/>
      <c r="Q41" s="333"/>
      <c r="R41" s="333"/>
      <c r="S41" s="333"/>
      <c r="T41" s="333"/>
      <c r="U41" s="333"/>
      <c r="V41" s="333"/>
      <c r="W41" s="333"/>
      <c r="X41" s="333"/>
      <c r="Y41" s="333"/>
      <c r="Z41" s="333"/>
      <c r="AA41" s="333"/>
      <c r="AB41" s="333"/>
      <c r="AC41" s="333"/>
      <c r="AD41" s="333"/>
      <c r="AE41" s="333"/>
      <c r="AF41" s="333"/>
      <c r="AG41" s="333"/>
      <c r="AH41" s="333"/>
      <c r="AI41" s="333"/>
      <c r="AJ41" s="347"/>
      <c r="AK41" s="348"/>
      <c r="AL41" s="348"/>
      <c r="AM41" s="348"/>
      <c r="AN41" s="348"/>
      <c r="AO41" s="349"/>
      <c r="AP41" s="352"/>
      <c r="AQ41" s="352"/>
      <c r="AR41" s="352"/>
      <c r="AS41" s="352"/>
      <c r="AT41" s="352"/>
      <c r="AU41" s="352"/>
      <c r="AV41" s="352"/>
      <c r="AW41" s="352"/>
      <c r="AX41" s="352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1.45" customHeight="1" x14ac:dyDescent="0.2">
      <c r="B43" s="7"/>
      <c r="C43" s="317" t="str">
        <f>LISTAS!AJ4</f>
        <v>3. La I.E. incluyó en el PCI el enfoque ambiental y empleó recursos pedagógicos ambientales propios de la localidad.</v>
      </c>
      <c r="D43" s="318"/>
      <c r="E43" s="318"/>
      <c r="F43" s="318"/>
      <c r="G43" s="318"/>
      <c r="H43" s="334" t="str">
        <f>LISTAS!AK4</f>
        <v>El PCI incluyó el enfoque ambiental en los perfiles, los principios pedagógicos, los propósitos, y/o los enfoques metodológicos.</v>
      </c>
      <c r="I43" s="335"/>
      <c r="J43" s="335"/>
      <c r="K43" s="335"/>
      <c r="L43" s="335"/>
      <c r="M43" s="335"/>
      <c r="N43" s="336"/>
      <c r="O43" s="334" t="str">
        <f>LISTAS!AL4</f>
        <v>La I.E. incluyó el enfoque ambiental en la programación curricular anual y unidades didácticas (en las situaciones significativas).</v>
      </c>
      <c r="P43" s="335"/>
      <c r="Q43" s="335"/>
      <c r="R43" s="335"/>
      <c r="S43" s="335"/>
      <c r="T43" s="335"/>
      <c r="U43" s="336"/>
      <c r="V43" s="334" t="str">
        <f>LISTAS!AM4</f>
        <v>La I.E. incluyó en las sesiones de aprendizaje las actividades del calendario ambiental nacional, local y/o comunal, así como los saberes y conocimientos ambientales locales.</v>
      </c>
      <c r="W43" s="335"/>
      <c r="X43" s="335"/>
      <c r="Y43" s="335"/>
      <c r="Z43" s="335"/>
      <c r="AA43" s="335"/>
      <c r="AB43" s="336"/>
      <c r="AC43" s="334" t="str">
        <f>LISTAS!AN4</f>
        <v>La I.E. incluyó en las sesiones de aprendizaje visitas pedagógicas a espacios naturales y culturales (áreas naturales protegidas, rutas de ecoturismo, proyectos de conservación, bosques comunitarios, playas locales, etc.).</v>
      </c>
      <c r="AD43" s="335"/>
      <c r="AE43" s="335"/>
      <c r="AF43" s="335"/>
      <c r="AG43" s="335"/>
      <c r="AH43" s="335"/>
      <c r="AI43" s="336"/>
      <c r="AJ43" s="338" t="str">
        <f>LISTAS!AO4</f>
        <v xml:space="preserve">N° de hitos de aplicación del enfoque ambiental incluidos en los procesos de aprendizaje. </v>
      </c>
      <c r="AK43" s="339"/>
      <c r="AL43" s="339"/>
      <c r="AM43" s="339"/>
      <c r="AN43" s="339"/>
      <c r="AO43" s="340"/>
      <c r="AP43" s="350"/>
      <c r="AQ43" s="351"/>
      <c r="AR43" s="351"/>
      <c r="AS43" s="351"/>
      <c r="AT43" s="351"/>
      <c r="AU43" s="351"/>
      <c r="AV43" s="351"/>
      <c r="AW43" s="351"/>
      <c r="AX43" s="351"/>
      <c r="AY43" s="9"/>
    </row>
    <row r="44" spans="2:51" ht="11.45" customHeight="1" x14ac:dyDescent="0.2">
      <c r="B44" s="7"/>
      <c r="C44" s="318"/>
      <c r="D44" s="318"/>
      <c r="E44" s="318"/>
      <c r="F44" s="318"/>
      <c r="G44" s="318"/>
      <c r="H44" s="337"/>
      <c r="I44" s="335"/>
      <c r="J44" s="335"/>
      <c r="K44" s="335"/>
      <c r="L44" s="335"/>
      <c r="M44" s="335"/>
      <c r="N44" s="336"/>
      <c r="O44" s="337"/>
      <c r="P44" s="335"/>
      <c r="Q44" s="335"/>
      <c r="R44" s="335"/>
      <c r="S44" s="335"/>
      <c r="T44" s="335"/>
      <c r="U44" s="336"/>
      <c r="V44" s="337"/>
      <c r="W44" s="335"/>
      <c r="X44" s="335"/>
      <c r="Y44" s="335"/>
      <c r="Z44" s="335"/>
      <c r="AA44" s="335"/>
      <c r="AB44" s="336"/>
      <c r="AC44" s="337"/>
      <c r="AD44" s="335"/>
      <c r="AE44" s="335"/>
      <c r="AF44" s="335"/>
      <c r="AG44" s="335"/>
      <c r="AH44" s="335"/>
      <c r="AI44" s="336"/>
      <c r="AJ44" s="341"/>
      <c r="AK44" s="342"/>
      <c r="AL44" s="342"/>
      <c r="AM44" s="342"/>
      <c r="AN44" s="342"/>
      <c r="AO44" s="343"/>
      <c r="AP44" s="351"/>
      <c r="AQ44" s="351"/>
      <c r="AR44" s="351"/>
      <c r="AS44" s="351"/>
      <c r="AT44" s="351"/>
      <c r="AU44" s="351"/>
      <c r="AV44" s="351"/>
      <c r="AW44" s="351"/>
      <c r="AX44" s="351"/>
      <c r="AY44" s="9"/>
    </row>
    <row r="45" spans="2:51" ht="11.45" customHeight="1" x14ac:dyDescent="0.2">
      <c r="B45" s="7"/>
      <c r="C45" s="318"/>
      <c r="D45" s="318"/>
      <c r="E45" s="318"/>
      <c r="F45" s="318"/>
      <c r="G45" s="318"/>
      <c r="H45" s="337"/>
      <c r="I45" s="335"/>
      <c r="J45" s="335"/>
      <c r="K45" s="335"/>
      <c r="L45" s="335"/>
      <c r="M45" s="335"/>
      <c r="N45" s="336"/>
      <c r="O45" s="337"/>
      <c r="P45" s="335"/>
      <c r="Q45" s="335"/>
      <c r="R45" s="335"/>
      <c r="S45" s="335"/>
      <c r="T45" s="335"/>
      <c r="U45" s="336"/>
      <c r="V45" s="337"/>
      <c r="W45" s="335"/>
      <c r="X45" s="335"/>
      <c r="Y45" s="335"/>
      <c r="Z45" s="335"/>
      <c r="AA45" s="335"/>
      <c r="AB45" s="336"/>
      <c r="AC45" s="337"/>
      <c r="AD45" s="335"/>
      <c r="AE45" s="335"/>
      <c r="AF45" s="335"/>
      <c r="AG45" s="335"/>
      <c r="AH45" s="335"/>
      <c r="AI45" s="336"/>
      <c r="AJ45" s="341"/>
      <c r="AK45" s="342"/>
      <c r="AL45" s="342"/>
      <c r="AM45" s="342"/>
      <c r="AN45" s="342"/>
      <c r="AO45" s="343"/>
      <c r="AP45" s="351"/>
      <c r="AQ45" s="351"/>
      <c r="AR45" s="351"/>
      <c r="AS45" s="351"/>
      <c r="AT45" s="351"/>
      <c r="AU45" s="351"/>
      <c r="AV45" s="351"/>
      <c r="AW45" s="351"/>
      <c r="AX45" s="351"/>
      <c r="AY45" s="9"/>
    </row>
    <row r="46" spans="2:51" ht="11.45" customHeight="1" x14ac:dyDescent="0.2">
      <c r="B46" s="7"/>
      <c r="C46" s="318"/>
      <c r="D46" s="318"/>
      <c r="E46" s="318"/>
      <c r="F46" s="318"/>
      <c r="G46" s="318"/>
      <c r="H46" s="337"/>
      <c r="I46" s="335"/>
      <c r="J46" s="335"/>
      <c r="K46" s="335"/>
      <c r="L46" s="335"/>
      <c r="M46" s="335"/>
      <c r="N46" s="336"/>
      <c r="O46" s="337"/>
      <c r="P46" s="335"/>
      <c r="Q46" s="335"/>
      <c r="R46" s="335"/>
      <c r="S46" s="335"/>
      <c r="T46" s="335"/>
      <c r="U46" s="336"/>
      <c r="V46" s="337"/>
      <c r="W46" s="335"/>
      <c r="X46" s="335"/>
      <c r="Y46" s="335"/>
      <c r="Z46" s="335"/>
      <c r="AA46" s="335"/>
      <c r="AB46" s="336"/>
      <c r="AC46" s="337"/>
      <c r="AD46" s="335"/>
      <c r="AE46" s="335"/>
      <c r="AF46" s="335"/>
      <c r="AG46" s="335"/>
      <c r="AH46" s="335"/>
      <c r="AI46" s="336"/>
      <c r="AJ46" s="341"/>
      <c r="AK46" s="342"/>
      <c r="AL46" s="342"/>
      <c r="AM46" s="342"/>
      <c r="AN46" s="342"/>
      <c r="AO46" s="343"/>
      <c r="AP46" s="351"/>
      <c r="AQ46" s="351"/>
      <c r="AR46" s="351"/>
      <c r="AS46" s="351"/>
      <c r="AT46" s="351"/>
      <c r="AU46" s="351"/>
      <c r="AV46" s="351"/>
      <c r="AW46" s="351"/>
      <c r="AX46" s="351"/>
      <c r="AY46" s="9"/>
    </row>
    <row r="47" spans="2:51" ht="11.45" customHeight="1" x14ac:dyDescent="0.2">
      <c r="B47" s="7"/>
      <c r="C47" s="318"/>
      <c r="D47" s="318"/>
      <c r="E47" s="318"/>
      <c r="F47" s="318"/>
      <c r="G47" s="318"/>
      <c r="H47" s="337"/>
      <c r="I47" s="335"/>
      <c r="J47" s="335"/>
      <c r="K47" s="335"/>
      <c r="L47" s="335"/>
      <c r="M47" s="335"/>
      <c r="N47" s="336"/>
      <c r="O47" s="337"/>
      <c r="P47" s="335"/>
      <c r="Q47" s="335"/>
      <c r="R47" s="335"/>
      <c r="S47" s="335"/>
      <c r="T47" s="335"/>
      <c r="U47" s="336"/>
      <c r="V47" s="337"/>
      <c r="W47" s="335"/>
      <c r="X47" s="335"/>
      <c r="Y47" s="335"/>
      <c r="Z47" s="335"/>
      <c r="AA47" s="335"/>
      <c r="AB47" s="336"/>
      <c r="AC47" s="337"/>
      <c r="AD47" s="335"/>
      <c r="AE47" s="335"/>
      <c r="AF47" s="335"/>
      <c r="AG47" s="335"/>
      <c r="AH47" s="335"/>
      <c r="AI47" s="336"/>
      <c r="AJ47" s="341"/>
      <c r="AK47" s="342"/>
      <c r="AL47" s="342"/>
      <c r="AM47" s="342"/>
      <c r="AN47" s="342"/>
      <c r="AO47" s="343"/>
      <c r="AP47" s="351"/>
      <c r="AQ47" s="351"/>
      <c r="AR47" s="351"/>
      <c r="AS47" s="351"/>
      <c r="AT47" s="351"/>
      <c r="AU47" s="351"/>
      <c r="AV47" s="351"/>
      <c r="AW47" s="351"/>
      <c r="AX47" s="351"/>
      <c r="AY47" s="9"/>
    </row>
    <row r="48" spans="2:51" ht="11.45" customHeight="1" x14ac:dyDescent="0.2">
      <c r="B48" s="7"/>
      <c r="C48" s="318"/>
      <c r="D48" s="318"/>
      <c r="E48" s="318"/>
      <c r="F48" s="318"/>
      <c r="G48" s="318"/>
      <c r="H48" s="337"/>
      <c r="I48" s="335"/>
      <c r="J48" s="335"/>
      <c r="K48" s="335"/>
      <c r="L48" s="335"/>
      <c r="M48" s="335"/>
      <c r="N48" s="336"/>
      <c r="O48" s="337"/>
      <c r="P48" s="335"/>
      <c r="Q48" s="335"/>
      <c r="R48" s="335"/>
      <c r="S48" s="335"/>
      <c r="T48" s="335"/>
      <c r="U48" s="336"/>
      <c r="V48" s="337"/>
      <c r="W48" s="335"/>
      <c r="X48" s="335"/>
      <c r="Y48" s="335"/>
      <c r="Z48" s="335"/>
      <c r="AA48" s="335"/>
      <c r="AB48" s="336"/>
      <c r="AC48" s="337"/>
      <c r="AD48" s="335"/>
      <c r="AE48" s="335"/>
      <c r="AF48" s="335"/>
      <c r="AG48" s="335"/>
      <c r="AH48" s="335"/>
      <c r="AI48" s="336"/>
      <c r="AJ48" s="341"/>
      <c r="AK48" s="342"/>
      <c r="AL48" s="342"/>
      <c r="AM48" s="342"/>
      <c r="AN48" s="342"/>
      <c r="AO48" s="343"/>
      <c r="AP48" s="351"/>
      <c r="AQ48" s="351"/>
      <c r="AR48" s="351"/>
      <c r="AS48" s="351"/>
      <c r="AT48" s="351"/>
      <c r="AU48" s="351"/>
      <c r="AV48" s="351"/>
      <c r="AW48" s="351"/>
      <c r="AX48" s="351"/>
      <c r="AY48" s="9"/>
    </row>
    <row r="49" spans="2:51" ht="11.45" customHeight="1" x14ac:dyDescent="0.2">
      <c r="B49" s="7"/>
      <c r="C49" s="318"/>
      <c r="D49" s="318"/>
      <c r="E49" s="318"/>
      <c r="F49" s="318"/>
      <c r="G49" s="318"/>
      <c r="H49" s="337"/>
      <c r="I49" s="335"/>
      <c r="J49" s="335"/>
      <c r="K49" s="335"/>
      <c r="L49" s="335"/>
      <c r="M49" s="335"/>
      <c r="N49" s="336"/>
      <c r="O49" s="337"/>
      <c r="P49" s="335"/>
      <c r="Q49" s="335"/>
      <c r="R49" s="335"/>
      <c r="S49" s="335"/>
      <c r="T49" s="335"/>
      <c r="U49" s="336"/>
      <c r="V49" s="337"/>
      <c r="W49" s="335"/>
      <c r="X49" s="335"/>
      <c r="Y49" s="335"/>
      <c r="Z49" s="335"/>
      <c r="AA49" s="335"/>
      <c r="AB49" s="336"/>
      <c r="AC49" s="337"/>
      <c r="AD49" s="335"/>
      <c r="AE49" s="335"/>
      <c r="AF49" s="335"/>
      <c r="AG49" s="335"/>
      <c r="AH49" s="335"/>
      <c r="AI49" s="336"/>
      <c r="AJ49" s="341"/>
      <c r="AK49" s="342"/>
      <c r="AL49" s="342"/>
      <c r="AM49" s="342"/>
      <c r="AN49" s="342"/>
      <c r="AO49" s="343"/>
      <c r="AP49" s="351"/>
      <c r="AQ49" s="351"/>
      <c r="AR49" s="351"/>
      <c r="AS49" s="351"/>
      <c r="AT49" s="351"/>
      <c r="AU49" s="351"/>
      <c r="AV49" s="351"/>
      <c r="AW49" s="351"/>
      <c r="AX49" s="351"/>
      <c r="AY49" s="9"/>
    </row>
    <row r="50" spans="2:51" ht="25.5" customHeight="1" x14ac:dyDescent="0.2">
      <c r="B50" s="7"/>
      <c r="C50" s="318"/>
      <c r="D50" s="318"/>
      <c r="E50" s="318"/>
      <c r="F50" s="318"/>
      <c r="G50" s="318"/>
      <c r="H50" s="337"/>
      <c r="I50" s="335"/>
      <c r="J50" s="335"/>
      <c r="K50" s="335"/>
      <c r="L50" s="335"/>
      <c r="M50" s="335"/>
      <c r="N50" s="336"/>
      <c r="O50" s="337"/>
      <c r="P50" s="335"/>
      <c r="Q50" s="335"/>
      <c r="R50" s="335"/>
      <c r="S50" s="335"/>
      <c r="T50" s="335"/>
      <c r="U50" s="336"/>
      <c r="V50" s="337"/>
      <c r="W50" s="335"/>
      <c r="X50" s="335"/>
      <c r="Y50" s="335"/>
      <c r="Z50" s="335"/>
      <c r="AA50" s="335"/>
      <c r="AB50" s="336"/>
      <c r="AC50" s="337"/>
      <c r="AD50" s="335"/>
      <c r="AE50" s="335"/>
      <c r="AF50" s="335"/>
      <c r="AG50" s="335"/>
      <c r="AH50" s="335"/>
      <c r="AI50" s="336"/>
      <c r="AJ50" s="341"/>
      <c r="AK50" s="342"/>
      <c r="AL50" s="342"/>
      <c r="AM50" s="342"/>
      <c r="AN50" s="342"/>
      <c r="AO50" s="343"/>
      <c r="AP50" s="351"/>
      <c r="AQ50" s="351"/>
      <c r="AR50" s="351"/>
      <c r="AS50" s="351"/>
      <c r="AT50" s="351"/>
      <c r="AU50" s="351"/>
      <c r="AV50" s="351"/>
      <c r="AW50" s="351"/>
      <c r="AX50" s="351"/>
      <c r="AY50" s="9"/>
    </row>
    <row r="51" spans="2:51" ht="6.95" customHeight="1" x14ac:dyDescent="0.2">
      <c r="B51" s="7"/>
      <c r="C51" s="318"/>
      <c r="D51" s="318"/>
      <c r="E51" s="318"/>
      <c r="F51" s="318"/>
      <c r="G51" s="318"/>
      <c r="H51" s="325"/>
      <c r="I51" s="326"/>
      <c r="J51" s="326"/>
      <c r="K51" s="326"/>
      <c r="L51" s="326"/>
      <c r="M51" s="326"/>
      <c r="N51" s="327"/>
      <c r="O51" s="325"/>
      <c r="P51" s="326"/>
      <c r="Q51" s="326"/>
      <c r="R51" s="326"/>
      <c r="S51" s="326"/>
      <c r="T51" s="326"/>
      <c r="U51" s="327"/>
      <c r="V51" s="325"/>
      <c r="W51" s="326"/>
      <c r="X51" s="326"/>
      <c r="Y51" s="326"/>
      <c r="Z51" s="326"/>
      <c r="AA51" s="326"/>
      <c r="AB51" s="327"/>
      <c r="AC51" s="325"/>
      <c r="AD51" s="326"/>
      <c r="AE51" s="326"/>
      <c r="AF51" s="326"/>
      <c r="AG51" s="326"/>
      <c r="AH51" s="326"/>
      <c r="AI51" s="327"/>
      <c r="AJ51" s="341"/>
      <c r="AK51" s="342"/>
      <c r="AL51" s="342"/>
      <c r="AM51" s="342"/>
      <c r="AN51" s="342"/>
      <c r="AO51" s="343"/>
      <c r="AP51" s="351"/>
      <c r="AQ51" s="351"/>
      <c r="AR51" s="351"/>
      <c r="AS51" s="351"/>
      <c r="AT51" s="351"/>
      <c r="AU51" s="351"/>
      <c r="AV51" s="351"/>
      <c r="AW51" s="351"/>
      <c r="AX51" s="351"/>
      <c r="AY51" s="9"/>
    </row>
    <row r="52" spans="2:51" ht="6.95" customHeight="1" x14ac:dyDescent="0.2">
      <c r="B52" s="7"/>
      <c r="C52" s="318"/>
      <c r="D52" s="318"/>
      <c r="E52" s="318"/>
      <c r="F52" s="318"/>
      <c r="G52" s="318"/>
      <c r="H52" s="328"/>
      <c r="I52" s="326"/>
      <c r="J52" s="326"/>
      <c r="K52" s="326"/>
      <c r="L52" s="326"/>
      <c r="M52" s="326"/>
      <c r="N52" s="327"/>
      <c r="O52" s="328"/>
      <c r="P52" s="326"/>
      <c r="Q52" s="326"/>
      <c r="R52" s="326"/>
      <c r="S52" s="326"/>
      <c r="T52" s="326"/>
      <c r="U52" s="327"/>
      <c r="V52" s="328"/>
      <c r="W52" s="326"/>
      <c r="X52" s="326"/>
      <c r="Y52" s="326"/>
      <c r="Z52" s="326"/>
      <c r="AA52" s="326"/>
      <c r="AB52" s="327"/>
      <c r="AC52" s="328"/>
      <c r="AD52" s="326"/>
      <c r="AE52" s="326"/>
      <c r="AF52" s="326"/>
      <c r="AG52" s="326"/>
      <c r="AH52" s="326"/>
      <c r="AI52" s="327"/>
      <c r="AJ52" s="341"/>
      <c r="AK52" s="342"/>
      <c r="AL52" s="342"/>
      <c r="AM52" s="342"/>
      <c r="AN52" s="342"/>
      <c r="AO52" s="343"/>
      <c r="AP52" s="351"/>
      <c r="AQ52" s="351"/>
      <c r="AR52" s="351"/>
      <c r="AS52" s="351"/>
      <c r="AT52" s="351"/>
      <c r="AU52" s="351"/>
      <c r="AV52" s="351"/>
      <c r="AW52" s="351"/>
      <c r="AX52" s="351"/>
      <c r="AY52" s="9"/>
    </row>
    <row r="53" spans="2:51" ht="11.45" customHeight="1" x14ac:dyDescent="0.2">
      <c r="B53" s="7"/>
      <c r="C53" s="360" t="s">
        <v>4107</v>
      </c>
      <c r="D53" s="360"/>
      <c r="E53" s="360"/>
      <c r="F53" s="360"/>
      <c r="G53" s="360"/>
      <c r="H53" s="329" t="str">
        <f>LISTAS!AP4</f>
        <v>PCI.</v>
      </c>
      <c r="I53" s="330"/>
      <c r="J53" s="330"/>
      <c r="K53" s="330"/>
      <c r="L53" s="330"/>
      <c r="M53" s="330"/>
      <c r="N53" s="330"/>
      <c r="O53" s="329" t="str">
        <f>LISTAS!AQ4</f>
        <v>Programa Curricular Anual.</v>
      </c>
      <c r="P53" s="330"/>
      <c r="Q53" s="330"/>
      <c r="R53" s="330"/>
      <c r="S53" s="330"/>
      <c r="T53" s="330"/>
      <c r="U53" s="330"/>
      <c r="V53" s="329" t="str">
        <f>LISTAS!AR4</f>
        <v>Programa Curricular Anual.</v>
      </c>
      <c r="W53" s="330"/>
      <c r="X53" s="330"/>
      <c r="Y53" s="330"/>
      <c r="Z53" s="330"/>
      <c r="AA53" s="330"/>
      <c r="AB53" s="330"/>
      <c r="AC53" s="329" t="str">
        <f>LISTAS!AS4</f>
        <v>Programa Curricular Anual. Documentos de autorización de visitas y excursiones pedagógicas para el aprendizaje vivencial del enfoque ambiental.</v>
      </c>
      <c r="AD53" s="330"/>
      <c r="AE53" s="330"/>
      <c r="AF53" s="330"/>
      <c r="AG53" s="330"/>
      <c r="AH53" s="330"/>
      <c r="AI53" s="330"/>
      <c r="AJ53" s="344"/>
      <c r="AK53" s="345"/>
      <c r="AL53" s="345"/>
      <c r="AM53" s="345"/>
      <c r="AN53" s="345"/>
      <c r="AO53" s="346"/>
      <c r="AP53" s="329" t="s">
        <v>3721</v>
      </c>
      <c r="AQ53" s="329"/>
      <c r="AR53" s="329"/>
      <c r="AS53" s="329"/>
      <c r="AT53" s="329"/>
      <c r="AU53" s="329"/>
      <c r="AV53" s="329"/>
      <c r="AW53" s="329"/>
      <c r="AX53" s="329"/>
      <c r="AY53" s="9"/>
    </row>
    <row r="54" spans="2:51" ht="11.45" customHeight="1" x14ac:dyDescent="0.2">
      <c r="B54" s="7"/>
      <c r="C54" s="361"/>
      <c r="D54" s="361"/>
      <c r="E54" s="361"/>
      <c r="F54" s="361"/>
      <c r="G54" s="361"/>
      <c r="H54" s="331"/>
      <c r="I54" s="332"/>
      <c r="J54" s="332"/>
      <c r="K54" s="332"/>
      <c r="L54" s="332"/>
      <c r="M54" s="332"/>
      <c r="N54" s="332"/>
      <c r="O54" s="331"/>
      <c r="P54" s="332"/>
      <c r="Q54" s="332"/>
      <c r="R54" s="332"/>
      <c r="S54" s="332"/>
      <c r="T54" s="332"/>
      <c r="U54" s="332"/>
      <c r="V54" s="331"/>
      <c r="W54" s="332"/>
      <c r="X54" s="332"/>
      <c r="Y54" s="332"/>
      <c r="Z54" s="332"/>
      <c r="AA54" s="332"/>
      <c r="AB54" s="332"/>
      <c r="AC54" s="331"/>
      <c r="AD54" s="332"/>
      <c r="AE54" s="332"/>
      <c r="AF54" s="332"/>
      <c r="AG54" s="332"/>
      <c r="AH54" s="332"/>
      <c r="AI54" s="332"/>
      <c r="AJ54" s="344"/>
      <c r="AK54" s="345"/>
      <c r="AL54" s="345"/>
      <c r="AM54" s="345"/>
      <c r="AN54" s="345"/>
      <c r="AO54" s="346"/>
      <c r="AP54" s="331"/>
      <c r="AQ54" s="331"/>
      <c r="AR54" s="331"/>
      <c r="AS54" s="331"/>
      <c r="AT54" s="331"/>
      <c r="AU54" s="331"/>
      <c r="AV54" s="331"/>
      <c r="AW54" s="331"/>
      <c r="AX54" s="331"/>
      <c r="AY54" s="9"/>
    </row>
    <row r="55" spans="2:51" ht="11.45" customHeight="1" x14ac:dyDescent="0.2">
      <c r="B55" s="7"/>
      <c r="C55" s="361"/>
      <c r="D55" s="361"/>
      <c r="E55" s="361"/>
      <c r="F55" s="361"/>
      <c r="G55" s="361"/>
      <c r="H55" s="331"/>
      <c r="I55" s="332"/>
      <c r="J55" s="332"/>
      <c r="K55" s="332"/>
      <c r="L55" s="332"/>
      <c r="M55" s="332"/>
      <c r="N55" s="332"/>
      <c r="O55" s="331"/>
      <c r="P55" s="332"/>
      <c r="Q55" s="332"/>
      <c r="R55" s="332"/>
      <c r="S55" s="332"/>
      <c r="T55" s="332"/>
      <c r="U55" s="332"/>
      <c r="V55" s="331"/>
      <c r="W55" s="332"/>
      <c r="X55" s="332"/>
      <c r="Y55" s="332"/>
      <c r="Z55" s="332"/>
      <c r="AA55" s="332"/>
      <c r="AB55" s="332"/>
      <c r="AC55" s="331"/>
      <c r="AD55" s="332"/>
      <c r="AE55" s="332"/>
      <c r="AF55" s="332"/>
      <c r="AG55" s="332"/>
      <c r="AH55" s="332"/>
      <c r="AI55" s="332"/>
      <c r="AJ55" s="344"/>
      <c r="AK55" s="345"/>
      <c r="AL55" s="345"/>
      <c r="AM55" s="345"/>
      <c r="AN55" s="345"/>
      <c r="AO55" s="346"/>
      <c r="AP55" s="331"/>
      <c r="AQ55" s="331"/>
      <c r="AR55" s="331"/>
      <c r="AS55" s="331"/>
      <c r="AT55" s="331"/>
      <c r="AU55" s="331"/>
      <c r="AV55" s="331"/>
      <c r="AW55" s="331"/>
      <c r="AX55" s="331"/>
      <c r="AY55" s="9"/>
    </row>
    <row r="56" spans="2:51" ht="11.45" customHeight="1" x14ac:dyDescent="0.2">
      <c r="B56" s="7"/>
      <c r="C56" s="362"/>
      <c r="D56" s="362"/>
      <c r="E56" s="362"/>
      <c r="F56" s="362"/>
      <c r="G56" s="362"/>
      <c r="H56" s="333"/>
      <c r="I56" s="333"/>
      <c r="J56" s="333"/>
      <c r="K56" s="333"/>
      <c r="L56" s="333"/>
      <c r="M56" s="333"/>
      <c r="N56" s="333"/>
      <c r="O56" s="333"/>
      <c r="P56" s="333"/>
      <c r="Q56" s="333"/>
      <c r="R56" s="333"/>
      <c r="S56" s="333"/>
      <c r="T56" s="333"/>
      <c r="U56" s="333"/>
      <c r="V56" s="333"/>
      <c r="W56" s="333"/>
      <c r="X56" s="333"/>
      <c r="Y56" s="333"/>
      <c r="Z56" s="333"/>
      <c r="AA56" s="333"/>
      <c r="AB56" s="333"/>
      <c r="AC56" s="333"/>
      <c r="AD56" s="333"/>
      <c r="AE56" s="333"/>
      <c r="AF56" s="333"/>
      <c r="AG56" s="333"/>
      <c r="AH56" s="333"/>
      <c r="AI56" s="333"/>
      <c r="AJ56" s="347"/>
      <c r="AK56" s="348"/>
      <c r="AL56" s="348"/>
      <c r="AM56" s="348"/>
      <c r="AN56" s="348"/>
      <c r="AO56" s="349"/>
      <c r="AP56" s="352"/>
      <c r="AQ56" s="352"/>
      <c r="AR56" s="352"/>
      <c r="AS56" s="352"/>
      <c r="AT56" s="352"/>
      <c r="AU56" s="352"/>
      <c r="AV56" s="352"/>
      <c r="AW56" s="352"/>
      <c r="AX56" s="352"/>
      <c r="AY56" s="9"/>
    </row>
    <row r="57" spans="2:51" ht="7.5" customHeight="1" x14ac:dyDescent="0.2">
      <c r="B57" s="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108"/>
      <c r="AE57" s="10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9"/>
    </row>
    <row r="58" spans="2:51" ht="10.5" customHeight="1" x14ac:dyDescent="0.2">
      <c r="B58" s="7"/>
      <c r="C58" s="8"/>
      <c r="D58" s="358" t="str">
        <f>REPT(CHAR(73),15*(COUNTIF(H21:AI22,"*")+COUNTIF(H36:AI37,"*")+COUNTIF(H51:AI52,"*")))</f>
        <v/>
      </c>
      <c r="E58" s="359"/>
      <c r="F58" s="359"/>
      <c r="G58" s="359"/>
      <c r="H58" s="359"/>
      <c r="I58" s="359"/>
      <c r="J58" s="359"/>
      <c r="K58" s="359"/>
      <c r="L58" s="359"/>
      <c r="M58" s="359"/>
      <c r="N58" s="359"/>
      <c r="O58" s="359"/>
      <c r="P58" s="359"/>
      <c r="Q58" s="359"/>
      <c r="R58" s="359"/>
      <c r="S58" s="359"/>
      <c r="T58" s="359"/>
      <c r="U58" s="359"/>
      <c r="V58" s="359"/>
      <c r="W58" s="359"/>
      <c r="X58" s="359"/>
      <c r="Y58" s="359"/>
      <c r="Z58" s="359"/>
      <c r="AA58" s="359"/>
      <c r="AB58" s="359"/>
      <c r="AC58" s="359"/>
      <c r="AD58" s="155" t="str">
        <f>IF(LISTAS!D45=TRUE,"a","")</f>
        <v/>
      </c>
      <c r="AE58" s="155"/>
      <c r="AF58" s="8"/>
      <c r="AG58" s="354" t="str">
        <f>IF(LISTAS!D45=TRUE,"Anterior","")</f>
        <v/>
      </c>
      <c r="AH58" s="354"/>
      <c r="AI58" s="355"/>
      <c r="AJ58" s="355"/>
      <c r="AK58" s="355"/>
      <c r="AL58" s="8"/>
      <c r="AM58" s="363" t="str">
        <f>"Matriz"</f>
        <v>Matriz</v>
      </c>
      <c r="AN58" s="364"/>
      <c r="AO58" s="365"/>
      <c r="AP58" s="365"/>
      <c r="AQ58" s="366"/>
      <c r="AR58" s="8"/>
      <c r="AS58" s="356" t="str">
        <f>IF(LISTAS!D45=TRUE,"Siguiente","")</f>
        <v/>
      </c>
      <c r="AT58" s="356"/>
      <c r="AU58" s="357"/>
      <c r="AV58" s="357"/>
      <c r="AW58" s="357"/>
      <c r="AX58" s="8"/>
      <c r="AY58" s="9"/>
    </row>
    <row r="59" spans="2:51" ht="10.5" customHeight="1" x14ac:dyDescent="0.2">
      <c r="B59" s="7"/>
      <c r="C59" s="8"/>
      <c r="D59" s="359"/>
      <c r="E59" s="359"/>
      <c r="F59" s="359"/>
      <c r="G59" s="359"/>
      <c r="H59" s="359"/>
      <c r="I59" s="359"/>
      <c r="J59" s="359"/>
      <c r="K59" s="359"/>
      <c r="L59" s="359"/>
      <c r="M59" s="359"/>
      <c r="N59" s="359"/>
      <c r="O59" s="359"/>
      <c r="P59" s="359"/>
      <c r="Q59" s="359"/>
      <c r="R59" s="359"/>
      <c r="S59" s="359"/>
      <c r="T59" s="359"/>
      <c r="U59" s="359"/>
      <c r="V59" s="359"/>
      <c r="W59" s="359"/>
      <c r="X59" s="359"/>
      <c r="Y59" s="359"/>
      <c r="Z59" s="359"/>
      <c r="AA59" s="359"/>
      <c r="AB59" s="359"/>
      <c r="AC59" s="359"/>
      <c r="AD59" s="353"/>
      <c r="AE59" s="353"/>
      <c r="AF59" s="8"/>
      <c r="AG59" s="355"/>
      <c r="AH59" s="355"/>
      <c r="AI59" s="355"/>
      <c r="AJ59" s="355"/>
      <c r="AK59" s="355"/>
      <c r="AL59" s="8"/>
      <c r="AM59" s="367"/>
      <c r="AN59" s="368"/>
      <c r="AO59" s="368"/>
      <c r="AP59" s="368"/>
      <c r="AQ59" s="369"/>
      <c r="AR59" s="8"/>
      <c r="AS59" s="357"/>
      <c r="AT59" s="357"/>
      <c r="AU59" s="357"/>
      <c r="AV59" s="357"/>
      <c r="AW59" s="357"/>
      <c r="AX59" s="8"/>
      <c r="AY59" s="9"/>
    </row>
    <row r="60" spans="2:51" ht="3.95" customHeight="1" x14ac:dyDescent="0.2">
      <c r="B60" s="7"/>
      <c r="C60" s="8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9"/>
    </row>
    <row r="61" spans="2:51" ht="12" customHeight="1" x14ac:dyDescent="0.2">
      <c r="B61" s="7"/>
      <c r="C61" s="139" t="s">
        <v>4176</v>
      </c>
      <c r="D61" s="139"/>
      <c r="E61" s="139" t="s">
        <v>4177</v>
      </c>
      <c r="F61" s="139"/>
      <c r="G61" s="139" t="s">
        <v>4126</v>
      </c>
      <c r="H61" s="139"/>
      <c r="I61" s="139" t="s">
        <v>4178</v>
      </c>
      <c r="J61" s="139"/>
      <c r="K61" s="139" t="s">
        <v>4179</v>
      </c>
      <c r="L61" s="139"/>
      <c r="M61" s="139" t="s">
        <v>4180</v>
      </c>
      <c r="N61" s="139"/>
      <c r="O61" s="139" t="s">
        <v>4181</v>
      </c>
      <c r="P61" s="139"/>
      <c r="Q61" s="139" t="s">
        <v>4182</v>
      </c>
      <c r="R61" s="139"/>
      <c r="S61" s="139" t="s">
        <v>4183</v>
      </c>
      <c r="T61" s="139"/>
      <c r="U61" s="139" t="s">
        <v>4184</v>
      </c>
      <c r="V61" s="139"/>
      <c r="W61" s="139" t="s">
        <v>4185</v>
      </c>
      <c r="X61" s="139"/>
      <c r="Y61" s="139" t="s">
        <v>4186</v>
      </c>
      <c r="Z61" s="139"/>
      <c r="AA61" s="139" t="s">
        <v>1780</v>
      </c>
      <c r="AB61" s="139"/>
      <c r="AC61" s="139" t="s">
        <v>4187</v>
      </c>
      <c r="AD61" s="139"/>
      <c r="AE61" s="139" t="s">
        <v>1781</v>
      </c>
      <c r="AF61" s="139"/>
      <c r="AG61" s="139" t="s">
        <v>4188</v>
      </c>
      <c r="AH61" s="139"/>
      <c r="AI61" s="139" t="s">
        <v>4189</v>
      </c>
      <c r="AJ61" s="139"/>
      <c r="AK61" s="139" t="s">
        <v>4190</v>
      </c>
      <c r="AL61" s="139"/>
      <c r="AM61" s="139" t="s">
        <v>4191</v>
      </c>
      <c r="AN61" s="139"/>
      <c r="AO61" s="139" t="s">
        <v>4192</v>
      </c>
      <c r="AP61" s="139"/>
      <c r="AQ61" s="139" t="s">
        <v>4176</v>
      </c>
      <c r="AR61" s="139"/>
      <c r="AS61" s="139" t="s">
        <v>4177</v>
      </c>
      <c r="AT61" s="139"/>
      <c r="AU61" s="139" t="s">
        <v>4126</v>
      </c>
      <c r="AV61" s="139"/>
      <c r="AW61" s="139" t="s">
        <v>4178</v>
      </c>
      <c r="AX61" s="139"/>
      <c r="AY61" s="9"/>
    </row>
    <row r="62" spans="2:51" ht="12" customHeight="1" x14ac:dyDescent="0.2">
      <c r="B62" s="7"/>
      <c r="C62" s="139"/>
      <c r="D62" s="139"/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  <c r="AC62" s="139"/>
      <c r="AD62" s="139"/>
      <c r="AE62" s="139"/>
      <c r="AF62" s="139"/>
      <c r="AG62" s="139"/>
      <c r="AH62" s="139"/>
      <c r="AI62" s="139"/>
      <c r="AJ62" s="139"/>
      <c r="AK62" s="139"/>
      <c r="AL62" s="139"/>
      <c r="AM62" s="139"/>
      <c r="AN62" s="139"/>
      <c r="AO62" s="139"/>
      <c r="AP62" s="139"/>
      <c r="AQ62" s="139"/>
      <c r="AR62" s="139"/>
      <c r="AS62" s="139"/>
      <c r="AT62" s="139"/>
      <c r="AU62" s="139"/>
      <c r="AV62" s="139"/>
      <c r="AW62" s="139"/>
      <c r="AX62" s="139"/>
      <c r="AY62" s="9"/>
    </row>
    <row r="63" spans="2:51" ht="12" customHeight="1" x14ac:dyDescent="0.2">
      <c r="B63" s="7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9"/>
    </row>
    <row r="64" spans="2:51" ht="12" customHeight="1" x14ac:dyDescent="0.2">
      <c r="B64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64" s="11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3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5" t="str">
        <f ca="1">IF('MOD1'!$AY$49="","",'MOD1'!$AY$49)</f>
        <v>*Equipo de Gestión de la Información - EBR - Ministerio de Educación</v>
      </c>
    </row>
  </sheetData>
  <sheetProtection algorithmName="SHA-512" hashValue="u6dDgJpw6PJmOCfmyd/0miwGegrr9TXl8FrtBWBCBPzS92fctsVwTaUqSvc2dgzwaN8axm5VqrxdPej+hoQYmQ==" saltValue="keNnlw8UzG8rWMnQgTO7vA==" spinCount="100000" sheet="1" objects="1" scenarios="1"/>
  <mergeCells count="89">
    <mergeCell ref="H51:N52"/>
    <mergeCell ref="O51:U52"/>
    <mergeCell ref="V51:AB52"/>
    <mergeCell ref="AC51:AI52"/>
    <mergeCell ref="V43:AB50"/>
    <mergeCell ref="H38:N41"/>
    <mergeCell ref="AC38:AI41"/>
    <mergeCell ref="AP38:AX41"/>
    <mergeCell ref="AP23:AX26"/>
    <mergeCell ref="AJ13:AO26"/>
    <mergeCell ref="AJ28:AO41"/>
    <mergeCell ref="AP28:AX37"/>
    <mergeCell ref="AC23:AI26"/>
    <mergeCell ref="AP13:AX22"/>
    <mergeCell ref="AC28:AI35"/>
    <mergeCell ref="AC36:AI37"/>
    <mergeCell ref="O38:U41"/>
    <mergeCell ref="O36:U37"/>
    <mergeCell ref="AS61:AT62"/>
    <mergeCell ref="AM58:AQ59"/>
    <mergeCell ref="AU61:AV62"/>
    <mergeCell ref="C53:G56"/>
    <mergeCell ref="H53:N56"/>
    <mergeCell ref="O53:U56"/>
    <mergeCell ref="V53:AB56"/>
    <mergeCell ref="AC53:AI56"/>
    <mergeCell ref="AK61:AL62"/>
    <mergeCell ref="AM61:AN62"/>
    <mergeCell ref="AE61:AF62"/>
    <mergeCell ref="U61:V62"/>
    <mergeCell ref="AG61:AH62"/>
    <mergeCell ref="AI61:AJ62"/>
    <mergeCell ref="W61:X62"/>
    <mergeCell ref="S61:T62"/>
    <mergeCell ref="Y61:Z62"/>
    <mergeCell ref="V13:AB20"/>
    <mergeCell ref="V21:AB22"/>
    <mergeCell ref="V28:AB35"/>
    <mergeCell ref="V38:AB41"/>
    <mergeCell ref="D58:AC59"/>
    <mergeCell ref="C23:G26"/>
    <mergeCell ref="C28:G37"/>
    <mergeCell ref="C43:G52"/>
    <mergeCell ref="H43:N50"/>
    <mergeCell ref="O43:U50"/>
    <mergeCell ref="H13:N20"/>
    <mergeCell ref="H21:N22"/>
    <mergeCell ref="AC13:AI20"/>
    <mergeCell ref="AC21:AI22"/>
    <mergeCell ref="C38:G41"/>
    <mergeCell ref="AJ43:AO56"/>
    <mergeCell ref="AP43:AX52"/>
    <mergeCell ref="AP53:AX56"/>
    <mergeCell ref="AD58:AE59"/>
    <mergeCell ref="AG58:AK59"/>
    <mergeCell ref="AS58:AW59"/>
    <mergeCell ref="AC43:AI50"/>
    <mergeCell ref="AJ11:AO12"/>
    <mergeCell ref="H36:N37"/>
    <mergeCell ref="O21:U22"/>
    <mergeCell ref="H23:N26"/>
    <mergeCell ref="O23:U26"/>
    <mergeCell ref="H28:N35"/>
    <mergeCell ref="O28:U35"/>
    <mergeCell ref="V36:AB37"/>
    <mergeCell ref="O13:U20"/>
    <mergeCell ref="V23:AB26"/>
    <mergeCell ref="C11:G12"/>
    <mergeCell ref="H12:N12"/>
    <mergeCell ref="O12:U12"/>
    <mergeCell ref="V12:AB12"/>
    <mergeCell ref="H11:AI11"/>
    <mergeCell ref="AC12:AI12"/>
    <mergeCell ref="C9:AX10"/>
    <mergeCell ref="G61:H62"/>
    <mergeCell ref="I61:J62"/>
    <mergeCell ref="K61:L62"/>
    <mergeCell ref="M61:N62"/>
    <mergeCell ref="O61:P62"/>
    <mergeCell ref="C13:G22"/>
    <mergeCell ref="AW61:AX62"/>
    <mergeCell ref="AA61:AB62"/>
    <mergeCell ref="AC61:AD62"/>
    <mergeCell ref="AO61:AP62"/>
    <mergeCell ref="AQ61:AR62"/>
    <mergeCell ref="Q61:R62"/>
    <mergeCell ref="C61:D62"/>
    <mergeCell ref="E61:F62"/>
    <mergeCell ref="AP11:AX12"/>
  </mergeCells>
  <conditionalFormatting sqref="AG58:AK59">
    <cfRule type="expression" dxfId="205" priority="5">
      <formula>$AG$58=""</formula>
    </cfRule>
  </conditionalFormatting>
  <conditionalFormatting sqref="AS58:AW59">
    <cfRule type="expression" dxfId="204" priority="4">
      <formula>$AS$58=""</formula>
    </cfRule>
  </conditionalFormatting>
  <conditionalFormatting sqref="C61:AX62">
    <cfRule type="expression" dxfId="203" priority="1">
      <formula>IF(CODE(C61)=38,1,0)</formula>
    </cfRule>
    <cfRule type="expression" dxfId="202" priority="2">
      <formula>IF(CODE(C61)=37,1,0)</formula>
    </cfRule>
    <cfRule type="expression" dxfId="201" priority="3">
      <formula>IF(OR(CODE(C61)=143,CODE(C61)=167,CODE(C61)=168,CODE(C61)=254),1,0)</formula>
    </cfRule>
  </conditionalFormatting>
  <dataValidations xWindow="738" yWindow="616" count="10">
    <dataValidation allowBlank="1" showInputMessage="1" showErrorMessage="1" promptTitle="Mensaje" prompt="Indicador" sqref="AJ11:AO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Hitos de aplicación del enfoque ambiental" sqref="H11:AE11 H12:M12 O12:T12 V12:AA12 AC12:AH12"/>
    <dataValidation type="list" allowBlank="1" showInputMessage="1" showErrorMessage="1" errorTitle="Mensaje de validación" error="Solo se permite datos de la lista desplegable._x000a__x000a_Intente de nuevo." promptTitle="Seleccionar" prompt="SI o NO" sqref="H36:AI37 H51:AI52 H21:AI22">
      <formula1>"SI, NO"</formula1>
    </dataValidation>
    <dataValidation allowBlank="1" showInputMessage="1" showErrorMessage="1" promptTitle="Información" prompt="Medios de verificación" sqref="C23:AI26 AP23:AX26 AP53:AX56 AP38:AX41 C38:AI41 C53:AI56"/>
    <dataValidation allowBlank="1" showInputMessage="1" showErrorMessage="1" promptTitle="Información" prompt="Hitos de aplicación" sqref="H13:AI20 H28:AI35 H43:AI50"/>
    <dataValidation allowBlank="1" showInputMessage="1" showErrorMessage="1" promptTitle="Información" prompt="Indicador de la actividad" sqref="AJ13:AO26 AJ28:AO41 AJ43:AO56"/>
    <dataValidation allowBlank="1" showInputMessage="1" showErrorMessage="1" promptTitle="Información" prompt="Actividad ambiental" sqref="C13:G22 C28:G37 C43:G52"/>
    <dataValidation allowBlank="1" showInputMessage="1" showErrorMessage="1" promptTitle="Ingrese" prompt="Describir principales aspectos que facilitaron que la IIEE llegara a este logro, así como dificultades." sqref="AP13:AX22 AP28:AX37 AP43:AX5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00FF"/>
    <pageSetUpPr fitToPage="1"/>
  </sheetPr>
  <dimension ref="A1:AY49"/>
  <sheetViews>
    <sheetView showGridLines="0" topLeftCell="A2" zoomScaleNormal="100" zoomScaleSheetLayoutView="100" workbookViewId="0">
      <selection activeCell="AP23" sqref="AP23:AX26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15" t="s">
        <v>3669</v>
      </c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  <c r="W9" s="316"/>
      <c r="X9" s="316"/>
      <c r="Y9" s="316"/>
      <c r="Z9" s="316"/>
      <c r="AA9" s="316"/>
      <c r="AB9" s="316"/>
      <c r="AC9" s="316"/>
      <c r="AD9" s="316"/>
      <c r="AE9" s="316"/>
      <c r="AF9" s="316"/>
      <c r="AG9" s="316"/>
      <c r="AH9" s="316"/>
      <c r="AI9" s="316"/>
      <c r="AJ9" s="316"/>
      <c r="AK9" s="316"/>
      <c r="AL9" s="316"/>
      <c r="AM9" s="316"/>
      <c r="AN9" s="316"/>
      <c r="AO9" s="316"/>
      <c r="AP9" s="316"/>
      <c r="AQ9" s="316"/>
      <c r="AR9" s="316"/>
      <c r="AS9" s="316"/>
      <c r="AT9" s="316"/>
      <c r="AU9" s="316"/>
      <c r="AV9" s="316"/>
      <c r="AW9" s="316"/>
      <c r="AX9" s="316"/>
      <c r="AY9" s="9"/>
    </row>
    <row r="10" spans="1:51" ht="9" customHeight="1" x14ac:dyDescent="0.2">
      <c r="B10" s="7"/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9"/>
    </row>
    <row r="11" spans="1:51" ht="12" customHeight="1" x14ac:dyDescent="0.2">
      <c r="B11" s="7"/>
      <c r="C11" s="319" t="s">
        <v>1793</v>
      </c>
      <c r="D11" s="320"/>
      <c r="E11" s="320"/>
      <c r="F11" s="320"/>
      <c r="G11" s="320"/>
      <c r="H11" s="321" t="s">
        <v>1794</v>
      </c>
      <c r="I11" s="322"/>
      <c r="J11" s="322"/>
      <c r="K11" s="322"/>
      <c r="L11" s="322"/>
      <c r="M11" s="322"/>
      <c r="N11" s="322"/>
      <c r="O11" s="322"/>
      <c r="P11" s="322"/>
      <c r="Q11" s="322"/>
      <c r="R11" s="322"/>
      <c r="S11" s="322"/>
      <c r="T11" s="322"/>
      <c r="U11" s="322"/>
      <c r="V11" s="322"/>
      <c r="W11" s="322"/>
      <c r="X11" s="322"/>
      <c r="Y11" s="322"/>
      <c r="Z11" s="322"/>
      <c r="AA11" s="322"/>
      <c r="AB11" s="322"/>
      <c r="AC11" s="322"/>
      <c r="AD11" s="322"/>
      <c r="AE11" s="322"/>
      <c r="AF11" s="324"/>
      <c r="AG11" s="324"/>
      <c r="AH11" s="324"/>
      <c r="AI11" s="323"/>
      <c r="AJ11" s="319" t="s">
        <v>1800</v>
      </c>
      <c r="AK11" s="320"/>
      <c r="AL11" s="320"/>
      <c r="AM11" s="320"/>
      <c r="AN11" s="320"/>
      <c r="AO11" s="320"/>
      <c r="AP11" s="319" t="s">
        <v>1801</v>
      </c>
      <c r="AQ11" s="320"/>
      <c r="AR11" s="320"/>
      <c r="AS11" s="320"/>
      <c r="AT11" s="320"/>
      <c r="AU11" s="320"/>
      <c r="AV11" s="320"/>
      <c r="AW11" s="320"/>
      <c r="AX11" s="320"/>
      <c r="AY11" s="9"/>
    </row>
    <row r="12" spans="1:51" ht="9.9499999999999993" customHeight="1" x14ac:dyDescent="0.2">
      <c r="B12" s="7"/>
      <c r="C12" s="320"/>
      <c r="D12" s="320"/>
      <c r="E12" s="320"/>
      <c r="F12" s="320"/>
      <c r="G12" s="320"/>
      <c r="H12" s="321" t="s">
        <v>1795</v>
      </c>
      <c r="I12" s="322"/>
      <c r="J12" s="322"/>
      <c r="K12" s="322"/>
      <c r="L12" s="322"/>
      <c r="M12" s="322"/>
      <c r="N12" s="323"/>
      <c r="O12" s="321" t="s">
        <v>1796</v>
      </c>
      <c r="P12" s="322"/>
      <c r="Q12" s="322"/>
      <c r="R12" s="322"/>
      <c r="S12" s="322"/>
      <c r="T12" s="322"/>
      <c r="U12" s="323"/>
      <c r="V12" s="321" t="s">
        <v>1797</v>
      </c>
      <c r="W12" s="322"/>
      <c r="X12" s="322"/>
      <c r="Y12" s="322"/>
      <c r="Z12" s="322"/>
      <c r="AA12" s="322"/>
      <c r="AB12" s="323"/>
      <c r="AC12" s="321" t="s">
        <v>1798</v>
      </c>
      <c r="AD12" s="322"/>
      <c r="AE12" s="322"/>
      <c r="AF12" s="322"/>
      <c r="AG12" s="322"/>
      <c r="AH12" s="322"/>
      <c r="AI12" s="323"/>
      <c r="AJ12" s="320"/>
      <c r="AK12" s="320"/>
      <c r="AL12" s="320"/>
      <c r="AM12" s="320"/>
      <c r="AN12" s="320"/>
      <c r="AO12" s="320"/>
      <c r="AP12" s="320"/>
      <c r="AQ12" s="320"/>
      <c r="AR12" s="320"/>
      <c r="AS12" s="320"/>
      <c r="AT12" s="320"/>
      <c r="AU12" s="320"/>
      <c r="AV12" s="320"/>
      <c r="AW12" s="320"/>
      <c r="AX12" s="320"/>
      <c r="AY12" s="9"/>
    </row>
    <row r="13" spans="1:51" ht="11.45" customHeight="1" x14ac:dyDescent="0.2">
      <c r="B13" s="7"/>
      <c r="C13" s="317" t="str">
        <f>LISTAS!AJ5</f>
        <v>4. La I.E. realizó actividades de mitigación y adaptación frente al Cambio climático.</v>
      </c>
      <c r="D13" s="318"/>
      <c r="E13" s="318"/>
      <c r="F13" s="318"/>
      <c r="G13" s="318"/>
      <c r="H13" s="334" t="str">
        <f>LISTAS!AK5</f>
        <v xml:space="preserve">La I.E. implementó actividades de recuperación de espacios en desuso, incremento y/o mantenimiento de áreas verdes dentro de la I.E., en el marco de la condición de cambio climático. </v>
      </c>
      <c r="I13" s="335"/>
      <c r="J13" s="335"/>
      <c r="K13" s="335"/>
      <c r="L13" s="335"/>
      <c r="M13" s="335"/>
      <c r="N13" s="336"/>
      <c r="O13" s="334" t="str">
        <f>LISTAS!AL5</f>
        <v xml:space="preserve">La I.E. implementó actividades pedagógicas de valoración y conservación de la diversidad biológica (flora y fauna, terrestre y acuática) y de los servicios ecosistémicos (lo servicios que el ambiente nos brinda), en el marco de la condición de cambio climático. </v>
      </c>
      <c r="P13" s="335"/>
      <c r="Q13" s="335"/>
      <c r="R13" s="335"/>
      <c r="S13" s="335"/>
      <c r="T13" s="335"/>
      <c r="U13" s="336"/>
      <c r="V13" s="334" t="str">
        <f>LISTAS!AM5</f>
        <v xml:space="preserve"> La I.E. implementó actividades pedagógicas de promoción de la producción y consumo responsables (valoración de prácticas compatibles con el cuidado del ambiente y los recursos naturales), en el marco de la condición de cambio climático. </v>
      </c>
      <c r="W13" s="335"/>
      <c r="X13" s="335"/>
      <c r="Y13" s="335"/>
      <c r="Z13" s="335"/>
      <c r="AA13" s="335"/>
      <c r="AB13" s="336"/>
      <c r="AC13" s="334" t="str">
        <f>LISTAS!AN5</f>
        <v xml:space="preserve">La I.E. implementó actividades a favor de la recuperación y/o mantenimiento de espacios públicos y áreas verdes aledañas a la I.E. y en la comunidad local (jornadas de limpieza, el abono y/o sembrado de árboles, otras actividades), en el marco de la condición de cambio climático. </v>
      </c>
      <c r="AD13" s="335"/>
      <c r="AE13" s="335"/>
      <c r="AF13" s="335"/>
      <c r="AG13" s="335"/>
      <c r="AH13" s="335"/>
      <c r="AI13" s="336"/>
      <c r="AJ13" s="338" t="str">
        <f>LISTAS!AO5</f>
        <v>N° de hitos de aplicación del enfoque ambiental puestos en práctica para la mitigación y adaptación frente al Cambio climático.</v>
      </c>
      <c r="AK13" s="339"/>
      <c r="AL13" s="339"/>
      <c r="AM13" s="339"/>
      <c r="AN13" s="339"/>
      <c r="AO13" s="340"/>
      <c r="AP13" s="350"/>
      <c r="AQ13" s="351"/>
      <c r="AR13" s="351"/>
      <c r="AS13" s="351"/>
      <c r="AT13" s="351"/>
      <c r="AU13" s="351"/>
      <c r="AV13" s="351"/>
      <c r="AW13" s="351"/>
      <c r="AX13" s="351"/>
      <c r="AY13" s="9"/>
    </row>
    <row r="14" spans="1:51" ht="11.45" customHeight="1" x14ac:dyDescent="0.2">
      <c r="B14" s="7"/>
      <c r="C14" s="318"/>
      <c r="D14" s="318"/>
      <c r="E14" s="318"/>
      <c r="F14" s="318"/>
      <c r="G14" s="318"/>
      <c r="H14" s="337"/>
      <c r="I14" s="335"/>
      <c r="J14" s="335"/>
      <c r="K14" s="335"/>
      <c r="L14" s="335"/>
      <c r="M14" s="335"/>
      <c r="N14" s="336"/>
      <c r="O14" s="337"/>
      <c r="P14" s="335"/>
      <c r="Q14" s="335"/>
      <c r="R14" s="335"/>
      <c r="S14" s="335"/>
      <c r="T14" s="335"/>
      <c r="U14" s="336"/>
      <c r="V14" s="337"/>
      <c r="W14" s="335"/>
      <c r="X14" s="335"/>
      <c r="Y14" s="335"/>
      <c r="Z14" s="335"/>
      <c r="AA14" s="335"/>
      <c r="AB14" s="336"/>
      <c r="AC14" s="337"/>
      <c r="AD14" s="335"/>
      <c r="AE14" s="335"/>
      <c r="AF14" s="335"/>
      <c r="AG14" s="335"/>
      <c r="AH14" s="335"/>
      <c r="AI14" s="336"/>
      <c r="AJ14" s="341"/>
      <c r="AK14" s="342"/>
      <c r="AL14" s="342"/>
      <c r="AM14" s="342"/>
      <c r="AN14" s="342"/>
      <c r="AO14" s="343"/>
      <c r="AP14" s="351"/>
      <c r="AQ14" s="351"/>
      <c r="AR14" s="351"/>
      <c r="AS14" s="351"/>
      <c r="AT14" s="351"/>
      <c r="AU14" s="351"/>
      <c r="AV14" s="351"/>
      <c r="AW14" s="351"/>
      <c r="AX14" s="351"/>
      <c r="AY14" s="9"/>
    </row>
    <row r="15" spans="1:51" ht="11.45" customHeight="1" x14ac:dyDescent="0.2">
      <c r="B15" s="7"/>
      <c r="C15" s="318"/>
      <c r="D15" s="318"/>
      <c r="E15" s="318"/>
      <c r="F15" s="318"/>
      <c r="G15" s="318"/>
      <c r="H15" s="337"/>
      <c r="I15" s="335"/>
      <c r="J15" s="335"/>
      <c r="K15" s="335"/>
      <c r="L15" s="335"/>
      <c r="M15" s="335"/>
      <c r="N15" s="336"/>
      <c r="O15" s="337"/>
      <c r="P15" s="335"/>
      <c r="Q15" s="335"/>
      <c r="R15" s="335"/>
      <c r="S15" s="335"/>
      <c r="T15" s="335"/>
      <c r="U15" s="336"/>
      <c r="V15" s="337"/>
      <c r="W15" s="335"/>
      <c r="X15" s="335"/>
      <c r="Y15" s="335"/>
      <c r="Z15" s="335"/>
      <c r="AA15" s="335"/>
      <c r="AB15" s="336"/>
      <c r="AC15" s="337"/>
      <c r="AD15" s="335"/>
      <c r="AE15" s="335"/>
      <c r="AF15" s="335"/>
      <c r="AG15" s="335"/>
      <c r="AH15" s="335"/>
      <c r="AI15" s="336"/>
      <c r="AJ15" s="341"/>
      <c r="AK15" s="342"/>
      <c r="AL15" s="342"/>
      <c r="AM15" s="342"/>
      <c r="AN15" s="342"/>
      <c r="AO15" s="343"/>
      <c r="AP15" s="351"/>
      <c r="AQ15" s="351"/>
      <c r="AR15" s="351"/>
      <c r="AS15" s="351"/>
      <c r="AT15" s="351"/>
      <c r="AU15" s="351"/>
      <c r="AV15" s="351"/>
      <c r="AW15" s="351"/>
      <c r="AX15" s="351"/>
      <c r="AY15" s="9"/>
    </row>
    <row r="16" spans="1:51" ht="11.45" customHeight="1" x14ac:dyDescent="0.2">
      <c r="B16" s="7"/>
      <c r="C16" s="318"/>
      <c r="D16" s="318"/>
      <c r="E16" s="318"/>
      <c r="F16" s="318"/>
      <c r="G16" s="318"/>
      <c r="H16" s="337"/>
      <c r="I16" s="335"/>
      <c r="J16" s="335"/>
      <c r="K16" s="335"/>
      <c r="L16" s="335"/>
      <c r="M16" s="335"/>
      <c r="N16" s="336"/>
      <c r="O16" s="337"/>
      <c r="P16" s="335"/>
      <c r="Q16" s="335"/>
      <c r="R16" s="335"/>
      <c r="S16" s="335"/>
      <c r="T16" s="335"/>
      <c r="U16" s="336"/>
      <c r="V16" s="337"/>
      <c r="W16" s="335"/>
      <c r="X16" s="335"/>
      <c r="Y16" s="335"/>
      <c r="Z16" s="335"/>
      <c r="AA16" s="335"/>
      <c r="AB16" s="336"/>
      <c r="AC16" s="337"/>
      <c r="AD16" s="335"/>
      <c r="AE16" s="335"/>
      <c r="AF16" s="335"/>
      <c r="AG16" s="335"/>
      <c r="AH16" s="335"/>
      <c r="AI16" s="336"/>
      <c r="AJ16" s="341"/>
      <c r="AK16" s="342"/>
      <c r="AL16" s="342"/>
      <c r="AM16" s="342"/>
      <c r="AN16" s="342"/>
      <c r="AO16" s="343"/>
      <c r="AP16" s="351"/>
      <c r="AQ16" s="351"/>
      <c r="AR16" s="351"/>
      <c r="AS16" s="351"/>
      <c r="AT16" s="351"/>
      <c r="AU16" s="351"/>
      <c r="AV16" s="351"/>
      <c r="AW16" s="351"/>
      <c r="AX16" s="351"/>
      <c r="AY16" s="9"/>
    </row>
    <row r="17" spans="2:51" ht="11.45" customHeight="1" x14ac:dyDescent="0.2">
      <c r="B17" s="7"/>
      <c r="C17" s="318"/>
      <c r="D17" s="318"/>
      <c r="E17" s="318"/>
      <c r="F17" s="318"/>
      <c r="G17" s="318"/>
      <c r="H17" s="337"/>
      <c r="I17" s="335"/>
      <c r="J17" s="335"/>
      <c r="K17" s="335"/>
      <c r="L17" s="335"/>
      <c r="M17" s="335"/>
      <c r="N17" s="336"/>
      <c r="O17" s="337"/>
      <c r="P17" s="335"/>
      <c r="Q17" s="335"/>
      <c r="R17" s="335"/>
      <c r="S17" s="335"/>
      <c r="T17" s="335"/>
      <c r="U17" s="336"/>
      <c r="V17" s="337"/>
      <c r="W17" s="335"/>
      <c r="X17" s="335"/>
      <c r="Y17" s="335"/>
      <c r="Z17" s="335"/>
      <c r="AA17" s="335"/>
      <c r="AB17" s="336"/>
      <c r="AC17" s="337"/>
      <c r="AD17" s="335"/>
      <c r="AE17" s="335"/>
      <c r="AF17" s="335"/>
      <c r="AG17" s="335"/>
      <c r="AH17" s="335"/>
      <c r="AI17" s="336"/>
      <c r="AJ17" s="341"/>
      <c r="AK17" s="342"/>
      <c r="AL17" s="342"/>
      <c r="AM17" s="342"/>
      <c r="AN17" s="342"/>
      <c r="AO17" s="343"/>
      <c r="AP17" s="351"/>
      <c r="AQ17" s="351"/>
      <c r="AR17" s="351"/>
      <c r="AS17" s="351"/>
      <c r="AT17" s="351"/>
      <c r="AU17" s="351"/>
      <c r="AV17" s="351"/>
      <c r="AW17" s="351"/>
      <c r="AX17" s="351"/>
      <c r="AY17" s="9"/>
    </row>
    <row r="18" spans="2:51" ht="11.45" customHeight="1" x14ac:dyDescent="0.2">
      <c r="B18" s="7"/>
      <c r="C18" s="318"/>
      <c r="D18" s="318"/>
      <c r="E18" s="318"/>
      <c r="F18" s="318"/>
      <c r="G18" s="318"/>
      <c r="H18" s="337"/>
      <c r="I18" s="335"/>
      <c r="J18" s="335"/>
      <c r="K18" s="335"/>
      <c r="L18" s="335"/>
      <c r="M18" s="335"/>
      <c r="N18" s="336"/>
      <c r="O18" s="337"/>
      <c r="P18" s="335"/>
      <c r="Q18" s="335"/>
      <c r="R18" s="335"/>
      <c r="S18" s="335"/>
      <c r="T18" s="335"/>
      <c r="U18" s="336"/>
      <c r="V18" s="337"/>
      <c r="W18" s="335"/>
      <c r="X18" s="335"/>
      <c r="Y18" s="335"/>
      <c r="Z18" s="335"/>
      <c r="AA18" s="335"/>
      <c r="AB18" s="336"/>
      <c r="AC18" s="337"/>
      <c r="AD18" s="335"/>
      <c r="AE18" s="335"/>
      <c r="AF18" s="335"/>
      <c r="AG18" s="335"/>
      <c r="AH18" s="335"/>
      <c r="AI18" s="336"/>
      <c r="AJ18" s="341"/>
      <c r="AK18" s="342"/>
      <c r="AL18" s="342"/>
      <c r="AM18" s="342"/>
      <c r="AN18" s="342"/>
      <c r="AO18" s="343"/>
      <c r="AP18" s="351"/>
      <c r="AQ18" s="351"/>
      <c r="AR18" s="351"/>
      <c r="AS18" s="351"/>
      <c r="AT18" s="351"/>
      <c r="AU18" s="351"/>
      <c r="AV18" s="351"/>
      <c r="AW18" s="351"/>
      <c r="AX18" s="351"/>
      <c r="AY18" s="9"/>
    </row>
    <row r="19" spans="2:51" ht="11.45" customHeight="1" x14ac:dyDescent="0.2">
      <c r="B19" s="7"/>
      <c r="C19" s="318"/>
      <c r="D19" s="318"/>
      <c r="E19" s="318"/>
      <c r="F19" s="318"/>
      <c r="G19" s="318"/>
      <c r="H19" s="337"/>
      <c r="I19" s="335"/>
      <c r="J19" s="335"/>
      <c r="K19" s="335"/>
      <c r="L19" s="335"/>
      <c r="M19" s="335"/>
      <c r="N19" s="336"/>
      <c r="O19" s="337"/>
      <c r="P19" s="335"/>
      <c r="Q19" s="335"/>
      <c r="R19" s="335"/>
      <c r="S19" s="335"/>
      <c r="T19" s="335"/>
      <c r="U19" s="336"/>
      <c r="V19" s="337"/>
      <c r="W19" s="335"/>
      <c r="X19" s="335"/>
      <c r="Y19" s="335"/>
      <c r="Z19" s="335"/>
      <c r="AA19" s="335"/>
      <c r="AB19" s="336"/>
      <c r="AC19" s="337"/>
      <c r="AD19" s="335"/>
      <c r="AE19" s="335"/>
      <c r="AF19" s="335"/>
      <c r="AG19" s="335"/>
      <c r="AH19" s="335"/>
      <c r="AI19" s="336"/>
      <c r="AJ19" s="341"/>
      <c r="AK19" s="342"/>
      <c r="AL19" s="342"/>
      <c r="AM19" s="342"/>
      <c r="AN19" s="342"/>
      <c r="AO19" s="343"/>
      <c r="AP19" s="351"/>
      <c r="AQ19" s="351"/>
      <c r="AR19" s="351"/>
      <c r="AS19" s="351"/>
      <c r="AT19" s="351"/>
      <c r="AU19" s="351"/>
      <c r="AV19" s="351"/>
      <c r="AW19" s="351"/>
      <c r="AX19" s="351"/>
      <c r="AY19" s="9"/>
    </row>
    <row r="20" spans="2:51" ht="25.5" customHeight="1" x14ac:dyDescent="0.2">
      <c r="B20" s="7"/>
      <c r="C20" s="318"/>
      <c r="D20" s="318"/>
      <c r="E20" s="318"/>
      <c r="F20" s="318"/>
      <c r="G20" s="318"/>
      <c r="H20" s="337"/>
      <c r="I20" s="335"/>
      <c r="J20" s="335"/>
      <c r="K20" s="335"/>
      <c r="L20" s="335"/>
      <c r="M20" s="335"/>
      <c r="N20" s="336"/>
      <c r="O20" s="337"/>
      <c r="P20" s="335"/>
      <c r="Q20" s="335"/>
      <c r="R20" s="335"/>
      <c r="S20" s="335"/>
      <c r="T20" s="335"/>
      <c r="U20" s="336"/>
      <c r="V20" s="337"/>
      <c r="W20" s="335"/>
      <c r="X20" s="335"/>
      <c r="Y20" s="335"/>
      <c r="Z20" s="335"/>
      <c r="AA20" s="335"/>
      <c r="AB20" s="336"/>
      <c r="AC20" s="337"/>
      <c r="AD20" s="335"/>
      <c r="AE20" s="335"/>
      <c r="AF20" s="335"/>
      <c r="AG20" s="335"/>
      <c r="AH20" s="335"/>
      <c r="AI20" s="336"/>
      <c r="AJ20" s="341"/>
      <c r="AK20" s="342"/>
      <c r="AL20" s="342"/>
      <c r="AM20" s="342"/>
      <c r="AN20" s="342"/>
      <c r="AO20" s="343"/>
      <c r="AP20" s="351"/>
      <c r="AQ20" s="351"/>
      <c r="AR20" s="351"/>
      <c r="AS20" s="351"/>
      <c r="AT20" s="351"/>
      <c r="AU20" s="351"/>
      <c r="AV20" s="351"/>
      <c r="AW20" s="351"/>
      <c r="AX20" s="351"/>
      <c r="AY20" s="9"/>
    </row>
    <row r="21" spans="2:51" ht="6.95" customHeight="1" x14ac:dyDescent="0.2">
      <c r="B21" s="7"/>
      <c r="C21" s="318"/>
      <c r="D21" s="318"/>
      <c r="E21" s="318"/>
      <c r="F21" s="318"/>
      <c r="G21" s="318"/>
      <c r="H21" s="325"/>
      <c r="I21" s="326"/>
      <c r="J21" s="326"/>
      <c r="K21" s="326"/>
      <c r="L21" s="326"/>
      <c r="M21" s="326"/>
      <c r="N21" s="327"/>
      <c r="O21" s="325"/>
      <c r="P21" s="326"/>
      <c r="Q21" s="326"/>
      <c r="R21" s="326"/>
      <c r="S21" s="326"/>
      <c r="T21" s="326"/>
      <c r="U21" s="327"/>
      <c r="V21" s="325"/>
      <c r="W21" s="326"/>
      <c r="X21" s="326"/>
      <c r="Y21" s="326"/>
      <c r="Z21" s="326"/>
      <c r="AA21" s="326"/>
      <c r="AB21" s="327"/>
      <c r="AC21" s="325"/>
      <c r="AD21" s="326"/>
      <c r="AE21" s="326"/>
      <c r="AF21" s="326"/>
      <c r="AG21" s="326"/>
      <c r="AH21" s="326"/>
      <c r="AI21" s="327"/>
      <c r="AJ21" s="341"/>
      <c r="AK21" s="342"/>
      <c r="AL21" s="342"/>
      <c r="AM21" s="342"/>
      <c r="AN21" s="342"/>
      <c r="AO21" s="343"/>
      <c r="AP21" s="351"/>
      <c r="AQ21" s="351"/>
      <c r="AR21" s="351"/>
      <c r="AS21" s="351"/>
      <c r="AT21" s="351"/>
      <c r="AU21" s="351"/>
      <c r="AV21" s="351"/>
      <c r="AW21" s="351"/>
      <c r="AX21" s="351"/>
      <c r="AY21" s="9"/>
    </row>
    <row r="22" spans="2:51" ht="6.95" customHeight="1" x14ac:dyDescent="0.2">
      <c r="B22" s="7"/>
      <c r="C22" s="318"/>
      <c r="D22" s="318"/>
      <c r="E22" s="318"/>
      <c r="F22" s="318"/>
      <c r="G22" s="318"/>
      <c r="H22" s="328"/>
      <c r="I22" s="326"/>
      <c r="J22" s="326"/>
      <c r="K22" s="326"/>
      <c r="L22" s="326"/>
      <c r="M22" s="326"/>
      <c r="N22" s="327"/>
      <c r="O22" s="328"/>
      <c r="P22" s="326"/>
      <c r="Q22" s="326"/>
      <c r="R22" s="326"/>
      <c r="S22" s="326"/>
      <c r="T22" s="326"/>
      <c r="U22" s="327"/>
      <c r="V22" s="328"/>
      <c r="W22" s="326"/>
      <c r="X22" s="326"/>
      <c r="Y22" s="326"/>
      <c r="Z22" s="326"/>
      <c r="AA22" s="326"/>
      <c r="AB22" s="327"/>
      <c r="AC22" s="328"/>
      <c r="AD22" s="326"/>
      <c r="AE22" s="326"/>
      <c r="AF22" s="326"/>
      <c r="AG22" s="326"/>
      <c r="AH22" s="326"/>
      <c r="AI22" s="327"/>
      <c r="AJ22" s="341"/>
      <c r="AK22" s="342"/>
      <c r="AL22" s="342"/>
      <c r="AM22" s="342"/>
      <c r="AN22" s="342"/>
      <c r="AO22" s="343"/>
      <c r="AP22" s="351"/>
      <c r="AQ22" s="351"/>
      <c r="AR22" s="351"/>
      <c r="AS22" s="351"/>
      <c r="AT22" s="351"/>
      <c r="AU22" s="351"/>
      <c r="AV22" s="351"/>
      <c r="AW22" s="351"/>
      <c r="AX22" s="351"/>
      <c r="AY22" s="9"/>
    </row>
    <row r="23" spans="2:51" ht="11.45" customHeight="1" x14ac:dyDescent="0.2">
      <c r="B23" s="7"/>
      <c r="C23" s="360" t="s">
        <v>4107</v>
      </c>
      <c r="D23" s="360"/>
      <c r="E23" s="360"/>
      <c r="F23" s="360"/>
      <c r="G23" s="360"/>
      <c r="H23" s="329" t="str">
        <f>LISTAS!AP5</f>
        <v>PCI. PAT.</v>
      </c>
      <c r="I23" s="330"/>
      <c r="J23" s="330"/>
      <c r="K23" s="330"/>
      <c r="L23" s="330"/>
      <c r="M23" s="330"/>
      <c r="N23" s="330"/>
      <c r="O23" s="329" t="str">
        <f>LISTAS!AQ5</f>
        <v>PCI.</v>
      </c>
      <c r="P23" s="330"/>
      <c r="Q23" s="330"/>
      <c r="R23" s="330"/>
      <c r="S23" s="330"/>
      <c r="T23" s="330"/>
      <c r="U23" s="330"/>
      <c r="V23" s="329" t="str">
        <f>LISTAS!AR5</f>
        <v>PCI.</v>
      </c>
      <c r="W23" s="330"/>
      <c r="X23" s="330"/>
      <c r="Y23" s="330"/>
      <c r="Z23" s="330"/>
      <c r="AA23" s="330"/>
      <c r="AB23" s="330"/>
      <c r="AC23" s="329" t="str">
        <f>LISTAS!AS5</f>
        <v>PCI. PAT.</v>
      </c>
      <c r="AD23" s="330"/>
      <c r="AE23" s="330"/>
      <c r="AF23" s="330"/>
      <c r="AG23" s="330"/>
      <c r="AH23" s="330"/>
      <c r="AI23" s="330"/>
      <c r="AJ23" s="344"/>
      <c r="AK23" s="345"/>
      <c r="AL23" s="345"/>
      <c r="AM23" s="345"/>
      <c r="AN23" s="345"/>
      <c r="AO23" s="346"/>
      <c r="AP23" s="329" t="s">
        <v>3721</v>
      </c>
      <c r="AQ23" s="329"/>
      <c r="AR23" s="329"/>
      <c r="AS23" s="329"/>
      <c r="AT23" s="329"/>
      <c r="AU23" s="329"/>
      <c r="AV23" s="329"/>
      <c r="AW23" s="329"/>
      <c r="AX23" s="329"/>
      <c r="AY23" s="9"/>
    </row>
    <row r="24" spans="2:51" ht="11.45" customHeight="1" x14ac:dyDescent="0.2">
      <c r="B24" s="7"/>
      <c r="C24" s="361"/>
      <c r="D24" s="361"/>
      <c r="E24" s="361"/>
      <c r="F24" s="361"/>
      <c r="G24" s="361"/>
      <c r="H24" s="331"/>
      <c r="I24" s="332"/>
      <c r="J24" s="332"/>
      <c r="K24" s="332"/>
      <c r="L24" s="332"/>
      <c r="M24" s="332"/>
      <c r="N24" s="332"/>
      <c r="O24" s="331"/>
      <c r="P24" s="332"/>
      <c r="Q24" s="332"/>
      <c r="R24" s="332"/>
      <c r="S24" s="332"/>
      <c r="T24" s="332"/>
      <c r="U24" s="332"/>
      <c r="V24" s="331"/>
      <c r="W24" s="332"/>
      <c r="X24" s="332"/>
      <c r="Y24" s="332"/>
      <c r="Z24" s="332"/>
      <c r="AA24" s="332"/>
      <c r="AB24" s="332"/>
      <c r="AC24" s="331"/>
      <c r="AD24" s="332"/>
      <c r="AE24" s="332"/>
      <c r="AF24" s="332"/>
      <c r="AG24" s="332"/>
      <c r="AH24" s="332"/>
      <c r="AI24" s="332"/>
      <c r="AJ24" s="344"/>
      <c r="AK24" s="345"/>
      <c r="AL24" s="345"/>
      <c r="AM24" s="345"/>
      <c r="AN24" s="345"/>
      <c r="AO24" s="346"/>
      <c r="AP24" s="331"/>
      <c r="AQ24" s="331"/>
      <c r="AR24" s="331"/>
      <c r="AS24" s="331"/>
      <c r="AT24" s="331"/>
      <c r="AU24" s="331"/>
      <c r="AV24" s="331"/>
      <c r="AW24" s="331"/>
      <c r="AX24" s="331"/>
      <c r="AY24" s="9"/>
    </row>
    <row r="25" spans="2:51" ht="11.45" customHeight="1" x14ac:dyDescent="0.2">
      <c r="B25" s="7"/>
      <c r="C25" s="361"/>
      <c r="D25" s="361"/>
      <c r="E25" s="361"/>
      <c r="F25" s="361"/>
      <c r="G25" s="361"/>
      <c r="H25" s="331"/>
      <c r="I25" s="332"/>
      <c r="J25" s="332"/>
      <c r="K25" s="332"/>
      <c r="L25" s="332"/>
      <c r="M25" s="332"/>
      <c r="N25" s="332"/>
      <c r="O25" s="331"/>
      <c r="P25" s="332"/>
      <c r="Q25" s="332"/>
      <c r="R25" s="332"/>
      <c r="S25" s="332"/>
      <c r="T25" s="332"/>
      <c r="U25" s="332"/>
      <c r="V25" s="331"/>
      <c r="W25" s="332"/>
      <c r="X25" s="332"/>
      <c r="Y25" s="332"/>
      <c r="Z25" s="332"/>
      <c r="AA25" s="332"/>
      <c r="AB25" s="332"/>
      <c r="AC25" s="331"/>
      <c r="AD25" s="332"/>
      <c r="AE25" s="332"/>
      <c r="AF25" s="332"/>
      <c r="AG25" s="332"/>
      <c r="AH25" s="332"/>
      <c r="AI25" s="332"/>
      <c r="AJ25" s="344"/>
      <c r="AK25" s="345"/>
      <c r="AL25" s="345"/>
      <c r="AM25" s="345"/>
      <c r="AN25" s="345"/>
      <c r="AO25" s="346"/>
      <c r="AP25" s="331"/>
      <c r="AQ25" s="331"/>
      <c r="AR25" s="331"/>
      <c r="AS25" s="331"/>
      <c r="AT25" s="331"/>
      <c r="AU25" s="331"/>
      <c r="AV25" s="331"/>
      <c r="AW25" s="331"/>
      <c r="AX25" s="331"/>
      <c r="AY25" s="9"/>
    </row>
    <row r="26" spans="2:51" ht="11.45" customHeight="1" x14ac:dyDescent="0.2">
      <c r="B26" s="7"/>
      <c r="C26" s="362"/>
      <c r="D26" s="362"/>
      <c r="E26" s="362"/>
      <c r="F26" s="362"/>
      <c r="G26" s="362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3"/>
      <c r="AC26" s="333"/>
      <c r="AD26" s="333"/>
      <c r="AE26" s="333"/>
      <c r="AF26" s="333"/>
      <c r="AG26" s="333"/>
      <c r="AH26" s="333"/>
      <c r="AI26" s="333"/>
      <c r="AJ26" s="347"/>
      <c r="AK26" s="348"/>
      <c r="AL26" s="348"/>
      <c r="AM26" s="348"/>
      <c r="AN26" s="348"/>
      <c r="AO26" s="349"/>
      <c r="AP26" s="352"/>
      <c r="AQ26" s="352"/>
      <c r="AR26" s="352"/>
      <c r="AS26" s="352"/>
      <c r="AT26" s="352"/>
      <c r="AU26" s="352"/>
      <c r="AV26" s="352"/>
      <c r="AW26" s="352"/>
      <c r="AX26" s="352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55"/>
      <c r="D28" s="56"/>
      <c r="E28" s="56"/>
      <c r="F28" s="56"/>
      <c r="G28" s="56"/>
      <c r="H28" s="57"/>
      <c r="I28" s="58"/>
      <c r="J28" s="58"/>
      <c r="K28" s="58"/>
      <c r="L28" s="58"/>
      <c r="M28" s="58"/>
      <c r="N28" s="43"/>
      <c r="O28" s="57"/>
      <c r="P28" s="58"/>
      <c r="Q28" s="58"/>
      <c r="R28" s="58"/>
      <c r="S28" s="58"/>
      <c r="T28" s="58"/>
      <c r="U28" s="43"/>
      <c r="V28" s="57"/>
      <c r="W28" s="58"/>
      <c r="X28" s="58"/>
      <c r="Y28" s="58"/>
      <c r="Z28" s="58"/>
      <c r="AA28" s="58"/>
      <c r="AB28" s="43"/>
      <c r="AC28" s="57"/>
      <c r="AD28" s="58"/>
      <c r="AE28" s="58"/>
      <c r="AF28" s="58"/>
      <c r="AG28" s="58"/>
      <c r="AH28" s="58"/>
      <c r="AI28" s="43"/>
      <c r="AJ28" s="59"/>
      <c r="AK28" s="60"/>
      <c r="AL28" s="60"/>
      <c r="AM28" s="60"/>
      <c r="AN28" s="60"/>
      <c r="AO28" s="61"/>
      <c r="AP28" s="62"/>
      <c r="AQ28" s="63"/>
      <c r="AR28" s="63"/>
      <c r="AS28" s="63"/>
      <c r="AT28" s="63"/>
      <c r="AU28" s="63"/>
      <c r="AV28" s="63"/>
      <c r="AW28" s="63"/>
      <c r="AX28" s="63"/>
      <c r="AY28" s="9"/>
    </row>
    <row r="29" spans="2:51" ht="11.45" customHeight="1" x14ac:dyDescent="0.2">
      <c r="B29" s="7"/>
      <c r="C29" s="56"/>
      <c r="D29" s="56"/>
      <c r="E29" s="56"/>
      <c r="F29" s="56"/>
      <c r="G29" s="56"/>
      <c r="H29" s="64"/>
      <c r="I29" s="58"/>
      <c r="J29" s="58"/>
      <c r="K29" s="58"/>
      <c r="L29" s="58"/>
      <c r="M29" s="58"/>
      <c r="N29" s="43"/>
      <c r="O29" s="64"/>
      <c r="P29" s="58"/>
      <c r="Q29" s="58"/>
      <c r="R29" s="58"/>
      <c r="S29" s="58"/>
      <c r="T29" s="58"/>
      <c r="U29" s="43"/>
      <c r="V29" s="64"/>
      <c r="W29" s="58"/>
      <c r="X29" s="58"/>
      <c r="Y29" s="58"/>
      <c r="Z29" s="58"/>
      <c r="AA29" s="58"/>
      <c r="AB29" s="43"/>
      <c r="AC29" s="64"/>
      <c r="AD29" s="58"/>
      <c r="AE29" s="58"/>
      <c r="AF29" s="58"/>
      <c r="AG29" s="58"/>
      <c r="AH29" s="58"/>
      <c r="AI29" s="43"/>
      <c r="AJ29" s="65"/>
      <c r="AK29" s="66"/>
      <c r="AL29" s="66"/>
      <c r="AM29" s="66"/>
      <c r="AN29" s="66"/>
      <c r="AO29" s="67"/>
      <c r="AP29" s="63"/>
      <c r="AQ29" s="63"/>
      <c r="AR29" s="63"/>
      <c r="AS29" s="63"/>
      <c r="AT29" s="63"/>
      <c r="AU29" s="63"/>
      <c r="AV29" s="63"/>
      <c r="AW29" s="63"/>
      <c r="AX29" s="63"/>
      <c r="AY29" s="9"/>
    </row>
    <row r="30" spans="2:51" ht="11.45" customHeight="1" x14ac:dyDescent="0.2">
      <c r="B30" s="7"/>
      <c r="C30" s="56"/>
      <c r="D30" s="56"/>
      <c r="E30" s="56"/>
      <c r="F30" s="56"/>
      <c r="G30" s="56"/>
      <c r="H30" s="64"/>
      <c r="I30" s="58"/>
      <c r="J30" s="58"/>
      <c r="K30" s="58"/>
      <c r="L30" s="58"/>
      <c r="M30" s="58"/>
      <c r="N30" s="43"/>
      <c r="O30" s="64"/>
      <c r="P30" s="58"/>
      <c r="Q30" s="58"/>
      <c r="R30" s="58"/>
      <c r="S30" s="58"/>
      <c r="T30" s="58"/>
      <c r="U30" s="43"/>
      <c r="V30" s="64"/>
      <c r="W30" s="58"/>
      <c r="X30" s="58"/>
      <c r="Y30" s="58"/>
      <c r="Z30" s="58"/>
      <c r="AA30" s="58"/>
      <c r="AB30" s="43"/>
      <c r="AC30" s="64"/>
      <c r="AD30" s="58"/>
      <c r="AE30" s="58"/>
      <c r="AF30" s="58"/>
      <c r="AG30" s="58"/>
      <c r="AH30" s="58"/>
      <c r="AI30" s="43"/>
      <c r="AJ30" s="65"/>
      <c r="AK30" s="66"/>
      <c r="AL30" s="66"/>
      <c r="AM30" s="66"/>
      <c r="AN30" s="66"/>
      <c r="AO30" s="67"/>
      <c r="AP30" s="63"/>
      <c r="AQ30" s="63"/>
      <c r="AR30" s="63"/>
      <c r="AS30" s="63"/>
      <c r="AT30" s="63"/>
      <c r="AU30" s="63"/>
      <c r="AV30" s="63"/>
      <c r="AW30" s="63"/>
      <c r="AX30" s="63"/>
      <c r="AY30" s="9"/>
    </row>
    <row r="31" spans="2:51" ht="11.45" customHeight="1" x14ac:dyDescent="0.2">
      <c r="B31" s="7"/>
      <c r="C31" s="56"/>
      <c r="D31" s="56"/>
      <c r="E31" s="56"/>
      <c r="F31" s="56"/>
      <c r="G31" s="56"/>
      <c r="H31" s="64"/>
      <c r="I31" s="58"/>
      <c r="J31" s="58"/>
      <c r="K31" s="58"/>
      <c r="L31" s="58"/>
      <c r="M31" s="58"/>
      <c r="N31" s="43"/>
      <c r="O31" s="64"/>
      <c r="P31" s="58"/>
      <c r="Q31" s="58"/>
      <c r="R31" s="58"/>
      <c r="S31" s="58"/>
      <c r="T31" s="58"/>
      <c r="U31" s="43"/>
      <c r="V31" s="64"/>
      <c r="W31" s="58"/>
      <c r="X31" s="58"/>
      <c r="Y31" s="58"/>
      <c r="Z31" s="58"/>
      <c r="AA31" s="58"/>
      <c r="AB31" s="43"/>
      <c r="AC31" s="64"/>
      <c r="AD31" s="58"/>
      <c r="AE31" s="58"/>
      <c r="AF31" s="58"/>
      <c r="AG31" s="58"/>
      <c r="AH31" s="58"/>
      <c r="AI31" s="43"/>
      <c r="AJ31" s="65"/>
      <c r="AK31" s="66"/>
      <c r="AL31" s="66"/>
      <c r="AM31" s="66"/>
      <c r="AN31" s="66"/>
      <c r="AO31" s="67"/>
      <c r="AP31" s="63"/>
      <c r="AQ31" s="63"/>
      <c r="AR31" s="63"/>
      <c r="AS31" s="63"/>
      <c r="AT31" s="63"/>
      <c r="AU31" s="63"/>
      <c r="AV31" s="63"/>
      <c r="AW31" s="63"/>
      <c r="AX31" s="63"/>
      <c r="AY31" s="9"/>
    </row>
    <row r="32" spans="2:51" ht="11.45" customHeight="1" x14ac:dyDescent="0.2">
      <c r="B32" s="7"/>
      <c r="C32" s="56"/>
      <c r="D32" s="56"/>
      <c r="E32" s="56"/>
      <c r="F32" s="56"/>
      <c r="G32" s="56"/>
      <c r="H32" s="64"/>
      <c r="I32" s="58"/>
      <c r="J32" s="58"/>
      <c r="K32" s="58"/>
      <c r="L32" s="58"/>
      <c r="M32" s="58"/>
      <c r="N32" s="43"/>
      <c r="O32" s="64"/>
      <c r="P32" s="58"/>
      <c r="Q32" s="58"/>
      <c r="R32" s="58"/>
      <c r="S32" s="58"/>
      <c r="T32" s="58"/>
      <c r="U32" s="43"/>
      <c r="V32" s="64"/>
      <c r="W32" s="58"/>
      <c r="X32" s="58"/>
      <c r="Y32" s="58"/>
      <c r="Z32" s="58"/>
      <c r="AA32" s="58"/>
      <c r="AB32" s="43"/>
      <c r="AC32" s="64"/>
      <c r="AD32" s="58"/>
      <c r="AE32" s="58"/>
      <c r="AF32" s="58"/>
      <c r="AG32" s="58"/>
      <c r="AH32" s="58"/>
      <c r="AI32" s="43"/>
      <c r="AJ32" s="65"/>
      <c r="AK32" s="66"/>
      <c r="AL32" s="66"/>
      <c r="AM32" s="66"/>
      <c r="AN32" s="66"/>
      <c r="AO32" s="67"/>
      <c r="AP32" s="63"/>
      <c r="AQ32" s="63"/>
      <c r="AR32" s="63"/>
      <c r="AS32" s="63"/>
      <c r="AT32" s="63"/>
      <c r="AU32" s="63"/>
      <c r="AV32" s="63"/>
      <c r="AW32" s="63"/>
      <c r="AX32" s="63"/>
      <c r="AY32" s="9"/>
    </row>
    <row r="33" spans="2:51" ht="11.45" customHeight="1" x14ac:dyDescent="0.2">
      <c r="B33" s="7"/>
      <c r="C33" s="56"/>
      <c r="D33" s="56"/>
      <c r="E33" s="56"/>
      <c r="F33" s="56"/>
      <c r="G33" s="56"/>
      <c r="H33" s="64"/>
      <c r="I33" s="58"/>
      <c r="J33" s="58"/>
      <c r="K33" s="58"/>
      <c r="L33" s="58"/>
      <c r="M33" s="58"/>
      <c r="N33" s="43"/>
      <c r="O33" s="64"/>
      <c r="P33" s="58"/>
      <c r="Q33" s="58"/>
      <c r="R33" s="58"/>
      <c r="S33" s="58"/>
      <c r="T33" s="58"/>
      <c r="U33" s="43"/>
      <c r="V33" s="64"/>
      <c r="W33" s="58"/>
      <c r="X33" s="58"/>
      <c r="Y33" s="58"/>
      <c r="Z33" s="58"/>
      <c r="AA33" s="58"/>
      <c r="AB33" s="43"/>
      <c r="AC33" s="64"/>
      <c r="AD33" s="58"/>
      <c r="AE33" s="58"/>
      <c r="AF33" s="58"/>
      <c r="AG33" s="58"/>
      <c r="AH33" s="58"/>
      <c r="AI33" s="43"/>
      <c r="AJ33" s="65"/>
      <c r="AK33" s="66"/>
      <c r="AL33" s="66"/>
      <c r="AM33" s="66"/>
      <c r="AN33" s="66"/>
      <c r="AO33" s="67"/>
      <c r="AP33" s="63"/>
      <c r="AQ33" s="63"/>
      <c r="AR33" s="63"/>
      <c r="AS33" s="63"/>
      <c r="AT33" s="63"/>
      <c r="AU33" s="63"/>
      <c r="AV33" s="63"/>
      <c r="AW33" s="63"/>
      <c r="AX33" s="63"/>
      <c r="AY33" s="9"/>
    </row>
    <row r="34" spans="2:51" ht="11.45" customHeight="1" x14ac:dyDescent="0.2">
      <c r="B34" s="7"/>
      <c r="C34" s="56"/>
      <c r="D34" s="56"/>
      <c r="E34" s="56"/>
      <c r="F34" s="56"/>
      <c r="G34" s="56"/>
      <c r="H34" s="64"/>
      <c r="I34" s="58"/>
      <c r="J34" s="58"/>
      <c r="K34" s="58"/>
      <c r="L34" s="58"/>
      <c r="M34" s="58"/>
      <c r="N34" s="43"/>
      <c r="O34" s="64"/>
      <c r="P34" s="58"/>
      <c r="Q34" s="58"/>
      <c r="R34" s="58"/>
      <c r="S34" s="58"/>
      <c r="T34" s="58"/>
      <c r="U34" s="43"/>
      <c r="V34" s="64"/>
      <c r="W34" s="58"/>
      <c r="X34" s="58"/>
      <c r="Y34" s="58"/>
      <c r="Z34" s="58"/>
      <c r="AA34" s="58"/>
      <c r="AB34" s="43"/>
      <c r="AC34" s="64"/>
      <c r="AD34" s="58"/>
      <c r="AE34" s="58"/>
      <c r="AF34" s="58"/>
      <c r="AG34" s="58"/>
      <c r="AH34" s="58"/>
      <c r="AI34" s="43"/>
      <c r="AJ34" s="65"/>
      <c r="AK34" s="66"/>
      <c r="AL34" s="66"/>
      <c r="AM34" s="66"/>
      <c r="AN34" s="66"/>
      <c r="AO34" s="67"/>
      <c r="AP34" s="63"/>
      <c r="AQ34" s="63"/>
      <c r="AR34" s="63"/>
      <c r="AS34" s="63"/>
      <c r="AT34" s="63"/>
      <c r="AU34" s="63"/>
      <c r="AV34" s="63"/>
      <c r="AW34" s="63"/>
      <c r="AX34" s="63"/>
      <c r="AY34" s="9"/>
    </row>
    <row r="35" spans="2:51" ht="25.5" customHeight="1" x14ac:dyDescent="0.2">
      <c r="B35" s="7"/>
      <c r="C35" s="56"/>
      <c r="D35" s="56"/>
      <c r="E35" s="56"/>
      <c r="F35" s="56"/>
      <c r="G35" s="56"/>
      <c r="H35" s="64"/>
      <c r="I35" s="58"/>
      <c r="J35" s="58"/>
      <c r="K35" s="58"/>
      <c r="L35" s="58"/>
      <c r="M35" s="58"/>
      <c r="N35" s="43"/>
      <c r="O35" s="64"/>
      <c r="P35" s="58"/>
      <c r="Q35" s="58"/>
      <c r="R35" s="58"/>
      <c r="S35" s="58"/>
      <c r="T35" s="58"/>
      <c r="U35" s="43"/>
      <c r="V35" s="64"/>
      <c r="W35" s="58"/>
      <c r="X35" s="58"/>
      <c r="Y35" s="58"/>
      <c r="Z35" s="58"/>
      <c r="AA35" s="58"/>
      <c r="AB35" s="43"/>
      <c r="AC35" s="64"/>
      <c r="AD35" s="58"/>
      <c r="AE35" s="58"/>
      <c r="AF35" s="58"/>
      <c r="AG35" s="58"/>
      <c r="AH35" s="58"/>
      <c r="AI35" s="43"/>
      <c r="AJ35" s="65"/>
      <c r="AK35" s="66"/>
      <c r="AL35" s="66"/>
      <c r="AM35" s="66"/>
      <c r="AN35" s="66"/>
      <c r="AO35" s="67"/>
      <c r="AP35" s="63"/>
      <c r="AQ35" s="63"/>
      <c r="AR35" s="63"/>
      <c r="AS35" s="63"/>
      <c r="AT35" s="63"/>
      <c r="AU35" s="63"/>
      <c r="AV35" s="63"/>
      <c r="AW35" s="63"/>
      <c r="AX35" s="63"/>
      <c r="AY35" s="9"/>
    </row>
    <row r="36" spans="2:51" ht="6.95" customHeight="1" x14ac:dyDescent="0.2">
      <c r="B36" s="7"/>
      <c r="C36" s="56"/>
      <c r="D36" s="56"/>
      <c r="E36" s="56"/>
      <c r="F36" s="56"/>
      <c r="G36" s="56"/>
      <c r="H36" s="68"/>
      <c r="I36" s="69"/>
      <c r="J36" s="69"/>
      <c r="K36" s="69"/>
      <c r="L36" s="69"/>
      <c r="M36" s="69"/>
      <c r="N36" s="44"/>
      <c r="O36" s="68"/>
      <c r="P36" s="69"/>
      <c r="Q36" s="69"/>
      <c r="R36" s="69"/>
      <c r="S36" s="69"/>
      <c r="T36" s="69"/>
      <c r="U36" s="44"/>
      <c r="V36" s="68"/>
      <c r="W36" s="69"/>
      <c r="X36" s="69"/>
      <c r="Y36" s="69"/>
      <c r="Z36" s="69"/>
      <c r="AA36" s="69"/>
      <c r="AB36" s="44"/>
      <c r="AC36" s="68"/>
      <c r="AD36" s="69"/>
      <c r="AE36" s="69"/>
      <c r="AF36" s="69"/>
      <c r="AG36" s="69"/>
      <c r="AH36" s="69"/>
      <c r="AI36" s="44"/>
      <c r="AJ36" s="65"/>
      <c r="AK36" s="66"/>
      <c r="AL36" s="66"/>
      <c r="AM36" s="66"/>
      <c r="AN36" s="66"/>
      <c r="AO36" s="67"/>
      <c r="AP36" s="63"/>
      <c r="AQ36" s="63"/>
      <c r="AR36" s="63"/>
      <c r="AS36" s="63"/>
      <c r="AT36" s="63"/>
      <c r="AU36" s="63"/>
      <c r="AV36" s="63"/>
      <c r="AW36" s="63"/>
      <c r="AX36" s="63"/>
      <c r="AY36" s="9"/>
    </row>
    <row r="37" spans="2:51" ht="6.95" customHeight="1" x14ac:dyDescent="0.2">
      <c r="B37" s="7"/>
      <c r="C37" s="56"/>
      <c r="D37" s="56"/>
      <c r="E37" s="56"/>
      <c r="F37" s="56"/>
      <c r="G37" s="56"/>
      <c r="H37" s="70"/>
      <c r="I37" s="69"/>
      <c r="J37" s="69"/>
      <c r="K37" s="69"/>
      <c r="L37" s="69"/>
      <c r="M37" s="69"/>
      <c r="N37" s="44"/>
      <c r="O37" s="70"/>
      <c r="P37" s="69"/>
      <c r="Q37" s="69"/>
      <c r="R37" s="69"/>
      <c r="S37" s="69"/>
      <c r="T37" s="69"/>
      <c r="U37" s="44"/>
      <c r="V37" s="70"/>
      <c r="W37" s="69"/>
      <c r="X37" s="69"/>
      <c r="Y37" s="69"/>
      <c r="Z37" s="69"/>
      <c r="AA37" s="69"/>
      <c r="AB37" s="44"/>
      <c r="AC37" s="70"/>
      <c r="AD37" s="69"/>
      <c r="AE37" s="69"/>
      <c r="AF37" s="69"/>
      <c r="AG37" s="69"/>
      <c r="AH37" s="69"/>
      <c r="AI37" s="44"/>
      <c r="AJ37" s="65"/>
      <c r="AK37" s="66"/>
      <c r="AL37" s="66"/>
      <c r="AM37" s="66"/>
      <c r="AN37" s="66"/>
      <c r="AO37" s="67"/>
      <c r="AP37" s="63"/>
      <c r="AQ37" s="63"/>
      <c r="AR37" s="63"/>
      <c r="AS37" s="63"/>
      <c r="AT37" s="63"/>
      <c r="AU37" s="63"/>
      <c r="AV37" s="63"/>
      <c r="AW37" s="63"/>
      <c r="AX37" s="63"/>
      <c r="AY37" s="9"/>
    </row>
    <row r="38" spans="2:51" ht="11.45" customHeight="1" x14ac:dyDescent="0.2">
      <c r="B38" s="7"/>
      <c r="C38" s="71"/>
      <c r="D38" s="71"/>
      <c r="E38" s="71"/>
      <c r="F38" s="71"/>
      <c r="G38" s="71"/>
      <c r="H38" s="72"/>
      <c r="I38" s="73"/>
      <c r="J38" s="73"/>
      <c r="K38" s="73"/>
      <c r="L38" s="73"/>
      <c r="M38" s="73"/>
      <c r="N38" s="73"/>
      <c r="O38" s="72"/>
      <c r="P38" s="73"/>
      <c r="Q38" s="73"/>
      <c r="R38" s="73"/>
      <c r="S38" s="73"/>
      <c r="T38" s="73"/>
      <c r="U38" s="73"/>
      <c r="V38" s="72"/>
      <c r="W38" s="73"/>
      <c r="X38" s="73"/>
      <c r="Y38" s="73"/>
      <c r="Z38" s="73"/>
      <c r="AA38" s="73"/>
      <c r="AB38" s="73"/>
      <c r="AC38" s="72"/>
      <c r="AD38" s="73"/>
      <c r="AE38" s="73"/>
      <c r="AF38" s="73"/>
      <c r="AG38" s="73"/>
      <c r="AH38" s="73"/>
      <c r="AI38" s="73"/>
      <c r="AJ38" s="74"/>
      <c r="AK38" s="75"/>
      <c r="AL38" s="75"/>
      <c r="AM38" s="75"/>
      <c r="AN38" s="75"/>
      <c r="AO38" s="76"/>
      <c r="AP38" s="72"/>
      <c r="AQ38" s="72"/>
      <c r="AR38" s="72"/>
      <c r="AS38" s="72"/>
      <c r="AT38" s="72"/>
      <c r="AU38" s="72"/>
      <c r="AV38" s="72"/>
      <c r="AW38" s="72"/>
      <c r="AX38" s="72"/>
      <c r="AY38" s="9"/>
    </row>
    <row r="39" spans="2:51" ht="11.45" customHeight="1" x14ac:dyDescent="0.2">
      <c r="B39" s="7"/>
      <c r="C39" s="77"/>
      <c r="D39" s="77"/>
      <c r="E39" s="77"/>
      <c r="F39" s="77"/>
      <c r="G39" s="77"/>
      <c r="H39" s="78"/>
      <c r="I39" s="79"/>
      <c r="J39" s="79"/>
      <c r="K39" s="79"/>
      <c r="L39" s="79"/>
      <c r="M39" s="79"/>
      <c r="N39" s="79"/>
      <c r="O39" s="78"/>
      <c r="P39" s="79"/>
      <c r="Q39" s="79"/>
      <c r="R39" s="79"/>
      <c r="S39" s="79"/>
      <c r="T39" s="79"/>
      <c r="U39" s="79"/>
      <c r="V39" s="78"/>
      <c r="W39" s="79"/>
      <c r="X39" s="79"/>
      <c r="Y39" s="79"/>
      <c r="Z39" s="79"/>
      <c r="AA39" s="79"/>
      <c r="AB39" s="79"/>
      <c r="AC39" s="78"/>
      <c r="AD39" s="79"/>
      <c r="AE39" s="79"/>
      <c r="AF39" s="79"/>
      <c r="AG39" s="79"/>
      <c r="AH39" s="79"/>
      <c r="AI39" s="79"/>
      <c r="AJ39" s="74"/>
      <c r="AK39" s="75"/>
      <c r="AL39" s="75"/>
      <c r="AM39" s="75"/>
      <c r="AN39" s="75"/>
      <c r="AO39" s="76"/>
      <c r="AP39" s="78"/>
      <c r="AQ39" s="78"/>
      <c r="AR39" s="78"/>
      <c r="AS39" s="78"/>
      <c r="AT39" s="78"/>
      <c r="AU39" s="78"/>
      <c r="AV39" s="78"/>
      <c r="AW39" s="78"/>
      <c r="AX39" s="78"/>
      <c r="AY39" s="9"/>
    </row>
    <row r="40" spans="2:51" ht="11.45" customHeight="1" x14ac:dyDescent="0.2">
      <c r="B40" s="7"/>
      <c r="C40" s="77"/>
      <c r="D40" s="77"/>
      <c r="E40" s="77"/>
      <c r="F40" s="77"/>
      <c r="G40" s="77"/>
      <c r="H40" s="78"/>
      <c r="I40" s="79"/>
      <c r="J40" s="79"/>
      <c r="K40" s="79"/>
      <c r="L40" s="79"/>
      <c r="M40" s="79"/>
      <c r="N40" s="79"/>
      <c r="O40" s="78"/>
      <c r="P40" s="79"/>
      <c r="Q40" s="79"/>
      <c r="R40" s="79"/>
      <c r="S40" s="79"/>
      <c r="T40" s="79"/>
      <c r="U40" s="79"/>
      <c r="V40" s="78"/>
      <c r="W40" s="79"/>
      <c r="X40" s="79"/>
      <c r="Y40" s="79"/>
      <c r="Z40" s="79"/>
      <c r="AA40" s="79"/>
      <c r="AB40" s="79"/>
      <c r="AC40" s="78"/>
      <c r="AD40" s="79"/>
      <c r="AE40" s="79"/>
      <c r="AF40" s="79"/>
      <c r="AG40" s="79"/>
      <c r="AH40" s="79"/>
      <c r="AI40" s="79"/>
      <c r="AJ40" s="74"/>
      <c r="AK40" s="75"/>
      <c r="AL40" s="75"/>
      <c r="AM40" s="75"/>
      <c r="AN40" s="75"/>
      <c r="AO40" s="76"/>
      <c r="AP40" s="78"/>
      <c r="AQ40" s="78"/>
      <c r="AR40" s="78"/>
      <c r="AS40" s="78"/>
      <c r="AT40" s="78"/>
      <c r="AU40" s="78"/>
      <c r="AV40" s="78"/>
      <c r="AW40" s="78"/>
      <c r="AX40" s="78"/>
      <c r="AY40" s="9"/>
    </row>
    <row r="41" spans="2:51" ht="11.45" customHeight="1" x14ac:dyDescent="0.2">
      <c r="B41" s="7"/>
      <c r="C41" s="80"/>
      <c r="D41" s="80"/>
      <c r="E41" s="80"/>
      <c r="F41" s="80"/>
      <c r="G41" s="80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2"/>
      <c r="AK41" s="83"/>
      <c r="AL41" s="83"/>
      <c r="AM41" s="83"/>
      <c r="AN41" s="83"/>
      <c r="AO41" s="84"/>
      <c r="AP41" s="85"/>
      <c r="AQ41" s="85"/>
      <c r="AR41" s="85"/>
      <c r="AS41" s="85"/>
      <c r="AT41" s="85"/>
      <c r="AU41" s="85"/>
      <c r="AV41" s="85"/>
      <c r="AW41" s="85"/>
      <c r="AX41" s="85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0.5" customHeight="1" x14ac:dyDescent="0.2">
      <c r="B43" s="7"/>
      <c r="C43" s="8"/>
      <c r="D43" s="358" t="str">
        <f>REPT(CHAR(73),42*(COUNTIF(H21:AI22,"*")))</f>
        <v/>
      </c>
      <c r="E43" s="359"/>
      <c r="F43" s="359"/>
      <c r="G43" s="359"/>
      <c r="H43" s="359"/>
      <c r="I43" s="359"/>
      <c r="J43" s="359"/>
      <c r="K43" s="359"/>
      <c r="L43" s="359"/>
      <c r="M43" s="359"/>
      <c r="N43" s="359"/>
      <c r="O43" s="359"/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59"/>
      <c r="AC43" s="359"/>
      <c r="AD43" s="155" t="str">
        <f>IF(COUNTIF(H21:AI22,"*")=4,"a","")</f>
        <v/>
      </c>
      <c r="AE43" s="155"/>
      <c r="AF43" s="8"/>
      <c r="AG43" s="370" t="str">
        <f>IF(LISTAS!D51=TRUE,"Anterior","")</f>
        <v/>
      </c>
      <c r="AH43" s="371"/>
      <c r="AI43" s="372"/>
      <c r="AJ43" s="372"/>
      <c r="AK43" s="373"/>
      <c r="AL43" s="8"/>
      <c r="AM43" s="363" t="str">
        <f>"Matriz"</f>
        <v>Matriz</v>
      </c>
      <c r="AN43" s="364"/>
      <c r="AO43" s="365"/>
      <c r="AP43" s="365"/>
      <c r="AQ43" s="366"/>
      <c r="AR43" s="8"/>
      <c r="AS43" s="370" t="str">
        <f>IF(LISTAS!D51=TRUE,"Siguiente","")</f>
        <v/>
      </c>
      <c r="AT43" s="371"/>
      <c r="AU43" s="372"/>
      <c r="AV43" s="372"/>
      <c r="AW43" s="373"/>
      <c r="AX43" s="8"/>
      <c r="AY43" s="9"/>
    </row>
    <row r="44" spans="2:51" ht="10.5" customHeight="1" x14ac:dyDescent="0.2">
      <c r="B44" s="7"/>
      <c r="C44" s="8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59"/>
      <c r="AC44" s="359"/>
      <c r="AD44" s="353"/>
      <c r="AE44" s="353"/>
      <c r="AF44" s="8"/>
      <c r="AG44" s="374"/>
      <c r="AH44" s="375"/>
      <c r="AI44" s="375"/>
      <c r="AJ44" s="375"/>
      <c r="AK44" s="376"/>
      <c r="AL44" s="8"/>
      <c r="AM44" s="367"/>
      <c r="AN44" s="368"/>
      <c r="AO44" s="368"/>
      <c r="AP44" s="368"/>
      <c r="AQ44" s="369"/>
      <c r="AR44" s="8"/>
      <c r="AS44" s="374"/>
      <c r="AT44" s="375"/>
      <c r="AU44" s="375"/>
      <c r="AV44" s="375"/>
      <c r="AW44" s="376"/>
      <c r="AX44" s="8"/>
      <c r="AY44" s="9"/>
    </row>
    <row r="45" spans="2:51" ht="3.95" customHeight="1" x14ac:dyDescent="0.2">
      <c r="B45" s="7"/>
      <c r="C45" s="8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39" t="s">
        <v>4176</v>
      </c>
      <c r="D46" s="139"/>
      <c r="E46" s="139" t="s">
        <v>4177</v>
      </c>
      <c r="F46" s="139"/>
      <c r="G46" s="139" t="s">
        <v>4126</v>
      </c>
      <c r="H46" s="139"/>
      <c r="I46" s="139" t="s">
        <v>4178</v>
      </c>
      <c r="J46" s="139"/>
      <c r="K46" s="139" t="s">
        <v>4179</v>
      </c>
      <c r="L46" s="139"/>
      <c r="M46" s="139" t="s">
        <v>4180</v>
      </c>
      <c r="N46" s="139"/>
      <c r="O46" s="139" t="s">
        <v>4181</v>
      </c>
      <c r="P46" s="139"/>
      <c r="Q46" s="139" t="s">
        <v>4182</v>
      </c>
      <c r="R46" s="139"/>
      <c r="S46" s="139" t="s">
        <v>4183</v>
      </c>
      <c r="T46" s="139"/>
      <c r="U46" s="139" t="s">
        <v>4184</v>
      </c>
      <c r="V46" s="139"/>
      <c r="W46" s="139" t="s">
        <v>4185</v>
      </c>
      <c r="X46" s="139"/>
      <c r="Y46" s="139" t="s">
        <v>4186</v>
      </c>
      <c r="Z46" s="139"/>
      <c r="AA46" s="139" t="s">
        <v>1780</v>
      </c>
      <c r="AB46" s="139"/>
      <c r="AC46" s="139" t="s">
        <v>4187</v>
      </c>
      <c r="AD46" s="139"/>
      <c r="AE46" s="139" t="s">
        <v>1781</v>
      </c>
      <c r="AF46" s="139"/>
      <c r="AG46" s="139" t="s">
        <v>4188</v>
      </c>
      <c r="AH46" s="139"/>
      <c r="AI46" s="139" t="s">
        <v>4189</v>
      </c>
      <c r="AJ46" s="139"/>
      <c r="AK46" s="139" t="s">
        <v>4190</v>
      </c>
      <c r="AL46" s="139"/>
      <c r="AM46" s="139" t="s">
        <v>4191</v>
      </c>
      <c r="AN46" s="139"/>
      <c r="AO46" s="139" t="s">
        <v>4192</v>
      </c>
      <c r="AP46" s="139"/>
      <c r="AQ46" s="139" t="s">
        <v>4176</v>
      </c>
      <c r="AR46" s="139"/>
      <c r="AS46" s="139" t="s">
        <v>4177</v>
      </c>
      <c r="AT46" s="139"/>
      <c r="AU46" s="139" t="s">
        <v>4126</v>
      </c>
      <c r="AV46" s="139"/>
      <c r="AW46" s="139" t="s">
        <v>4178</v>
      </c>
      <c r="AX46" s="139"/>
      <c r="AY46" s="9"/>
    </row>
    <row r="47" spans="2:51" ht="12" customHeight="1" x14ac:dyDescent="0.2">
      <c r="B47" s="7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  <c r="AJ47" s="139"/>
      <c r="AK47" s="139"/>
      <c r="AL47" s="139"/>
      <c r="AM47" s="139"/>
      <c r="AN47" s="139"/>
      <c r="AO47" s="139"/>
      <c r="AP47" s="139"/>
      <c r="AQ47" s="139"/>
      <c r="AR47" s="139"/>
      <c r="AS47" s="139"/>
      <c r="AT47" s="139"/>
      <c r="AU47" s="139"/>
      <c r="AV47" s="139"/>
      <c r="AW47" s="139"/>
      <c r="AX47" s="139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IF('MOD1'!$AY$49="","",'MOD1'!$AY$49)</f>
        <v>*Equipo de Gestión de la Información - EBR - Ministerio de Educación</v>
      </c>
    </row>
  </sheetData>
  <sheetProtection algorithmName="SHA-512" hashValue="7RCIKeErcf1a1sozlU+WkZ9uKX5Cp5Zc0+eBBUDyJxJPQ+XRzItxmxQkih/N/vJvBx0xaoFhZZ+V0didXmzecg==" saltValue="FNqihhv8s1oP0m15NM1vIQ==" spinCount="100000" sheet="1" objects="1" scenarios="1"/>
  <mergeCells count="55">
    <mergeCell ref="AW46:AX47"/>
    <mergeCell ref="AA46:AB47"/>
    <mergeCell ref="AC46:AD47"/>
    <mergeCell ref="AE46:AF47"/>
    <mergeCell ref="AG46:AH47"/>
    <mergeCell ref="AI46:AJ47"/>
    <mergeCell ref="AK46:AL47"/>
    <mergeCell ref="AM46:AN47"/>
    <mergeCell ref="AO46:AP47"/>
    <mergeCell ref="AQ46:AR47"/>
    <mergeCell ref="AS46:AT47"/>
    <mergeCell ref="AU46:AV47"/>
    <mergeCell ref="Y46:Z47"/>
    <mergeCell ref="C46:D47"/>
    <mergeCell ref="E46:F47"/>
    <mergeCell ref="G46:H47"/>
    <mergeCell ref="I46:J47"/>
    <mergeCell ref="K46:L47"/>
    <mergeCell ref="M46:N47"/>
    <mergeCell ref="O46:P47"/>
    <mergeCell ref="Q46:R47"/>
    <mergeCell ref="S46:T47"/>
    <mergeCell ref="U46:V47"/>
    <mergeCell ref="W46:X47"/>
    <mergeCell ref="AD43:AE44"/>
    <mergeCell ref="D43:AC44"/>
    <mergeCell ref="AG43:AK44"/>
    <mergeCell ref="AM43:AQ44"/>
    <mergeCell ref="AS43:AW44"/>
    <mergeCell ref="AP23:AX26"/>
    <mergeCell ref="AP13:AX22"/>
    <mergeCell ref="H21:N22"/>
    <mergeCell ref="O21:U22"/>
    <mergeCell ref="V21:AB22"/>
    <mergeCell ref="AC21:AI22"/>
    <mergeCell ref="AJ13:AO26"/>
    <mergeCell ref="C23:G26"/>
    <mergeCell ref="H23:N26"/>
    <mergeCell ref="O23:U26"/>
    <mergeCell ref="V23:AB26"/>
    <mergeCell ref="AC23:AI26"/>
    <mergeCell ref="C13:G22"/>
    <mergeCell ref="H13:N20"/>
    <mergeCell ref="O13:U20"/>
    <mergeCell ref="V13:AB20"/>
    <mergeCell ref="AC13:AI20"/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</mergeCells>
  <conditionalFormatting sqref="AG43:AK44">
    <cfRule type="cellIs" dxfId="200" priority="16" operator="equal">
      <formula>""</formula>
    </cfRule>
  </conditionalFormatting>
  <conditionalFormatting sqref="AS43:AW44">
    <cfRule type="cellIs" dxfId="199" priority="15" operator="equal">
      <formula>""</formula>
    </cfRule>
  </conditionalFormatting>
  <conditionalFormatting sqref="C28:AX41">
    <cfRule type="expression" dxfId="198" priority="14">
      <formula>$C$38=""</formula>
    </cfRule>
  </conditionalFormatting>
  <conditionalFormatting sqref="C23:G26 H21:AI22 AP13:AX26">
    <cfRule type="expression" dxfId="197" priority="13">
      <formula>$C$13=""</formula>
    </cfRule>
  </conditionalFormatting>
  <conditionalFormatting sqref="C13:G22">
    <cfRule type="expression" dxfId="196" priority="8">
      <formula>$C$13=""</formula>
    </cfRule>
  </conditionalFormatting>
  <conditionalFormatting sqref="H13:AI20">
    <cfRule type="expression" dxfId="195" priority="7">
      <formula>$C$13=""</formula>
    </cfRule>
  </conditionalFormatting>
  <conditionalFormatting sqref="H23:AI26">
    <cfRule type="expression" dxfId="194" priority="6">
      <formula>$C$13=""</formula>
    </cfRule>
  </conditionalFormatting>
  <conditionalFormatting sqref="AJ13:AO26">
    <cfRule type="expression" dxfId="193" priority="5">
      <formula>$C$13=""</formula>
    </cfRule>
  </conditionalFormatting>
  <conditionalFormatting sqref="AM43:AQ44">
    <cfRule type="cellIs" dxfId="192" priority="4" operator="equal">
      <formula>"PEAI"</formula>
    </cfRule>
  </conditionalFormatting>
  <conditionalFormatting sqref="C46:AX47">
    <cfRule type="expression" dxfId="191" priority="1">
      <formula>IF(CODE(C46)=38,1,0)</formula>
    </cfRule>
    <cfRule type="expression" dxfId="190" priority="2">
      <formula>IF(CODE(C46)=37,1,0)</formula>
    </cfRule>
    <cfRule type="expression" dxfId="189" priority="3">
      <formula>IF(OR(CODE(C46)=143,CODE(C46)=167,CODE(C46)=168,CODE(C46)=254),1,0)</formula>
    </cfRule>
  </conditionalFormatting>
  <dataValidations count="10">
    <dataValidation allowBlank="1" showInputMessage="1" showErrorMessage="1" promptTitle="Ingrese" prompt="Describir principales aspectos que facilitaron que la IIEE llegara a este logro, así como dificultades." sqref="AP13:AX22"/>
    <dataValidation allowBlank="1" showInputMessage="1" showErrorMessage="1" promptTitle="Información" prompt="Actividad ambiental" sqref="C13:G22"/>
    <dataValidation allowBlank="1" showInputMessage="1" showErrorMessage="1" promptTitle="Información" prompt="Indicador de la actividad" sqref="AJ13:AO26"/>
    <dataValidation allowBlank="1" showInputMessage="1" showErrorMessage="1" promptTitle="Información" prompt="Hitos de aplicación" sqref="H13:AI20"/>
    <dataValidation allowBlank="1" showInputMessage="1" showErrorMessage="1" promptTitle="Información" prompt="Medios de verificación" sqref="AP23:AX26 C23:AI26"/>
    <dataValidation type="list" allowBlank="1" showInputMessage="1" showErrorMessage="1" errorTitle="Mensaje de validación" error="Solo se permite datos de la lista desplegable._x000a__x000a_Intente de nuevo." promptTitle="Seleccionar" prompt="SI o NO" sqref="H21:AI22">
      <formula1>"SI, NO"</formula1>
    </dataValidation>
    <dataValidation allowBlank="1" showInputMessage="1" showErrorMessage="1" promptTitle="Mensaje" prompt="Hitos de aplicación del enfoque ambiental" sqref="H11:AE11 H12:M12 O12:T12 V12:AA12 AC12:AH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Indicador" sqref="AJ11:AO1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00FF"/>
    <pageSetUpPr fitToPage="1"/>
  </sheetPr>
  <dimension ref="A1:AY79"/>
  <sheetViews>
    <sheetView showGridLines="0" topLeftCell="A27" zoomScaleNormal="100" zoomScaleSheetLayoutView="100" workbookViewId="0">
      <selection activeCell="AP68" sqref="AP68:AX71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15" t="s">
        <v>3657</v>
      </c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  <c r="W9" s="316"/>
      <c r="X9" s="316"/>
      <c r="Y9" s="316"/>
      <c r="Z9" s="316"/>
      <c r="AA9" s="316"/>
      <c r="AB9" s="316"/>
      <c r="AC9" s="316"/>
      <c r="AD9" s="316"/>
      <c r="AE9" s="316"/>
      <c r="AF9" s="316"/>
      <c r="AG9" s="316"/>
      <c r="AH9" s="316"/>
      <c r="AI9" s="316"/>
      <c r="AJ9" s="316"/>
      <c r="AK9" s="316"/>
      <c r="AL9" s="316"/>
      <c r="AM9" s="316"/>
      <c r="AN9" s="316"/>
      <c r="AO9" s="316"/>
      <c r="AP9" s="316"/>
      <c r="AQ9" s="316"/>
      <c r="AR9" s="316"/>
      <c r="AS9" s="316"/>
      <c r="AT9" s="316"/>
      <c r="AU9" s="316"/>
      <c r="AV9" s="316"/>
      <c r="AW9" s="316"/>
      <c r="AX9" s="316"/>
      <c r="AY9" s="9"/>
    </row>
    <row r="10" spans="1:51" ht="9" customHeight="1" x14ac:dyDescent="0.2">
      <c r="B10" s="7"/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9"/>
    </row>
    <row r="11" spans="1:51" ht="12" customHeight="1" x14ac:dyDescent="0.2">
      <c r="B11" s="7"/>
      <c r="C11" s="319" t="s">
        <v>1793</v>
      </c>
      <c r="D11" s="320"/>
      <c r="E11" s="320"/>
      <c r="F11" s="320"/>
      <c r="G11" s="320"/>
      <c r="H11" s="321" t="s">
        <v>1794</v>
      </c>
      <c r="I11" s="322"/>
      <c r="J11" s="322"/>
      <c r="K11" s="322"/>
      <c r="L11" s="322"/>
      <c r="M11" s="322"/>
      <c r="N11" s="322"/>
      <c r="O11" s="322"/>
      <c r="P11" s="322"/>
      <c r="Q11" s="322"/>
      <c r="R11" s="322"/>
      <c r="S11" s="322"/>
      <c r="T11" s="322"/>
      <c r="U11" s="322"/>
      <c r="V11" s="322"/>
      <c r="W11" s="322"/>
      <c r="X11" s="322"/>
      <c r="Y11" s="322"/>
      <c r="Z11" s="322"/>
      <c r="AA11" s="322"/>
      <c r="AB11" s="322"/>
      <c r="AC11" s="322"/>
      <c r="AD11" s="322"/>
      <c r="AE11" s="322"/>
      <c r="AF11" s="324"/>
      <c r="AG11" s="324"/>
      <c r="AH11" s="324"/>
      <c r="AI11" s="323"/>
      <c r="AJ11" s="319" t="s">
        <v>1800</v>
      </c>
      <c r="AK11" s="320"/>
      <c r="AL11" s="320"/>
      <c r="AM11" s="320"/>
      <c r="AN11" s="320"/>
      <c r="AO11" s="320"/>
      <c r="AP11" s="319" t="s">
        <v>1801</v>
      </c>
      <c r="AQ11" s="320"/>
      <c r="AR11" s="320"/>
      <c r="AS11" s="320"/>
      <c r="AT11" s="320"/>
      <c r="AU11" s="320"/>
      <c r="AV11" s="320"/>
      <c r="AW11" s="320"/>
      <c r="AX11" s="320"/>
      <c r="AY11" s="9"/>
    </row>
    <row r="12" spans="1:51" ht="9.9499999999999993" customHeight="1" x14ac:dyDescent="0.2">
      <c r="B12" s="7"/>
      <c r="C12" s="320"/>
      <c r="D12" s="320"/>
      <c r="E12" s="320"/>
      <c r="F12" s="320"/>
      <c r="G12" s="320"/>
      <c r="H12" s="321" t="s">
        <v>1795</v>
      </c>
      <c r="I12" s="322"/>
      <c r="J12" s="322"/>
      <c r="K12" s="322"/>
      <c r="L12" s="322"/>
      <c r="M12" s="322"/>
      <c r="N12" s="323"/>
      <c r="O12" s="321" t="s">
        <v>1796</v>
      </c>
      <c r="P12" s="322"/>
      <c r="Q12" s="322"/>
      <c r="R12" s="322"/>
      <c r="S12" s="322"/>
      <c r="T12" s="322"/>
      <c r="U12" s="323"/>
      <c r="V12" s="321" t="s">
        <v>1797</v>
      </c>
      <c r="W12" s="322"/>
      <c r="X12" s="322"/>
      <c r="Y12" s="322"/>
      <c r="Z12" s="322"/>
      <c r="AA12" s="322"/>
      <c r="AB12" s="323"/>
      <c r="AC12" s="321" t="s">
        <v>1798</v>
      </c>
      <c r="AD12" s="322"/>
      <c r="AE12" s="322"/>
      <c r="AF12" s="322"/>
      <c r="AG12" s="322"/>
      <c r="AH12" s="322"/>
      <c r="AI12" s="323"/>
      <c r="AJ12" s="320"/>
      <c r="AK12" s="320"/>
      <c r="AL12" s="320"/>
      <c r="AM12" s="320"/>
      <c r="AN12" s="320"/>
      <c r="AO12" s="320"/>
      <c r="AP12" s="320"/>
      <c r="AQ12" s="320"/>
      <c r="AR12" s="320"/>
      <c r="AS12" s="320"/>
      <c r="AT12" s="320"/>
      <c r="AU12" s="320"/>
      <c r="AV12" s="320"/>
      <c r="AW12" s="320"/>
      <c r="AX12" s="320"/>
      <c r="AY12" s="9"/>
    </row>
    <row r="13" spans="1:51" ht="11.45" customHeight="1" x14ac:dyDescent="0.2">
      <c r="B13" s="7"/>
      <c r="C13" s="317" t="str">
        <f>LISTAS!AJ6</f>
        <v xml:space="preserve">5. La I.E. realizó actividades de manejo de residuos sólidos. </v>
      </c>
      <c r="D13" s="318"/>
      <c r="E13" s="318"/>
      <c r="F13" s="318"/>
      <c r="G13" s="318"/>
      <c r="H13" s="334" t="str">
        <f>LISTAS!AK6</f>
        <v>La I.E. cuenta con un Plan de manejo de residuos sólidos, y actividades de las "3R" (Reducir, Reusar y Reciclar) incluidos en el PAT.</v>
      </c>
      <c r="I13" s="335"/>
      <c r="J13" s="335"/>
      <c r="K13" s="335"/>
      <c r="L13" s="335"/>
      <c r="M13" s="335"/>
      <c r="N13" s="336"/>
      <c r="O13" s="334" t="str">
        <f>LISTAS!AL6</f>
        <v>La I.E. implementó actividades pedagógicas  sobre el manejo de residuos sólidos y la aplicación de las “3R”: Reducir, Reusar y Reciclar.</v>
      </c>
      <c r="P13" s="335"/>
      <c r="Q13" s="335"/>
      <c r="R13" s="335"/>
      <c r="S13" s="335"/>
      <c r="T13" s="335"/>
      <c r="U13" s="336"/>
      <c r="V13" s="334" t="str">
        <f>LISTAS!AM6</f>
        <v xml:space="preserve">La I.E. coordinó con el gobierno local u otras instituciones aliadas la recolección y transporte de los residuos para la disposición final de los residuos sólidos de la I.E., y/o el reaprovechamiento y comercialización.  </v>
      </c>
      <c r="W13" s="335"/>
      <c r="X13" s="335"/>
      <c r="Y13" s="335"/>
      <c r="Z13" s="335"/>
      <c r="AA13" s="335"/>
      <c r="AB13" s="336"/>
      <c r="AC13" s="334" t="str">
        <f>LISTAS!AN6</f>
        <v>La I.E. sensibilizó  a las familias de la comunidad educativa y/o comunidad local  sobre el manejo de residuos sólidos y en actividades de las 3R: Reducir, Reusar y Reciclar.</v>
      </c>
      <c r="AD13" s="335"/>
      <c r="AE13" s="335"/>
      <c r="AF13" s="335"/>
      <c r="AG13" s="335"/>
      <c r="AH13" s="335"/>
      <c r="AI13" s="336"/>
      <c r="AJ13" s="338" t="str">
        <f>LISTAS!AO6</f>
        <v>N° de hitos de aplicación del enfoque ambiental puestos en práctica en el manejo de residuos sólidos.</v>
      </c>
      <c r="AK13" s="339"/>
      <c r="AL13" s="339"/>
      <c r="AM13" s="339"/>
      <c r="AN13" s="339"/>
      <c r="AO13" s="340"/>
      <c r="AP13" s="350"/>
      <c r="AQ13" s="351"/>
      <c r="AR13" s="351"/>
      <c r="AS13" s="351"/>
      <c r="AT13" s="351"/>
      <c r="AU13" s="351"/>
      <c r="AV13" s="351"/>
      <c r="AW13" s="351"/>
      <c r="AX13" s="351"/>
      <c r="AY13" s="9"/>
    </row>
    <row r="14" spans="1:51" ht="11.45" customHeight="1" x14ac:dyDescent="0.2">
      <c r="B14" s="7"/>
      <c r="C14" s="318"/>
      <c r="D14" s="318"/>
      <c r="E14" s="318"/>
      <c r="F14" s="318"/>
      <c r="G14" s="318"/>
      <c r="H14" s="337"/>
      <c r="I14" s="335"/>
      <c r="J14" s="335"/>
      <c r="K14" s="335"/>
      <c r="L14" s="335"/>
      <c r="M14" s="335"/>
      <c r="N14" s="336"/>
      <c r="O14" s="337"/>
      <c r="P14" s="335"/>
      <c r="Q14" s="335"/>
      <c r="R14" s="335"/>
      <c r="S14" s="335"/>
      <c r="T14" s="335"/>
      <c r="U14" s="336"/>
      <c r="V14" s="337"/>
      <c r="W14" s="335"/>
      <c r="X14" s="335"/>
      <c r="Y14" s="335"/>
      <c r="Z14" s="335"/>
      <c r="AA14" s="335"/>
      <c r="AB14" s="336"/>
      <c r="AC14" s="337"/>
      <c r="AD14" s="335"/>
      <c r="AE14" s="335"/>
      <c r="AF14" s="335"/>
      <c r="AG14" s="335"/>
      <c r="AH14" s="335"/>
      <c r="AI14" s="336"/>
      <c r="AJ14" s="341"/>
      <c r="AK14" s="342"/>
      <c r="AL14" s="342"/>
      <c r="AM14" s="342"/>
      <c r="AN14" s="342"/>
      <c r="AO14" s="343"/>
      <c r="AP14" s="351"/>
      <c r="AQ14" s="351"/>
      <c r="AR14" s="351"/>
      <c r="AS14" s="351"/>
      <c r="AT14" s="351"/>
      <c r="AU14" s="351"/>
      <c r="AV14" s="351"/>
      <c r="AW14" s="351"/>
      <c r="AX14" s="351"/>
      <c r="AY14" s="9"/>
    </row>
    <row r="15" spans="1:51" ht="11.45" customHeight="1" x14ac:dyDescent="0.2">
      <c r="B15" s="7"/>
      <c r="C15" s="318"/>
      <c r="D15" s="318"/>
      <c r="E15" s="318"/>
      <c r="F15" s="318"/>
      <c r="G15" s="318"/>
      <c r="H15" s="337"/>
      <c r="I15" s="335"/>
      <c r="J15" s="335"/>
      <c r="K15" s="335"/>
      <c r="L15" s="335"/>
      <c r="M15" s="335"/>
      <c r="N15" s="336"/>
      <c r="O15" s="337"/>
      <c r="P15" s="335"/>
      <c r="Q15" s="335"/>
      <c r="R15" s="335"/>
      <c r="S15" s="335"/>
      <c r="T15" s="335"/>
      <c r="U15" s="336"/>
      <c r="V15" s="337"/>
      <c r="W15" s="335"/>
      <c r="X15" s="335"/>
      <c r="Y15" s="335"/>
      <c r="Z15" s="335"/>
      <c r="AA15" s="335"/>
      <c r="AB15" s="336"/>
      <c r="AC15" s="337"/>
      <c r="AD15" s="335"/>
      <c r="AE15" s="335"/>
      <c r="AF15" s="335"/>
      <c r="AG15" s="335"/>
      <c r="AH15" s="335"/>
      <c r="AI15" s="336"/>
      <c r="AJ15" s="341"/>
      <c r="AK15" s="342"/>
      <c r="AL15" s="342"/>
      <c r="AM15" s="342"/>
      <c r="AN15" s="342"/>
      <c r="AO15" s="343"/>
      <c r="AP15" s="351"/>
      <c r="AQ15" s="351"/>
      <c r="AR15" s="351"/>
      <c r="AS15" s="351"/>
      <c r="AT15" s="351"/>
      <c r="AU15" s="351"/>
      <c r="AV15" s="351"/>
      <c r="AW15" s="351"/>
      <c r="AX15" s="351"/>
      <c r="AY15" s="9"/>
    </row>
    <row r="16" spans="1:51" ht="11.45" customHeight="1" x14ac:dyDescent="0.2">
      <c r="B16" s="7"/>
      <c r="C16" s="318"/>
      <c r="D16" s="318"/>
      <c r="E16" s="318"/>
      <c r="F16" s="318"/>
      <c r="G16" s="318"/>
      <c r="H16" s="337"/>
      <c r="I16" s="335"/>
      <c r="J16" s="335"/>
      <c r="K16" s="335"/>
      <c r="L16" s="335"/>
      <c r="M16" s="335"/>
      <c r="N16" s="336"/>
      <c r="O16" s="337"/>
      <c r="P16" s="335"/>
      <c r="Q16" s="335"/>
      <c r="R16" s="335"/>
      <c r="S16" s="335"/>
      <c r="T16" s="335"/>
      <c r="U16" s="336"/>
      <c r="V16" s="337"/>
      <c r="W16" s="335"/>
      <c r="X16" s="335"/>
      <c r="Y16" s="335"/>
      <c r="Z16" s="335"/>
      <c r="AA16" s="335"/>
      <c r="AB16" s="336"/>
      <c r="AC16" s="337"/>
      <c r="AD16" s="335"/>
      <c r="AE16" s="335"/>
      <c r="AF16" s="335"/>
      <c r="AG16" s="335"/>
      <c r="AH16" s="335"/>
      <c r="AI16" s="336"/>
      <c r="AJ16" s="341"/>
      <c r="AK16" s="342"/>
      <c r="AL16" s="342"/>
      <c r="AM16" s="342"/>
      <c r="AN16" s="342"/>
      <c r="AO16" s="343"/>
      <c r="AP16" s="351"/>
      <c r="AQ16" s="351"/>
      <c r="AR16" s="351"/>
      <c r="AS16" s="351"/>
      <c r="AT16" s="351"/>
      <c r="AU16" s="351"/>
      <c r="AV16" s="351"/>
      <c r="AW16" s="351"/>
      <c r="AX16" s="351"/>
      <c r="AY16" s="9"/>
    </row>
    <row r="17" spans="2:51" ht="11.45" customHeight="1" x14ac:dyDescent="0.2">
      <c r="B17" s="7"/>
      <c r="C17" s="318"/>
      <c r="D17" s="318"/>
      <c r="E17" s="318"/>
      <c r="F17" s="318"/>
      <c r="G17" s="318"/>
      <c r="H17" s="337"/>
      <c r="I17" s="335"/>
      <c r="J17" s="335"/>
      <c r="K17" s="335"/>
      <c r="L17" s="335"/>
      <c r="M17" s="335"/>
      <c r="N17" s="336"/>
      <c r="O17" s="337"/>
      <c r="P17" s="335"/>
      <c r="Q17" s="335"/>
      <c r="R17" s="335"/>
      <c r="S17" s="335"/>
      <c r="T17" s="335"/>
      <c r="U17" s="336"/>
      <c r="V17" s="337"/>
      <c r="W17" s="335"/>
      <c r="X17" s="335"/>
      <c r="Y17" s="335"/>
      <c r="Z17" s="335"/>
      <c r="AA17" s="335"/>
      <c r="AB17" s="336"/>
      <c r="AC17" s="337"/>
      <c r="AD17" s="335"/>
      <c r="AE17" s="335"/>
      <c r="AF17" s="335"/>
      <c r="AG17" s="335"/>
      <c r="AH17" s="335"/>
      <c r="AI17" s="336"/>
      <c r="AJ17" s="341"/>
      <c r="AK17" s="342"/>
      <c r="AL17" s="342"/>
      <c r="AM17" s="342"/>
      <c r="AN17" s="342"/>
      <c r="AO17" s="343"/>
      <c r="AP17" s="351"/>
      <c r="AQ17" s="351"/>
      <c r="AR17" s="351"/>
      <c r="AS17" s="351"/>
      <c r="AT17" s="351"/>
      <c r="AU17" s="351"/>
      <c r="AV17" s="351"/>
      <c r="AW17" s="351"/>
      <c r="AX17" s="351"/>
      <c r="AY17" s="9"/>
    </row>
    <row r="18" spans="2:51" ht="11.45" customHeight="1" x14ac:dyDescent="0.2">
      <c r="B18" s="7"/>
      <c r="C18" s="318"/>
      <c r="D18" s="318"/>
      <c r="E18" s="318"/>
      <c r="F18" s="318"/>
      <c r="G18" s="318"/>
      <c r="H18" s="337"/>
      <c r="I18" s="335"/>
      <c r="J18" s="335"/>
      <c r="K18" s="335"/>
      <c r="L18" s="335"/>
      <c r="M18" s="335"/>
      <c r="N18" s="336"/>
      <c r="O18" s="337"/>
      <c r="P18" s="335"/>
      <c r="Q18" s="335"/>
      <c r="R18" s="335"/>
      <c r="S18" s="335"/>
      <c r="T18" s="335"/>
      <c r="U18" s="336"/>
      <c r="V18" s="337"/>
      <c r="W18" s="335"/>
      <c r="X18" s="335"/>
      <c r="Y18" s="335"/>
      <c r="Z18" s="335"/>
      <c r="AA18" s="335"/>
      <c r="AB18" s="336"/>
      <c r="AC18" s="337"/>
      <c r="AD18" s="335"/>
      <c r="AE18" s="335"/>
      <c r="AF18" s="335"/>
      <c r="AG18" s="335"/>
      <c r="AH18" s="335"/>
      <c r="AI18" s="336"/>
      <c r="AJ18" s="341"/>
      <c r="AK18" s="342"/>
      <c r="AL18" s="342"/>
      <c r="AM18" s="342"/>
      <c r="AN18" s="342"/>
      <c r="AO18" s="343"/>
      <c r="AP18" s="351"/>
      <c r="AQ18" s="351"/>
      <c r="AR18" s="351"/>
      <c r="AS18" s="351"/>
      <c r="AT18" s="351"/>
      <c r="AU18" s="351"/>
      <c r="AV18" s="351"/>
      <c r="AW18" s="351"/>
      <c r="AX18" s="351"/>
      <c r="AY18" s="9"/>
    </row>
    <row r="19" spans="2:51" ht="11.45" customHeight="1" x14ac:dyDescent="0.2">
      <c r="B19" s="7"/>
      <c r="C19" s="318"/>
      <c r="D19" s="318"/>
      <c r="E19" s="318"/>
      <c r="F19" s="318"/>
      <c r="G19" s="318"/>
      <c r="H19" s="337"/>
      <c r="I19" s="335"/>
      <c r="J19" s="335"/>
      <c r="K19" s="335"/>
      <c r="L19" s="335"/>
      <c r="M19" s="335"/>
      <c r="N19" s="336"/>
      <c r="O19" s="337"/>
      <c r="P19" s="335"/>
      <c r="Q19" s="335"/>
      <c r="R19" s="335"/>
      <c r="S19" s="335"/>
      <c r="T19" s="335"/>
      <c r="U19" s="336"/>
      <c r="V19" s="337"/>
      <c r="W19" s="335"/>
      <c r="X19" s="335"/>
      <c r="Y19" s="335"/>
      <c r="Z19" s="335"/>
      <c r="AA19" s="335"/>
      <c r="AB19" s="336"/>
      <c r="AC19" s="337"/>
      <c r="AD19" s="335"/>
      <c r="AE19" s="335"/>
      <c r="AF19" s="335"/>
      <c r="AG19" s="335"/>
      <c r="AH19" s="335"/>
      <c r="AI19" s="336"/>
      <c r="AJ19" s="341"/>
      <c r="AK19" s="342"/>
      <c r="AL19" s="342"/>
      <c r="AM19" s="342"/>
      <c r="AN19" s="342"/>
      <c r="AO19" s="343"/>
      <c r="AP19" s="351"/>
      <c r="AQ19" s="351"/>
      <c r="AR19" s="351"/>
      <c r="AS19" s="351"/>
      <c r="AT19" s="351"/>
      <c r="AU19" s="351"/>
      <c r="AV19" s="351"/>
      <c r="AW19" s="351"/>
      <c r="AX19" s="351"/>
      <c r="AY19" s="9"/>
    </row>
    <row r="20" spans="2:51" ht="25.5" customHeight="1" x14ac:dyDescent="0.2">
      <c r="B20" s="7"/>
      <c r="C20" s="318"/>
      <c r="D20" s="318"/>
      <c r="E20" s="318"/>
      <c r="F20" s="318"/>
      <c r="G20" s="318"/>
      <c r="H20" s="337"/>
      <c r="I20" s="335"/>
      <c r="J20" s="335"/>
      <c r="K20" s="335"/>
      <c r="L20" s="335"/>
      <c r="M20" s="335"/>
      <c r="N20" s="336"/>
      <c r="O20" s="337"/>
      <c r="P20" s="335"/>
      <c r="Q20" s="335"/>
      <c r="R20" s="335"/>
      <c r="S20" s="335"/>
      <c r="T20" s="335"/>
      <c r="U20" s="336"/>
      <c r="V20" s="337"/>
      <c r="W20" s="335"/>
      <c r="X20" s="335"/>
      <c r="Y20" s="335"/>
      <c r="Z20" s="335"/>
      <c r="AA20" s="335"/>
      <c r="AB20" s="336"/>
      <c r="AC20" s="337"/>
      <c r="AD20" s="335"/>
      <c r="AE20" s="335"/>
      <c r="AF20" s="335"/>
      <c r="AG20" s="335"/>
      <c r="AH20" s="335"/>
      <c r="AI20" s="336"/>
      <c r="AJ20" s="341"/>
      <c r="AK20" s="342"/>
      <c r="AL20" s="342"/>
      <c r="AM20" s="342"/>
      <c r="AN20" s="342"/>
      <c r="AO20" s="343"/>
      <c r="AP20" s="351"/>
      <c r="AQ20" s="351"/>
      <c r="AR20" s="351"/>
      <c r="AS20" s="351"/>
      <c r="AT20" s="351"/>
      <c r="AU20" s="351"/>
      <c r="AV20" s="351"/>
      <c r="AW20" s="351"/>
      <c r="AX20" s="351"/>
      <c r="AY20" s="9"/>
    </row>
    <row r="21" spans="2:51" ht="6.95" customHeight="1" x14ac:dyDescent="0.2">
      <c r="B21" s="7"/>
      <c r="C21" s="318"/>
      <c r="D21" s="318"/>
      <c r="E21" s="318"/>
      <c r="F21" s="318"/>
      <c r="G21" s="318"/>
      <c r="H21" s="325"/>
      <c r="I21" s="326"/>
      <c r="J21" s="326"/>
      <c r="K21" s="326"/>
      <c r="L21" s="326"/>
      <c r="M21" s="326"/>
      <c r="N21" s="327"/>
      <c r="O21" s="325"/>
      <c r="P21" s="326"/>
      <c r="Q21" s="326"/>
      <c r="R21" s="326"/>
      <c r="S21" s="326"/>
      <c r="T21" s="326"/>
      <c r="U21" s="327"/>
      <c r="V21" s="325"/>
      <c r="W21" s="326"/>
      <c r="X21" s="326"/>
      <c r="Y21" s="326"/>
      <c r="Z21" s="326"/>
      <c r="AA21" s="326"/>
      <c r="AB21" s="327"/>
      <c r="AC21" s="325"/>
      <c r="AD21" s="326"/>
      <c r="AE21" s="326"/>
      <c r="AF21" s="326"/>
      <c r="AG21" s="326"/>
      <c r="AH21" s="326"/>
      <c r="AI21" s="327"/>
      <c r="AJ21" s="341"/>
      <c r="AK21" s="342"/>
      <c r="AL21" s="342"/>
      <c r="AM21" s="342"/>
      <c r="AN21" s="342"/>
      <c r="AO21" s="343"/>
      <c r="AP21" s="351"/>
      <c r="AQ21" s="351"/>
      <c r="AR21" s="351"/>
      <c r="AS21" s="351"/>
      <c r="AT21" s="351"/>
      <c r="AU21" s="351"/>
      <c r="AV21" s="351"/>
      <c r="AW21" s="351"/>
      <c r="AX21" s="351"/>
      <c r="AY21" s="9"/>
    </row>
    <row r="22" spans="2:51" ht="6.95" customHeight="1" x14ac:dyDescent="0.2">
      <c r="B22" s="7"/>
      <c r="C22" s="318"/>
      <c r="D22" s="318"/>
      <c r="E22" s="318"/>
      <c r="F22" s="318"/>
      <c r="G22" s="318"/>
      <c r="H22" s="328"/>
      <c r="I22" s="326"/>
      <c r="J22" s="326"/>
      <c r="K22" s="326"/>
      <c r="L22" s="326"/>
      <c r="M22" s="326"/>
      <c r="N22" s="327"/>
      <c r="O22" s="328"/>
      <c r="P22" s="326"/>
      <c r="Q22" s="326"/>
      <c r="R22" s="326"/>
      <c r="S22" s="326"/>
      <c r="T22" s="326"/>
      <c r="U22" s="327"/>
      <c r="V22" s="328"/>
      <c r="W22" s="326"/>
      <c r="X22" s="326"/>
      <c r="Y22" s="326"/>
      <c r="Z22" s="326"/>
      <c r="AA22" s="326"/>
      <c r="AB22" s="327"/>
      <c r="AC22" s="328"/>
      <c r="AD22" s="326"/>
      <c r="AE22" s="326"/>
      <c r="AF22" s="326"/>
      <c r="AG22" s="326"/>
      <c r="AH22" s="326"/>
      <c r="AI22" s="327"/>
      <c r="AJ22" s="341"/>
      <c r="AK22" s="342"/>
      <c r="AL22" s="342"/>
      <c r="AM22" s="342"/>
      <c r="AN22" s="342"/>
      <c r="AO22" s="343"/>
      <c r="AP22" s="351"/>
      <c r="AQ22" s="351"/>
      <c r="AR22" s="351"/>
      <c r="AS22" s="351"/>
      <c r="AT22" s="351"/>
      <c r="AU22" s="351"/>
      <c r="AV22" s="351"/>
      <c r="AW22" s="351"/>
      <c r="AX22" s="351"/>
      <c r="AY22" s="9"/>
    </row>
    <row r="23" spans="2:51" ht="11.45" customHeight="1" x14ac:dyDescent="0.2">
      <c r="B23" s="7"/>
      <c r="C23" s="360" t="str">
        <f>IF($C$13="","","Medios de verificación")</f>
        <v>Medios de verificación</v>
      </c>
      <c r="D23" s="360"/>
      <c r="E23" s="360"/>
      <c r="F23" s="360"/>
      <c r="G23" s="360"/>
      <c r="H23" s="329" t="str">
        <f>LISTAS!AP6</f>
        <v>Plan de Manejo de Residuos Sólidos. PAT.</v>
      </c>
      <c r="I23" s="330"/>
      <c r="J23" s="330"/>
      <c r="K23" s="330"/>
      <c r="L23" s="330"/>
      <c r="M23" s="330"/>
      <c r="N23" s="330"/>
      <c r="O23" s="329" t="str">
        <f>LISTAS!AQ6</f>
        <v>PCI.</v>
      </c>
      <c r="P23" s="330"/>
      <c r="Q23" s="330"/>
      <c r="R23" s="330"/>
      <c r="S23" s="330"/>
      <c r="T23" s="330"/>
      <c r="U23" s="330"/>
      <c r="V23" s="329" t="str">
        <f>LISTAS!AR6</f>
        <v>Cartas u oficios de coordinación del Gobierno regional u otros aliados. PAT.</v>
      </c>
      <c r="W23" s="330"/>
      <c r="X23" s="330"/>
      <c r="Y23" s="330"/>
      <c r="Z23" s="330"/>
      <c r="AA23" s="330"/>
      <c r="AB23" s="330"/>
      <c r="AC23" s="329" t="str">
        <f>LISTAS!AS6</f>
        <v>PAT. Documentos administrativos: Cartas, Oficios, Memo. Lista de Asistencia.</v>
      </c>
      <c r="AD23" s="330"/>
      <c r="AE23" s="330"/>
      <c r="AF23" s="330"/>
      <c r="AG23" s="330"/>
      <c r="AH23" s="330"/>
      <c r="AI23" s="330"/>
      <c r="AJ23" s="344"/>
      <c r="AK23" s="345"/>
      <c r="AL23" s="345"/>
      <c r="AM23" s="345"/>
      <c r="AN23" s="345"/>
      <c r="AO23" s="346"/>
      <c r="AP23" s="329"/>
      <c r="AQ23" s="329"/>
      <c r="AR23" s="329"/>
      <c r="AS23" s="329"/>
      <c r="AT23" s="329"/>
      <c r="AU23" s="329"/>
      <c r="AV23" s="329"/>
      <c r="AW23" s="329"/>
      <c r="AX23" s="329"/>
      <c r="AY23" s="9"/>
    </row>
    <row r="24" spans="2:51" ht="11.45" customHeight="1" x14ac:dyDescent="0.2">
      <c r="B24" s="7"/>
      <c r="C24" s="361"/>
      <c r="D24" s="361"/>
      <c r="E24" s="361"/>
      <c r="F24" s="361"/>
      <c r="G24" s="361"/>
      <c r="H24" s="331"/>
      <c r="I24" s="332"/>
      <c r="J24" s="332"/>
      <c r="K24" s="332"/>
      <c r="L24" s="332"/>
      <c r="M24" s="332"/>
      <c r="N24" s="332"/>
      <c r="O24" s="331"/>
      <c r="P24" s="332"/>
      <c r="Q24" s="332"/>
      <c r="R24" s="332"/>
      <c r="S24" s="332"/>
      <c r="T24" s="332"/>
      <c r="U24" s="332"/>
      <c r="V24" s="331"/>
      <c r="W24" s="332"/>
      <c r="X24" s="332"/>
      <c r="Y24" s="332"/>
      <c r="Z24" s="332"/>
      <c r="AA24" s="332"/>
      <c r="AB24" s="332"/>
      <c r="AC24" s="331"/>
      <c r="AD24" s="332"/>
      <c r="AE24" s="332"/>
      <c r="AF24" s="332"/>
      <c r="AG24" s="332"/>
      <c r="AH24" s="332"/>
      <c r="AI24" s="332"/>
      <c r="AJ24" s="344"/>
      <c r="AK24" s="345"/>
      <c r="AL24" s="345"/>
      <c r="AM24" s="345"/>
      <c r="AN24" s="345"/>
      <c r="AO24" s="346"/>
      <c r="AP24" s="331"/>
      <c r="AQ24" s="331"/>
      <c r="AR24" s="331"/>
      <c r="AS24" s="331"/>
      <c r="AT24" s="331"/>
      <c r="AU24" s="331"/>
      <c r="AV24" s="331"/>
      <c r="AW24" s="331"/>
      <c r="AX24" s="331"/>
      <c r="AY24" s="9"/>
    </row>
    <row r="25" spans="2:51" ht="11.45" customHeight="1" x14ac:dyDescent="0.2">
      <c r="B25" s="7"/>
      <c r="C25" s="361"/>
      <c r="D25" s="361"/>
      <c r="E25" s="361"/>
      <c r="F25" s="361"/>
      <c r="G25" s="361"/>
      <c r="H25" s="331"/>
      <c r="I25" s="332"/>
      <c r="J25" s="332"/>
      <c r="K25" s="332"/>
      <c r="L25" s="332"/>
      <c r="M25" s="332"/>
      <c r="N25" s="332"/>
      <c r="O25" s="331"/>
      <c r="P25" s="332"/>
      <c r="Q25" s="332"/>
      <c r="R25" s="332"/>
      <c r="S25" s="332"/>
      <c r="T25" s="332"/>
      <c r="U25" s="332"/>
      <c r="V25" s="331"/>
      <c r="W25" s="332"/>
      <c r="X25" s="332"/>
      <c r="Y25" s="332"/>
      <c r="Z25" s="332"/>
      <c r="AA25" s="332"/>
      <c r="AB25" s="332"/>
      <c r="AC25" s="331"/>
      <c r="AD25" s="332"/>
      <c r="AE25" s="332"/>
      <c r="AF25" s="332"/>
      <c r="AG25" s="332"/>
      <c r="AH25" s="332"/>
      <c r="AI25" s="332"/>
      <c r="AJ25" s="344"/>
      <c r="AK25" s="345"/>
      <c r="AL25" s="345"/>
      <c r="AM25" s="345"/>
      <c r="AN25" s="345"/>
      <c r="AO25" s="346"/>
      <c r="AP25" s="331"/>
      <c r="AQ25" s="331"/>
      <c r="AR25" s="331"/>
      <c r="AS25" s="331"/>
      <c r="AT25" s="331"/>
      <c r="AU25" s="331"/>
      <c r="AV25" s="331"/>
      <c r="AW25" s="331"/>
      <c r="AX25" s="331"/>
      <c r="AY25" s="9"/>
    </row>
    <row r="26" spans="2:51" ht="11.45" customHeight="1" x14ac:dyDescent="0.2">
      <c r="B26" s="7"/>
      <c r="C26" s="362"/>
      <c r="D26" s="362"/>
      <c r="E26" s="362"/>
      <c r="F26" s="362"/>
      <c r="G26" s="362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3"/>
      <c r="AC26" s="333"/>
      <c r="AD26" s="333"/>
      <c r="AE26" s="333"/>
      <c r="AF26" s="333"/>
      <c r="AG26" s="333"/>
      <c r="AH26" s="333"/>
      <c r="AI26" s="333"/>
      <c r="AJ26" s="347"/>
      <c r="AK26" s="348"/>
      <c r="AL26" s="348"/>
      <c r="AM26" s="348"/>
      <c r="AN26" s="348"/>
      <c r="AO26" s="349"/>
      <c r="AP26" s="352"/>
      <c r="AQ26" s="352"/>
      <c r="AR26" s="352"/>
      <c r="AS26" s="352"/>
      <c r="AT26" s="352"/>
      <c r="AU26" s="352"/>
      <c r="AV26" s="352"/>
      <c r="AW26" s="352"/>
      <c r="AX26" s="352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317" t="str">
        <f>LISTAS!AJ7</f>
        <v>6. La I.E. practicó el uso ecoeficiente de la energía.</v>
      </c>
      <c r="D28" s="318"/>
      <c r="E28" s="318"/>
      <c r="F28" s="318"/>
      <c r="G28" s="318"/>
      <c r="H28" s="334" t="str">
        <f>LISTAS!AK7</f>
        <v xml:space="preserve">La I.E. ha adoptado medidas de uso ecoeficiente de la energía incluidos en el PAT. </v>
      </c>
      <c r="I28" s="335"/>
      <c r="J28" s="335"/>
      <c r="K28" s="335"/>
      <c r="L28" s="335"/>
      <c r="M28" s="335"/>
      <c r="N28" s="336"/>
      <c r="O28" s="334" t="str">
        <f>LISTAS!AL7</f>
        <v>La I.E. implementó actividades pedagógicas  sobre el consumo responsable de la energía, así como prácticas ecoeficientes asociadas (uso de focos ahorradores, entre otros).</v>
      </c>
      <c r="P28" s="335"/>
      <c r="Q28" s="335"/>
      <c r="R28" s="335"/>
      <c r="S28" s="335"/>
      <c r="T28" s="335"/>
      <c r="U28" s="336"/>
      <c r="V28" s="334" t="str">
        <f>LISTAS!AM7</f>
        <v>La I.E.  implementó actividades pedagógicas sobre la importancia del uso de medios de transporte menos nocivos para el ambiente (por ejemplo, transporte público compartido, bicicletas, caminatas, etc.).</v>
      </c>
      <c r="W28" s="335"/>
      <c r="X28" s="335"/>
      <c r="Y28" s="335"/>
      <c r="Z28" s="335"/>
      <c r="AA28" s="335"/>
      <c r="AB28" s="336"/>
      <c r="AC28" s="334" t="str">
        <f>LISTAS!AN7</f>
        <v>La I.E. sensibilizó a las familias de la comunidad educativa y/o comunidad local para el uso ecoeficiente de la energía.</v>
      </c>
      <c r="AD28" s="335"/>
      <c r="AE28" s="335"/>
      <c r="AF28" s="335"/>
      <c r="AG28" s="335"/>
      <c r="AH28" s="335"/>
      <c r="AI28" s="336"/>
      <c r="AJ28" s="338" t="str">
        <f>LISTAS!AO7</f>
        <v>N° de hitos de aplicación del enfoque ambiental puestos en práctica en el uso ecoeficiente de la energía.</v>
      </c>
      <c r="AK28" s="339"/>
      <c r="AL28" s="339"/>
      <c r="AM28" s="339"/>
      <c r="AN28" s="339"/>
      <c r="AO28" s="340"/>
      <c r="AP28" s="350"/>
      <c r="AQ28" s="351"/>
      <c r="AR28" s="351"/>
      <c r="AS28" s="351"/>
      <c r="AT28" s="351"/>
      <c r="AU28" s="351"/>
      <c r="AV28" s="351"/>
      <c r="AW28" s="351"/>
      <c r="AX28" s="351"/>
      <c r="AY28" s="9"/>
    </row>
    <row r="29" spans="2:51" ht="11.45" customHeight="1" x14ac:dyDescent="0.2">
      <c r="B29" s="7"/>
      <c r="C29" s="318"/>
      <c r="D29" s="318"/>
      <c r="E29" s="318"/>
      <c r="F29" s="318"/>
      <c r="G29" s="318"/>
      <c r="H29" s="337"/>
      <c r="I29" s="335"/>
      <c r="J29" s="335"/>
      <c r="K29" s="335"/>
      <c r="L29" s="335"/>
      <c r="M29" s="335"/>
      <c r="N29" s="336"/>
      <c r="O29" s="337"/>
      <c r="P29" s="335"/>
      <c r="Q29" s="335"/>
      <c r="R29" s="335"/>
      <c r="S29" s="335"/>
      <c r="T29" s="335"/>
      <c r="U29" s="336"/>
      <c r="V29" s="337"/>
      <c r="W29" s="335"/>
      <c r="X29" s="335"/>
      <c r="Y29" s="335"/>
      <c r="Z29" s="335"/>
      <c r="AA29" s="335"/>
      <c r="AB29" s="336"/>
      <c r="AC29" s="337"/>
      <c r="AD29" s="335"/>
      <c r="AE29" s="335"/>
      <c r="AF29" s="335"/>
      <c r="AG29" s="335"/>
      <c r="AH29" s="335"/>
      <c r="AI29" s="336"/>
      <c r="AJ29" s="341"/>
      <c r="AK29" s="342"/>
      <c r="AL29" s="342"/>
      <c r="AM29" s="342"/>
      <c r="AN29" s="342"/>
      <c r="AO29" s="343"/>
      <c r="AP29" s="351"/>
      <c r="AQ29" s="351"/>
      <c r="AR29" s="351"/>
      <c r="AS29" s="351"/>
      <c r="AT29" s="351"/>
      <c r="AU29" s="351"/>
      <c r="AV29" s="351"/>
      <c r="AW29" s="351"/>
      <c r="AX29" s="351"/>
      <c r="AY29" s="9"/>
    </row>
    <row r="30" spans="2:51" ht="11.45" customHeight="1" x14ac:dyDescent="0.2">
      <c r="B30" s="7"/>
      <c r="C30" s="318"/>
      <c r="D30" s="318"/>
      <c r="E30" s="318"/>
      <c r="F30" s="318"/>
      <c r="G30" s="318"/>
      <c r="H30" s="337"/>
      <c r="I30" s="335"/>
      <c r="J30" s="335"/>
      <c r="K30" s="335"/>
      <c r="L30" s="335"/>
      <c r="M30" s="335"/>
      <c r="N30" s="336"/>
      <c r="O30" s="337"/>
      <c r="P30" s="335"/>
      <c r="Q30" s="335"/>
      <c r="R30" s="335"/>
      <c r="S30" s="335"/>
      <c r="T30" s="335"/>
      <c r="U30" s="336"/>
      <c r="V30" s="337"/>
      <c r="W30" s="335"/>
      <c r="X30" s="335"/>
      <c r="Y30" s="335"/>
      <c r="Z30" s="335"/>
      <c r="AA30" s="335"/>
      <c r="AB30" s="336"/>
      <c r="AC30" s="337"/>
      <c r="AD30" s="335"/>
      <c r="AE30" s="335"/>
      <c r="AF30" s="335"/>
      <c r="AG30" s="335"/>
      <c r="AH30" s="335"/>
      <c r="AI30" s="336"/>
      <c r="AJ30" s="341"/>
      <c r="AK30" s="342"/>
      <c r="AL30" s="342"/>
      <c r="AM30" s="342"/>
      <c r="AN30" s="342"/>
      <c r="AO30" s="343"/>
      <c r="AP30" s="351"/>
      <c r="AQ30" s="351"/>
      <c r="AR30" s="351"/>
      <c r="AS30" s="351"/>
      <c r="AT30" s="351"/>
      <c r="AU30" s="351"/>
      <c r="AV30" s="351"/>
      <c r="AW30" s="351"/>
      <c r="AX30" s="351"/>
      <c r="AY30" s="9"/>
    </row>
    <row r="31" spans="2:51" ht="11.45" customHeight="1" x14ac:dyDescent="0.2">
      <c r="B31" s="7"/>
      <c r="C31" s="318"/>
      <c r="D31" s="318"/>
      <c r="E31" s="318"/>
      <c r="F31" s="318"/>
      <c r="G31" s="318"/>
      <c r="H31" s="337"/>
      <c r="I31" s="335"/>
      <c r="J31" s="335"/>
      <c r="K31" s="335"/>
      <c r="L31" s="335"/>
      <c r="M31" s="335"/>
      <c r="N31" s="336"/>
      <c r="O31" s="337"/>
      <c r="P31" s="335"/>
      <c r="Q31" s="335"/>
      <c r="R31" s="335"/>
      <c r="S31" s="335"/>
      <c r="T31" s="335"/>
      <c r="U31" s="336"/>
      <c r="V31" s="337"/>
      <c r="W31" s="335"/>
      <c r="X31" s="335"/>
      <c r="Y31" s="335"/>
      <c r="Z31" s="335"/>
      <c r="AA31" s="335"/>
      <c r="AB31" s="336"/>
      <c r="AC31" s="337"/>
      <c r="AD31" s="335"/>
      <c r="AE31" s="335"/>
      <c r="AF31" s="335"/>
      <c r="AG31" s="335"/>
      <c r="AH31" s="335"/>
      <c r="AI31" s="336"/>
      <c r="AJ31" s="341"/>
      <c r="AK31" s="342"/>
      <c r="AL31" s="342"/>
      <c r="AM31" s="342"/>
      <c r="AN31" s="342"/>
      <c r="AO31" s="343"/>
      <c r="AP31" s="351"/>
      <c r="AQ31" s="351"/>
      <c r="AR31" s="351"/>
      <c r="AS31" s="351"/>
      <c r="AT31" s="351"/>
      <c r="AU31" s="351"/>
      <c r="AV31" s="351"/>
      <c r="AW31" s="351"/>
      <c r="AX31" s="351"/>
      <c r="AY31" s="9"/>
    </row>
    <row r="32" spans="2:51" ht="11.45" customHeight="1" x14ac:dyDescent="0.2">
      <c r="B32" s="7"/>
      <c r="C32" s="318"/>
      <c r="D32" s="318"/>
      <c r="E32" s="318"/>
      <c r="F32" s="318"/>
      <c r="G32" s="318"/>
      <c r="H32" s="337"/>
      <c r="I32" s="335"/>
      <c r="J32" s="335"/>
      <c r="K32" s="335"/>
      <c r="L32" s="335"/>
      <c r="M32" s="335"/>
      <c r="N32" s="336"/>
      <c r="O32" s="337"/>
      <c r="P32" s="335"/>
      <c r="Q32" s="335"/>
      <c r="R32" s="335"/>
      <c r="S32" s="335"/>
      <c r="T32" s="335"/>
      <c r="U32" s="336"/>
      <c r="V32" s="337"/>
      <c r="W32" s="335"/>
      <c r="X32" s="335"/>
      <c r="Y32" s="335"/>
      <c r="Z32" s="335"/>
      <c r="AA32" s="335"/>
      <c r="AB32" s="336"/>
      <c r="AC32" s="337"/>
      <c r="AD32" s="335"/>
      <c r="AE32" s="335"/>
      <c r="AF32" s="335"/>
      <c r="AG32" s="335"/>
      <c r="AH32" s="335"/>
      <c r="AI32" s="336"/>
      <c r="AJ32" s="341"/>
      <c r="AK32" s="342"/>
      <c r="AL32" s="342"/>
      <c r="AM32" s="342"/>
      <c r="AN32" s="342"/>
      <c r="AO32" s="343"/>
      <c r="AP32" s="351"/>
      <c r="AQ32" s="351"/>
      <c r="AR32" s="351"/>
      <c r="AS32" s="351"/>
      <c r="AT32" s="351"/>
      <c r="AU32" s="351"/>
      <c r="AV32" s="351"/>
      <c r="AW32" s="351"/>
      <c r="AX32" s="351"/>
      <c r="AY32" s="9"/>
    </row>
    <row r="33" spans="2:51" ht="11.45" customHeight="1" x14ac:dyDescent="0.2">
      <c r="B33" s="7"/>
      <c r="C33" s="318"/>
      <c r="D33" s="318"/>
      <c r="E33" s="318"/>
      <c r="F33" s="318"/>
      <c r="G33" s="318"/>
      <c r="H33" s="337"/>
      <c r="I33" s="335"/>
      <c r="J33" s="335"/>
      <c r="K33" s="335"/>
      <c r="L33" s="335"/>
      <c r="M33" s="335"/>
      <c r="N33" s="336"/>
      <c r="O33" s="337"/>
      <c r="P33" s="335"/>
      <c r="Q33" s="335"/>
      <c r="R33" s="335"/>
      <c r="S33" s="335"/>
      <c r="T33" s="335"/>
      <c r="U33" s="336"/>
      <c r="V33" s="337"/>
      <c r="W33" s="335"/>
      <c r="X33" s="335"/>
      <c r="Y33" s="335"/>
      <c r="Z33" s="335"/>
      <c r="AA33" s="335"/>
      <c r="AB33" s="336"/>
      <c r="AC33" s="337"/>
      <c r="AD33" s="335"/>
      <c r="AE33" s="335"/>
      <c r="AF33" s="335"/>
      <c r="AG33" s="335"/>
      <c r="AH33" s="335"/>
      <c r="AI33" s="336"/>
      <c r="AJ33" s="341"/>
      <c r="AK33" s="342"/>
      <c r="AL33" s="342"/>
      <c r="AM33" s="342"/>
      <c r="AN33" s="342"/>
      <c r="AO33" s="343"/>
      <c r="AP33" s="351"/>
      <c r="AQ33" s="351"/>
      <c r="AR33" s="351"/>
      <c r="AS33" s="351"/>
      <c r="AT33" s="351"/>
      <c r="AU33" s="351"/>
      <c r="AV33" s="351"/>
      <c r="AW33" s="351"/>
      <c r="AX33" s="351"/>
      <c r="AY33" s="9"/>
    </row>
    <row r="34" spans="2:51" ht="11.45" customHeight="1" x14ac:dyDescent="0.2">
      <c r="B34" s="7"/>
      <c r="C34" s="318"/>
      <c r="D34" s="318"/>
      <c r="E34" s="318"/>
      <c r="F34" s="318"/>
      <c r="G34" s="318"/>
      <c r="H34" s="337"/>
      <c r="I34" s="335"/>
      <c r="J34" s="335"/>
      <c r="K34" s="335"/>
      <c r="L34" s="335"/>
      <c r="M34" s="335"/>
      <c r="N34" s="336"/>
      <c r="O34" s="337"/>
      <c r="P34" s="335"/>
      <c r="Q34" s="335"/>
      <c r="R34" s="335"/>
      <c r="S34" s="335"/>
      <c r="T34" s="335"/>
      <c r="U34" s="336"/>
      <c r="V34" s="337"/>
      <c r="W34" s="335"/>
      <c r="X34" s="335"/>
      <c r="Y34" s="335"/>
      <c r="Z34" s="335"/>
      <c r="AA34" s="335"/>
      <c r="AB34" s="336"/>
      <c r="AC34" s="337"/>
      <c r="AD34" s="335"/>
      <c r="AE34" s="335"/>
      <c r="AF34" s="335"/>
      <c r="AG34" s="335"/>
      <c r="AH34" s="335"/>
      <c r="AI34" s="336"/>
      <c r="AJ34" s="341"/>
      <c r="AK34" s="342"/>
      <c r="AL34" s="342"/>
      <c r="AM34" s="342"/>
      <c r="AN34" s="342"/>
      <c r="AO34" s="343"/>
      <c r="AP34" s="351"/>
      <c r="AQ34" s="351"/>
      <c r="AR34" s="351"/>
      <c r="AS34" s="351"/>
      <c r="AT34" s="351"/>
      <c r="AU34" s="351"/>
      <c r="AV34" s="351"/>
      <c r="AW34" s="351"/>
      <c r="AX34" s="351"/>
      <c r="AY34" s="9"/>
    </row>
    <row r="35" spans="2:51" ht="25.5" customHeight="1" x14ac:dyDescent="0.2">
      <c r="B35" s="7"/>
      <c r="C35" s="318"/>
      <c r="D35" s="318"/>
      <c r="E35" s="318"/>
      <c r="F35" s="318"/>
      <c r="G35" s="318"/>
      <c r="H35" s="337"/>
      <c r="I35" s="335"/>
      <c r="J35" s="335"/>
      <c r="K35" s="335"/>
      <c r="L35" s="335"/>
      <c r="M35" s="335"/>
      <c r="N35" s="336"/>
      <c r="O35" s="337"/>
      <c r="P35" s="335"/>
      <c r="Q35" s="335"/>
      <c r="R35" s="335"/>
      <c r="S35" s="335"/>
      <c r="T35" s="335"/>
      <c r="U35" s="336"/>
      <c r="V35" s="337"/>
      <c r="W35" s="335"/>
      <c r="X35" s="335"/>
      <c r="Y35" s="335"/>
      <c r="Z35" s="335"/>
      <c r="AA35" s="335"/>
      <c r="AB35" s="336"/>
      <c r="AC35" s="337"/>
      <c r="AD35" s="335"/>
      <c r="AE35" s="335"/>
      <c r="AF35" s="335"/>
      <c r="AG35" s="335"/>
      <c r="AH35" s="335"/>
      <c r="AI35" s="336"/>
      <c r="AJ35" s="341"/>
      <c r="AK35" s="342"/>
      <c r="AL35" s="342"/>
      <c r="AM35" s="342"/>
      <c r="AN35" s="342"/>
      <c r="AO35" s="343"/>
      <c r="AP35" s="351"/>
      <c r="AQ35" s="351"/>
      <c r="AR35" s="351"/>
      <c r="AS35" s="351"/>
      <c r="AT35" s="351"/>
      <c r="AU35" s="351"/>
      <c r="AV35" s="351"/>
      <c r="AW35" s="351"/>
      <c r="AX35" s="351"/>
      <c r="AY35" s="9"/>
    </row>
    <row r="36" spans="2:51" ht="6.95" customHeight="1" x14ac:dyDescent="0.2">
      <c r="B36" s="7"/>
      <c r="C36" s="318"/>
      <c r="D36" s="318"/>
      <c r="E36" s="318"/>
      <c r="F36" s="318"/>
      <c r="G36" s="318"/>
      <c r="H36" s="325"/>
      <c r="I36" s="326"/>
      <c r="J36" s="326"/>
      <c r="K36" s="326"/>
      <c r="L36" s="326"/>
      <c r="M36" s="326"/>
      <c r="N36" s="327"/>
      <c r="O36" s="325"/>
      <c r="P36" s="326"/>
      <c r="Q36" s="326"/>
      <c r="R36" s="326"/>
      <c r="S36" s="326"/>
      <c r="T36" s="326"/>
      <c r="U36" s="327"/>
      <c r="V36" s="325"/>
      <c r="W36" s="326"/>
      <c r="X36" s="326"/>
      <c r="Y36" s="326"/>
      <c r="Z36" s="326"/>
      <c r="AA36" s="326"/>
      <c r="AB36" s="327"/>
      <c r="AC36" s="325"/>
      <c r="AD36" s="326"/>
      <c r="AE36" s="326"/>
      <c r="AF36" s="326"/>
      <c r="AG36" s="326"/>
      <c r="AH36" s="326"/>
      <c r="AI36" s="327"/>
      <c r="AJ36" s="341"/>
      <c r="AK36" s="342"/>
      <c r="AL36" s="342"/>
      <c r="AM36" s="342"/>
      <c r="AN36" s="342"/>
      <c r="AO36" s="343"/>
      <c r="AP36" s="351"/>
      <c r="AQ36" s="351"/>
      <c r="AR36" s="351"/>
      <c r="AS36" s="351"/>
      <c r="AT36" s="351"/>
      <c r="AU36" s="351"/>
      <c r="AV36" s="351"/>
      <c r="AW36" s="351"/>
      <c r="AX36" s="351"/>
      <c r="AY36" s="9"/>
    </row>
    <row r="37" spans="2:51" ht="6.95" customHeight="1" x14ac:dyDescent="0.2">
      <c r="B37" s="7"/>
      <c r="C37" s="318"/>
      <c r="D37" s="318"/>
      <c r="E37" s="318"/>
      <c r="F37" s="318"/>
      <c r="G37" s="318"/>
      <c r="H37" s="328"/>
      <c r="I37" s="326"/>
      <c r="J37" s="326"/>
      <c r="K37" s="326"/>
      <c r="L37" s="326"/>
      <c r="M37" s="326"/>
      <c r="N37" s="327"/>
      <c r="O37" s="328"/>
      <c r="P37" s="326"/>
      <c r="Q37" s="326"/>
      <c r="R37" s="326"/>
      <c r="S37" s="326"/>
      <c r="T37" s="326"/>
      <c r="U37" s="327"/>
      <c r="V37" s="328"/>
      <c r="W37" s="326"/>
      <c r="X37" s="326"/>
      <c r="Y37" s="326"/>
      <c r="Z37" s="326"/>
      <c r="AA37" s="326"/>
      <c r="AB37" s="327"/>
      <c r="AC37" s="328"/>
      <c r="AD37" s="326"/>
      <c r="AE37" s="326"/>
      <c r="AF37" s="326"/>
      <c r="AG37" s="326"/>
      <c r="AH37" s="326"/>
      <c r="AI37" s="327"/>
      <c r="AJ37" s="341"/>
      <c r="AK37" s="342"/>
      <c r="AL37" s="342"/>
      <c r="AM37" s="342"/>
      <c r="AN37" s="342"/>
      <c r="AO37" s="343"/>
      <c r="AP37" s="351"/>
      <c r="AQ37" s="351"/>
      <c r="AR37" s="351"/>
      <c r="AS37" s="351"/>
      <c r="AT37" s="351"/>
      <c r="AU37" s="351"/>
      <c r="AV37" s="351"/>
      <c r="AW37" s="351"/>
      <c r="AX37" s="351"/>
      <c r="AY37" s="9"/>
    </row>
    <row r="38" spans="2:51" ht="11.45" customHeight="1" x14ac:dyDescent="0.2">
      <c r="B38" s="7"/>
      <c r="C38" s="360" t="str">
        <f>IF($C$28="","","Medios de verificación")</f>
        <v>Medios de verificación</v>
      </c>
      <c r="D38" s="360"/>
      <c r="E38" s="360"/>
      <c r="F38" s="360"/>
      <c r="G38" s="360"/>
      <c r="H38" s="329" t="str">
        <f>LISTAS!AP7</f>
        <v>PAT.</v>
      </c>
      <c r="I38" s="330"/>
      <c r="J38" s="330"/>
      <c r="K38" s="330"/>
      <c r="L38" s="330"/>
      <c r="M38" s="330"/>
      <c r="N38" s="330"/>
      <c r="O38" s="329" t="str">
        <f>LISTAS!AQ7</f>
        <v>PCI.</v>
      </c>
      <c r="P38" s="330"/>
      <c r="Q38" s="330"/>
      <c r="R38" s="330"/>
      <c r="S38" s="330"/>
      <c r="T38" s="330"/>
      <c r="U38" s="330"/>
      <c r="V38" s="329" t="str">
        <f>LISTAS!AR7</f>
        <v>PCI.</v>
      </c>
      <c r="W38" s="330"/>
      <c r="X38" s="330"/>
      <c r="Y38" s="330"/>
      <c r="Z38" s="330"/>
      <c r="AA38" s="330"/>
      <c r="AB38" s="330"/>
      <c r="AC38" s="329" t="str">
        <f>LISTAS!AS7</f>
        <v>PAT. Documentos administrativos: Cartas, Oficios, Memo. Lista de Asistencia.</v>
      </c>
      <c r="AD38" s="330"/>
      <c r="AE38" s="330"/>
      <c r="AF38" s="330"/>
      <c r="AG38" s="330"/>
      <c r="AH38" s="330"/>
      <c r="AI38" s="330"/>
      <c r="AJ38" s="344"/>
      <c r="AK38" s="345"/>
      <c r="AL38" s="345"/>
      <c r="AM38" s="345"/>
      <c r="AN38" s="345"/>
      <c r="AO38" s="346"/>
      <c r="AP38" s="329"/>
      <c r="AQ38" s="329"/>
      <c r="AR38" s="329"/>
      <c r="AS38" s="329"/>
      <c r="AT38" s="329"/>
      <c r="AU38" s="329"/>
      <c r="AV38" s="329"/>
      <c r="AW38" s="329"/>
      <c r="AX38" s="329"/>
      <c r="AY38" s="9"/>
    </row>
    <row r="39" spans="2:51" ht="11.45" customHeight="1" x14ac:dyDescent="0.2">
      <c r="B39" s="7"/>
      <c r="C39" s="361"/>
      <c r="D39" s="361"/>
      <c r="E39" s="361"/>
      <c r="F39" s="361"/>
      <c r="G39" s="361"/>
      <c r="H39" s="331"/>
      <c r="I39" s="332"/>
      <c r="J39" s="332"/>
      <c r="K39" s="332"/>
      <c r="L39" s="332"/>
      <c r="M39" s="332"/>
      <c r="N39" s="332"/>
      <c r="O39" s="331"/>
      <c r="P39" s="332"/>
      <c r="Q39" s="332"/>
      <c r="R39" s="332"/>
      <c r="S39" s="332"/>
      <c r="T39" s="332"/>
      <c r="U39" s="332"/>
      <c r="V39" s="331"/>
      <c r="W39" s="332"/>
      <c r="X39" s="332"/>
      <c r="Y39" s="332"/>
      <c r="Z39" s="332"/>
      <c r="AA39" s="332"/>
      <c r="AB39" s="332"/>
      <c r="AC39" s="331"/>
      <c r="AD39" s="332"/>
      <c r="AE39" s="332"/>
      <c r="AF39" s="332"/>
      <c r="AG39" s="332"/>
      <c r="AH39" s="332"/>
      <c r="AI39" s="332"/>
      <c r="AJ39" s="344"/>
      <c r="AK39" s="345"/>
      <c r="AL39" s="345"/>
      <c r="AM39" s="345"/>
      <c r="AN39" s="345"/>
      <c r="AO39" s="346"/>
      <c r="AP39" s="331"/>
      <c r="AQ39" s="331"/>
      <c r="AR39" s="331"/>
      <c r="AS39" s="331"/>
      <c r="AT39" s="331"/>
      <c r="AU39" s="331"/>
      <c r="AV39" s="331"/>
      <c r="AW39" s="331"/>
      <c r="AX39" s="331"/>
      <c r="AY39" s="9"/>
    </row>
    <row r="40" spans="2:51" ht="11.45" customHeight="1" x14ac:dyDescent="0.2">
      <c r="B40" s="7"/>
      <c r="C40" s="361"/>
      <c r="D40" s="361"/>
      <c r="E40" s="361"/>
      <c r="F40" s="361"/>
      <c r="G40" s="361"/>
      <c r="H40" s="331"/>
      <c r="I40" s="332"/>
      <c r="J40" s="332"/>
      <c r="K40" s="332"/>
      <c r="L40" s="332"/>
      <c r="M40" s="332"/>
      <c r="N40" s="332"/>
      <c r="O40" s="331"/>
      <c r="P40" s="332"/>
      <c r="Q40" s="332"/>
      <c r="R40" s="332"/>
      <c r="S40" s="332"/>
      <c r="T40" s="332"/>
      <c r="U40" s="332"/>
      <c r="V40" s="331"/>
      <c r="W40" s="332"/>
      <c r="X40" s="332"/>
      <c r="Y40" s="332"/>
      <c r="Z40" s="332"/>
      <c r="AA40" s="332"/>
      <c r="AB40" s="332"/>
      <c r="AC40" s="331"/>
      <c r="AD40" s="332"/>
      <c r="AE40" s="332"/>
      <c r="AF40" s="332"/>
      <c r="AG40" s="332"/>
      <c r="AH40" s="332"/>
      <c r="AI40" s="332"/>
      <c r="AJ40" s="344"/>
      <c r="AK40" s="345"/>
      <c r="AL40" s="345"/>
      <c r="AM40" s="345"/>
      <c r="AN40" s="345"/>
      <c r="AO40" s="346"/>
      <c r="AP40" s="331"/>
      <c r="AQ40" s="331"/>
      <c r="AR40" s="331"/>
      <c r="AS40" s="331"/>
      <c r="AT40" s="331"/>
      <c r="AU40" s="331"/>
      <c r="AV40" s="331"/>
      <c r="AW40" s="331"/>
      <c r="AX40" s="331"/>
      <c r="AY40" s="9"/>
    </row>
    <row r="41" spans="2:51" ht="11.45" customHeight="1" x14ac:dyDescent="0.2">
      <c r="B41" s="7"/>
      <c r="C41" s="362"/>
      <c r="D41" s="362"/>
      <c r="E41" s="362"/>
      <c r="F41" s="362"/>
      <c r="G41" s="362"/>
      <c r="H41" s="333"/>
      <c r="I41" s="333"/>
      <c r="J41" s="333"/>
      <c r="K41" s="333"/>
      <c r="L41" s="333"/>
      <c r="M41" s="333"/>
      <c r="N41" s="333"/>
      <c r="O41" s="333"/>
      <c r="P41" s="333"/>
      <c r="Q41" s="333"/>
      <c r="R41" s="333"/>
      <c r="S41" s="333"/>
      <c r="T41" s="333"/>
      <c r="U41" s="333"/>
      <c r="V41" s="333"/>
      <c r="W41" s="333"/>
      <c r="X41" s="333"/>
      <c r="Y41" s="333"/>
      <c r="Z41" s="333"/>
      <c r="AA41" s="333"/>
      <c r="AB41" s="333"/>
      <c r="AC41" s="333"/>
      <c r="AD41" s="333"/>
      <c r="AE41" s="333"/>
      <c r="AF41" s="333"/>
      <c r="AG41" s="333"/>
      <c r="AH41" s="333"/>
      <c r="AI41" s="333"/>
      <c r="AJ41" s="347"/>
      <c r="AK41" s="348"/>
      <c r="AL41" s="348"/>
      <c r="AM41" s="348"/>
      <c r="AN41" s="348"/>
      <c r="AO41" s="349"/>
      <c r="AP41" s="352"/>
      <c r="AQ41" s="352"/>
      <c r="AR41" s="352"/>
      <c r="AS41" s="352"/>
      <c r="AT41" s="352"/>
      <c r="AU41" s="352"/>
      <c r="AV41" s="352"/>
      <c r="AW41" s="352"/>
      <c r="AX41" s="352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1.45" customHeight="1" x14ac:dyDescent="0.2">
      <c r="B43" s="7"/>
      <c r="C43" s="317" t="str">
        <f>LISTAS!AJ8</f>
        <v>7. La I.E. practicó el empleo de energía renovable.</v>
      </c>
      <c r="D43" s="318"/>
      <c r="E43" s="318"/>
      <c r="F43" s="318"/>
      <c r="G43" s="318"/>
      <c r="H43" s="334" t="str">
        <f>LISTAS!AK8</f>
        <v xml:space="preserve">La I.E. ha incluido medidas sobre el empleo de energía renovable en el PAT. </v>
      </c>
      <c r="I43" s="335"/>
      <c r="J43" s="335"/>
      <c r="K43" s="335"/>
      <c r="L43" s="335"/>
      <c r="M43" s="335"/>
      <c r="N43" s="336"/>
      <c r="O43" s="334" t="str">
        <f>LISTAS!AL8</f>
        <v xml:space="preserve">La I.E. implementó actividades pedagógicas  sobre el uso de energía renovable, de acuerdo a su contexto. </v>
      </c>
      <c r="P43" s="335"/>
      <c r="Q43" s="335"/>
      <c r="R43" s="335"/>
      <c r="S43" s="335"/>
      <c r="T43" s="335"/>
      <c r="U43" s="336"/>
      <c r="V43" s="334" t="str">
        <f>LISTAS!AM8</f>
        <v xml:space="preserve">La I.E. implementó actividades institucionales sobre el uso de la energía renovable (por ejemplo paneles solares), de acuerdo a su contexto.  </v>
      </c>
      <c r="W43" s="335"/>
      <c r="X43" s="335"/>
      <c r="Y43" s="335"/>
      <c r="Z43" s="335"/>
      <c r="AA43" s="335"/>
      <c r="AB43" s="336"/>
      <c r="AC43" s="334" t="str">
        <f>LISTAS!AN8</f>
        <v>La I.E. sensibilizó a las familias de la comunidad educativa y/o comunidad local para el empleo de energía renovable.</v>
      </c>
      <c r="AD43" s="335"/>
      <c r="AE43" s="335"/>
      <c r="AF43" s="335"/>
      <c r="AG43" s="335"/>
      <c r="AH43" s="335"/>
      <c r="AI43" s="336"/>
      <c r="AJ43" s="338" t="str">
        <f>LISTAS!AO8</f>
        <v>N° de hitos de aplicación del enfoque ambiental puestos en práctica en el empleo de energía renovable.</v>
      </c>
      <c r="AK43" s="339"/>
      <c r="AL43" s="339"/>
      <c r="AM43" s="339"/>
      <c r="AN43" s="339"/>
      <c r="AO43" s="340"/>
      <c r="AP43" s="350"/>
      <c r="AQ43" s="351"/>
      <c r="AR43" s="351"/>
      <c r="AS43" s="351"/>
      <c r="AT43" s="351"/>
      <c r="AU43" s="351"/>
      <c r="AV43" s="351"/>
      <c r="AW43" s="351"/>
      <c r="AX43" s="351"/>
      <c r="AY43" s="9"/>
    </row>
    <row r="44" spans="2:51" ht="11.45" customHeight="1" x14ac:dyDescent="0.2">
      <c r="B44" s="7"/>
      <c r="C44" s="318"/>
      <c r="D44" s="318"/>
      <c r="E44" s="318"/>
      <c r="F44" s="318"/>
      <c r="G44" s="318"/>
      <c r="H44" s="337"/>
      <c r="I44" s="335"/>
      <c r="J44" s="335"/>
      <c r="K44" s="335"/>
      <c r="L44" s="335"/>
      <c r="M44" s="335"/>
      <c r="N44" s="336"/>
      <c r="O44" s="337"/>
      <c r="P44" s="335"/>
      <c r="Q44" s="335"/>
      <c r="R44" s="335"/>
      <c r="S44" s="335"/>
      <c r="T44" s="335"/>
      <c r="U44" s="336"/>
      <c r="V44" s="337"/>
      <c r="W44" s="335"/>
      <c r="X44" s="335"/>
      <c r="Y44" s="335"/>
      <c r="Z44" s="335"/>
      <c r="AA44" s="335"/>
      <c r="AB44" s="336"/>
      <c r="AC44" s="337"/>
      <c r="AD44" s="335"/>
      <c r="AE44" s="335"/>
      <c r="AF44" s="335"/>
      <c r="AG44" s="335"/>
      <c r="AH44" s="335"/>
      <c r="AI44" s="336"/>
      <c r="AJ44" s="341"/>
      <c r="AK44" s="342"/>
      <c r="AL44" s="342"/>
      <c r="AM44" s="342"/>
      <c r="AN44" s="342"/>
      <c r="AO44" s="343"/>
      <c r="AP44" s="351"/>
      <c r="AQ44" s="351"/>
      <c r="AR44" s="351"/>
      <c r="AS44" s="351"/>
      <c r="AT44" s="351"/>
      <c r="AU44" s="351"/>
      <c r="AV44" s="351"/>
      <c r="AW44" s="351"/>
      <c r="AX44" s="351"/>
      <c r="AY44" s="9"/>
    </row>
    <row r="45" spans="2:51" ht="11.45" customHeight="1" x14ac:dyDescent="0.2">
      <c r="B45" s="7"/>
      <c r="C45" s="318"/>
      <c r="D45" s="318"/>
      <c r="E45" s="318"/>
      <c r="F45" s="318"/>
      <c r="G45" s="318"/>
      <c r="H45" s="337"/>
      <c r="I45" s="335"/>
      <c r="J45" s="335"/>
      <c r="K45" s="335"/>
      <c r="L45" s="335"/>
      <c r="M45" s="335"/>
      <c r="N45" s="336"/>
      <c r="O45" s="337"/>
      <c r="P45" s="335"/>
      <c r="Q45" s="335"/>
      <c r="R45" s="335"/>
      <c r="S45" s="335"/>
      <c r="T45" s="335"/>
      <c r="U45" s="336"/>
      <c r="V45" s="337"/>
      <c r="W45" s="335"/>
      <c r="X45" s="335"/>
      <c r="Y45" s="335"/>
      <c r="Z45" s="335"/>
      <c r="AA45" s="335"/>
      <c r="AB45" s="336"/>
      <c r="AC45" s="337"/>
      <c r="AD45" s="335"/>
      <c r="AE45" s="335"/>
      <c r="AF45" s="335"/>
      <c r="AG45" s="335"/>
      <c r="AH45" s="335"/>
      <c r="AI45" s="336"/>
      <c r="AJ45" s="341"/>
      <c r="AK45" s="342"/>
      <c r="AL45" s="342"/>
      <c r="AM45" s="342"/>
      <c r="AN45" s="342"/>
      <c r="AO45" s="343"/>
      <c r="AP45" s="351"/>
      <c r="AQ45" s="351"/>
      <c r="AR45" s="351"/>
      <c r="AS45" s="351"/>
      <c r="AT45" s="351"/>
      <c r="AU45" s="351"/>
      <c r="AV45" s="351"/>
      <c r="AW45" s="351"/>
      <c r="AX45" s="351"/>
      <c r="AY45" s="9"/>
    </row>
    <row r="46" spans="2:51" ht="11.45" customHeight="1" x14ac:dyDescent="0.2">
      <c r="B46" s="7"/>
      <c r="C46" s="318"/>
      <c r="D46" s="318"/>
      <c r="E46" s="318"/>
      <c r="F46" s="318"/>
      <c r="G46" s="318"/>
      <c r="H46" s="337"/>
      <c r="I46" s="335"/>
      <c r="J46" s="335"/>
      <c r="K46" s="335"/>
      <c r="L46" s="335"/>
      <c r="M46" s="335"/>
      <c r="N46" s="336"/>
      <c r="O46" s="337"/>
      <c r="P46" s="335"/>
      <c r="Q46" s="335"/>
      <c r="R46" s="335"/>
      <c r="S46" s="335"/>
      <c r="T46" s="335"/>
      <c r="U46" s="336"/>
      <c r="V46" s="337"/>
      <c r="W46" s="335"/>
      <c r="X46" s="335"/>
      <c r="Y46" s="335"/>
      <c r="Z46" s="335"/>
      <c r="AA46" s="335"/>
      <c r="AB46" s="336"/>
      <c r="AC46" s="337"/>
      <c r="AD46" s="335"/>
      <c r="AE46" s="335"/>
      <c r="AF46" s="335"/>
      <c r="AG46" s="335"/>
      <c r="AH46" s="335"/>
      <c r="AI46" s="336"/>
      <c r="AJ46" s="341"/>
      <c r="AK46" s="342"/>
      <c r="AL46" s="342"/>
      <c r="AM46" s="342"/>
      <c r="AN46" s="342"/>
      <c r="AO46" s="343"/>
      <c r="AP46" s="351"/>
      <c r="AQ46" s="351"/>
      <c r="AR46" s="351"/>
      <c r="AS46" s="351"/>
      <c r="AT46" s="351"/>
      <c r="AU46" s="351"/>
      <c r="AV46" s="351"/>
      <c r="AW46" s="351"/>
      <c r="AX46" s="351"/>
      <c r="AY46" s="9"/>
    </row>
    <row r="47" spans="2:51" ht="11.45" customHeight="1" x14ac:dyDescent="0.2">
      <c r="B47" s="7"/>
      <c r="C47" s="318"/>
      <c r="D47" s="318"/>
      <c r="E47" s="318"/>
      <c r="F47" s="318"/>
      <c r="G47" s="318"/>
      <c r="H47" s="337"/>
      <c r="I47" s="335"/>
      <c r="J47" s="335"/>
      <c r="K47" s="335"/>
      <c r="L47" s="335"/>
      <c r="M47" s="335"/>
      <c r="N47" s="336"/>
      <c r="O47" s="337"/>
      <c r="P47" s="335"/>
      <c r="Q47" s="335"/>
      <c r="R47" s="335"/>
      <c r="S47" s="335"/>
      <c r="T47" s="335"/>
      <c r="U47" s="336"/>
      <c r="V47" s="337"/>
      <c r="W47" s="335"/>
      <c r="X47" s="335"/>
      <c r="Y47" s="335"/>
      <c r="Z47" s="335"/>
      <c r="AA47" s="335"/>
      <c r="AB47" s="336"/>
      <c r="AC47" s="337"/>
      <c r="AD47" s="335"/>
      <c r="AE47" s="335"/>
      <c r="AF47" s="335"/>
      <c r="AG47" s="335"/>
      <c r="AH47" s="335"/>
      <c r="AI47" s="336"/>
      <c r="AJ47" s="341"/>
      <c r="AK47" s="342"/>
      <c r="AL47" s="342"/>
      <c r="AM47" s="342"/>
      <c r="AN47" s="342"/>
      <c r="AO47" s="343"/>
      <c r="AP47" s="351"/>
      <c r="AQ47" s="351"/>
      <c r="AR47" s="351"/>
      <c r="AS47" s="351"/>
      <c r="AT47" s="351"/>
      <c r="AU47" s="351"/>
      <c r="AV47" s="351"/>
      <c r="AW47" s="351"/>
      <c r="AX47" s="351"/>
      <c r="AY47" s="9"/>
    </row>
    <row r="48" spans="2:51" ht="11.45" customHeight="1" x14ac:dyDescent="0.2">
      <c r="B48" s="7"/>
      <c r="C48" s="318"/>
      <c r="D48" s="318"/>
      <c r="E48" s="318"/>
      <c r="F48" s="318"/>
      <c r="G48" s="318"/>
      <c r="H48" s="337"/>
      <c r="I48" s="335"/>
      <c r="J48" s="335"/>
      <c r="K48" s="335"/>
      <c r="L48" s="335"/>
      <c r="M48" s="335"/>
      <c r="N48" s="336"/>
      <c r="O48" s="337"/>
      <c r="P48" s="335"/>
      <c r="Q48" s="335"/>
      <c r="R48" s="335"/>
      <c r="S48" s="335"/>
      <c r="T48" s="335"/>
      <c r="U48" s="336"/>
      <c r="V48" s="337"/>
      <c r="W48" s="335"/>
      <c r="X48" s="335"/>
      <c r="Y48" s="335"/>
      <c r="Z48" s="335"/>
      <c r="AA48" s="335"/>
      <c r="AB48" s="336"/>
      <c r="AC48" s="337"/>
      <c r="AD48" s="335"/>
      <c r="AE48" s="335"/>
      <c r="AF48" s="335"/>
      <c r="AG48" s="335"/>
      <c r="AH48" s="335"/>
      <c r="AI48" s="336"/>
      <c r="AJ48" s="341"/>
      <c r="AK48" s="342"/>
      <c r="AL48" s="342"/>
      <c r="AM48" s="342"/>
      <c r="AN48" s="342"/>
      <c r="AO48" s="343"/>
      <c r="AP48" s="351"/>
      <c r="AQ48" s="351"/>
      <c r="AR48" s="351"/>
      <c r="AS48" s="351"/>
      <c r="AT48" s="351"/>
      <c r="AU48" s="351"/>
      <c r="AV48" s="351"/>
      <c r="AW48" s="351"/>
      <c r="AX48" s="351"/>
      <c r="AY48" s="9"/>
    </row>
    <row r="49" spans="2:51" ht="11.45" customHeight="1" x14ac:dyDescent="0.2">
      <c r="B49" s="7"/>
      <c r="C49" s="318"/>
      <c r="D49" s="318"/>
      <c r="E49" s="318"/>
      <c r="F49" s="318"/>
      <c r="G49" s="318"/>
      <c r="H49" s="337"/>
      <c r="I49" s="335"/>
      <c r="J49" s="335"/>
      <c r="K49" s="335"/>
      <c r="L49" s="335"/>
      <c r="M49" s="335"/>
      <c r="N49" s="336"/>
      <c r="O49" s="337"/>
      <c r="P49" s="335"/>
      <c r="Q49" s="335"/>
      <c r="R49" s="335"/>
      <c r="S49" s="335"/>
      <c r="T49" s="335"/>
      <c r="U49" s="336"/>
      <c r="V49" s="337"/>
      <c r="W49" s="335"/>
      <c r="X49" s="335"/>
      <c r="Y49" s="335"/>
      <c r="Z49" s="335"/>
      <c r="AA49" s="335"/>
      <c r="AB49" s="336"/>
      <c r="AC49" s="337"/>
      <c r="AD49" s="335"/>
      <c r="AE49" s="335"/>
      <c r="AF49" s="335"/>
      <c r="AG49" s="335"/>
      <c r="AH49" s="335"/>
      <c r="AI49" s="336"/>
      <c r="AJ49" s="341"/>
      <c r="AK49" s="342"/>
      <c r="AL49" s="342"/>
      <c r="AM49" s="342"/>
      <c r="AN49" s="342"/>
      <c r="AO49" s="343"/>
      <c r="AP49" s="351"/>
      <c r="AQ49" s="351"/>
      <c r="AR49" s="351"/>
      <c r="AS49" s="351"/>
      <c r="AT49" s="351"/>
      <c r="AU49" s="351"/>
      <c r="AV49" s="351"/>
      <c r="AW49" s="351"/>
      <c r="AX49" s="351"/>
      <c r="AY49" s="9"/>
    </row>
    <row r="50" spans="2:51" ht="25.5" customHeight="1" x14ac:dyDescent="0.2">
      <c r="B50" s="7"/>
      <c r="C50" s="318"/>
      <c r="D50" s="318"/>
      <c r="E50" s="318"/>
      <c r="F50" s="318"/>
      <c r="G50" s="318"/>
      <c r="H50" s="337"/>
      <c r="I50" s="335"/>
      <c r="J50" s="335"/>
      <c r="K50" s="335"/>
      <c r="L50" s="335"/>
      <c r="M50" s="335"/>
      <c r="N50" s="336"/>
      <c r="O50" s="337"/>
      <c r="P50" s="335"/>
      <c r="Q50" s="335"/>
      <c r="R50" s="335"/>
      <c r="S50" s="335"/>
      <c r="T50" s="335"/>
      <c r="U50" s="336"/>
      <c r="V50" s="337"/>
      <c r="W50" s="335"/>
      <c r="X50" s="335"/>
      <c r="Y50" s="335"/>
      <c r="Z50" s="335"/>
      <c r="AA50" s="335"/>
      <c r="AB50" s="336"/>
      <c r="AC50" s="337"/>
      <c r="AD50" s="335"/>
      <c r="AE50" s="335"/>
      <c r="AF50" s="335"/>
      <c r="AG50" s="335"/>
      <c r="AH50" s="335"/>
      <c r="AI50" s="336"/>
      <c r="AJ50" s="341"/>
      <c r="AK50" s="342"/>
      <c r="AL50" s="342"/>
      <c r="AM50" s="342"/>
      <c r="AN50" s="342"/>
      <c r="AO50" s="343"/>
      <c r="AP50" s="351"/>
      <c r="AQ50" s="351"/>
      <c r="AR50" s="351"/>
      <c r="AS50" s="351"/>
      <c r="AT50" s="351"/>
      <c r="AU50" s="351"/>
      <c r="AV50" s="351"/>
      <c r="AW50" s="351"/>
      <c r="AX50" s="351"/>
      <c r="AY50" s="9"/>
    </row>
    <row r="51" spans="2:51" ht="6.95" customHeight="1" x14ac:dyDescent="0.2">
      <c r="B51" s="7"/>
      <c r="C51" s="318"/>
      <c r="D51" s="318"/>
      <c r="E51" s="318"/>
      <c r="F51" s="318"/>
      <c r="G51" s="318"/>
      <c r="H51" s="325"/>
      <c r="I51" s="326"/>
      <c r="J51" s="326"/>
      <c r="K51" s="326"/>
      <c r="L51" s="326"/>
      <c r="M51" s="326"/>
      <c r="N51" s="327"/>
      <c r="O51" s="325"/>
      <c r="P51" s="326"/>
      <c r="Q51" s="326"/>
      <c r="R51" s="326"/>
      <c r="S51" s="326"/>
      <c r="T51" s="326"/>
      <c r="U51" s="327"/>
      <c r="V51" s="325"/>
      <c r="W51" s="326"/>
      <c r="X51" s="326"/>
      <c r="Y51" s="326"/>
      <c r="Z51" s="326"/>
      <c r="AA51" s="326"/>
      <c r="AB51" s="327"/>
      <c r="AC51" s="325"/>
      <c r="AD51" s="326"/>
      <c r="AE51" s="326"/>
      <c r="AF51" s="326"/>
      <c r="AG51" s="326"/>
      <c r="AH51" s="326"/>
      <c r="AI51" s="327"/>
      <c r="AJ51" s="341"/>
      <c r="AK51" s="342"/>
      <c r="AL51" s="342"/>
      <c r="AM51" s="342"/>
      <c r="AN51" s="342"/>
      <c r="AO51" s="343"/>
      <c r="AP51" s="351"/>
      <c r="AQ51" s="351"/>
      <c r="AR51" s="351"/>
      <c r="AS51" s="351"/>
      <c r="AT51" s="351"/>
      <c r="AU51" s="351"/>
      <c r="AV51" s="351"/>
      <c r="AW51" s="351"/>
      <c r="AX51" s="351"/>
      <c r="AY51" s="9"/>
    </row>
    <row r="52" spans="2:51" ht="6.95" customHeight="1" x14ac:dyDescent="0.2">
      <c r="B52" s="7"/>
      <c r="C52" s="318"/>
      <c r="D52" s="318"/>
      <c r="E52" s="318"/>
      <c r="F52" s="318"/>
      <c r="G52" s="318"/>
      <c r="H52" s="328"/>
      <c r="I52" s="326"/>
      <c r="J52" s="326"/>
      <c r="K52" s="326"/>
      <c r="L52" s="326"/>
      <c r="M52" s="326"/>
      <c r="N52" s="327"/>
      <c r="O52" s="328"/>
      <c r="P52" s="326"/>
      <c r="Q52" s="326"/>
      <c r="R52" s="326"/>
      <c r="S52" s="326"/>
      <c r="T52" s="326"/>
      <c r="U52" s="327"/>
      <c r="V52" s="328"/>
      <c r="W52" s="326"/>
      <c r="X52" s="326"/>
      <c r="Y52" s="326"/>
      <c r="Z52" s="326"/>
      <c r="AA52" s="326"/>
      <c r="AB52" s="327"/>
      <c r="AC52" s="328"/>
      <c r="AD52" s="326"/>
      <c r="AE52" s="326"/>
      <c r="AF52" s="326"/>
      <c r="AG52" s="326"/>
      <c r="AH52" s="326"/>
      <c r="AI52" s="327"/>
      <c r="AJ52" s="341"/>
      <c r="AK52" s="342"/>
      <c r="AL52" s="342"/>
      <c r="AM52" s="342"/>
      <c r="AN52" s="342"/>
      <c r="AO52" s="343"/>
      <c r="AP52" s="351"/>
      <c r="AQ52" s="351"/>
      <c r="AR52" s="351"/>
      <c r="AS52" s="351"/>
      <c r="AT52" s="351"/>
      <c r="AU52" s="351"/>
      <c r="AV52" s="351"/>
      <c r="AW52" s="351"/>
      <c r="AX52" s="351"/>
      <c r="AY52" s="9"/>
    </row>
    <row r="53" spans="2:51" ht="11.45" customHeight="1" x14ac:dyDescent="0.2">
      <c r="B53" s="7"/>
      <c r="C53" s="360" t="str">
        <f>IF($C$28="","","Medios de verificación")</f>
        <v>Medios de verificación</v>
      </c>
      <c r="D53" s="360"/>
      <c r="E53" s="360"/>
      <c r="F53" s="360"/>
      <c r="G53" s="360"/>
      <c r="H53" s="329" t="str">
        <f>LISTAS!AP8</f>
        <v>PCI. PAT.</v>
      </c>
      <c r="I53" s="330"/>
      <c r="J53" s="330"/>
      <c r="K53" s="330"/>
      <c r="L53" s="330"/>
      <c r="M53" s="330"/>
      <c r="N53" s="330"/>
      <c r="O53" s="329" t="str">
        <f>LISTAS!AQ8</f>
        <v>PCI. PAT.</v>
      </c>
      <c r="P53" s="330"/>
      <c r="Q53" s="330"/>
      <c r="R53" s="330"/>
      <c r="S53" s="330"/>
      <c r="T53" s="330"/>
      <c r="U53" s="330"/>
      <c r="V53" s="329" t="str">
        <f>LISTAS!AR8</f>
        <v>PCI. PAT.</v>
      </c>
      <c r="W53" s="330"/>
      <c r="X53" s="330"/>
      <c r="Y53" s="330"/>
      <c r="Z53" s="330"/>
      <c r="AA53" s="330"/>
      <c r="AB53" s="330"/>
      <c r="AC53" s="329" t="str">
        <f>LISTAS!AS8</f>
        <v>PAT. Documentos administrativos: Cartas, Oficios, Memo. Lista de Asistencia. Fotografías.</v>
      </c>
      <c r="AD53" s="330"/>
      <c r="AE53" s="330"/>
      <c r="AF53" s="330"/>
      <c r="AG53" s="330"/>
      <c r="AH53" s="330"/>
      <c r="AI53" s="330"/>
      <c r="AJ53" s="344"/>
      <c r="AK53" s="345"/>
      <c r="AL53" s="345"/>
      <c r="AM53" s="345"/>
      <c r="AN53" s="345"/>
      <c r="AO53" s="346"/>
      <c r="AP53" s="329"/>
      <c r="AQ53" s="329"/>
      <c r="AR53" s="329"/>
      <c r="AS53" s="329"/>
      <c r="AT53" s="329"/>
      <c r="AU53" s="329"/>
      <c r="AV53" s="329"/>
      <c r="AW53" s="329"/>
      <c r="AX53" s="329"/>
      <c r="AY53" s="9"/>
    </row>
    <row r="54" spans="2:51" ht="11.45" customHeight="1" x14ac:dyDescent="0.2">
      <c r="B54" s="7"/>
      <c r="C54" s="361"/>
      <c r="D54" s="361"/>
      <c r="E54" s="361"/>
      <c r="F54" s="361"/>
      <c r="G54" s="361"/>
      <c r="H54" s="331"/>
      <c r="I54" s="332"/>
      <c r="J54" s="332"/>
      <c r="K54" s="332"/>
      <c r="L54" s="332"/>
      <c r="M54" s="332"/>
      <c r="N54" s="332"/>
      <c r="O54" s="331"/>
      <c r="P54" s="332"/>
      <c r="Q54" s="332"/>
      <c r="R54" s="332"/>
      <c r="S54" s="332"/>
      <c r="T54" s="332"/>
      <c r="U54" s="332"/>
      <c r="V54" s="331"/>
      <c r="W54" s="332"/>
      <c r="X54" s="332"/>
      <c r="Y54" s="332"/>
      <c r="Z54" s="332"/>
      <c r="AA54" s="332"/>
      <c r="AB54" s="332"/>
      <c r="AC54" s="331"/>
      <c r="AD54" s="332"/>
      <c r="AE54" s="332"/>
      <c r="AF54" s="332"/>
      <c r="AG54" s="332"/>
      <c r="AH54" s="332"/>
      <c r="AI54" s="332"/>
      <c r="AJ54" s="344"/>
      <c r="AK54" s="345"/>
      <c r="AL54" s="345"/>
      <c r="AM54" s="345"/>
      <c r="AN54" s="345"/>
      <c r="AO54" s="346"/>
      <c r="AP54" s="331"/>
      <c r="AQ54" s="331"/>
      <c r="AR54" s="331"/>
      <c r="AS54" s="331"/>
      <c r="AT54" s="331"/>
      <c r="AU54" s="331"/>
      <c r="AV54" s="331"/>
      <c r="AW54" s="331"/>
      <c r="AX54" s="331"/>
      <c r="AY54" s="9"/>
    </row>
    <row r="55" spans="2:51" ht="11.45" customHeight="1" x14ac:dyDescent="0.2">
      <c r="B55" s="7"/>
      <c r="C55" s="361"/>
      <c r="D55" s="361"/>
      <c r="E55" s="361"/>
      <c r="F55" s="361"/>
      <c r="G55" s="361"/>
      <c r="H55" s="331"/>
      <c r="I55" s="332"/>
      <c r="J55" s="332"/>
      <c r="K55" s="332"/>
      <c r="L55" s="332"/>
      <c r="M55" s="332"/>
      <c r="N55" s="332"/>
      <c r="O55" s="331"/>
      <c r="P55" s="332"/>
      <c r="Q55" s="332"/>
      <c r="R55" s="332"/>
      <c r="S55" s="332"/>
      <c r="T55" s="332"/>
      <c r="U55" s="332"/>
      <c r="V55" s="331"/>
      <c r="W55" s="332"/>
      <c r="X55" s="332"/>
      <c r="Y55" s="332"/>
      <c r="Z55" s="332"/>
      <c r="AA55" s="332"/>
      <c r="AB55" s="332"/>
      <c r="AC55" s="331"/>
      <c r="AD55" s="332"/>
      <c r="AE55" s="332"/>
      <c r="AF55" s="332"/>
      <c r="AG55" s="332"/>
      <c r="AH55" s="332"/>
      <c r="AI55" s="332"/>
      <c r="AJ55" s="344"/>
      <c r="AK55" s="345"/>
      <c r="AL55" s="345"/>
      <c r="AM55" s="345"/>
      <c r="AN55" s="345"/>
      <c r="AO55" s="346"/>
      <c r="AP55" s="331"/>
      <c r="AQ55" s="331"/>
      <c r="AR55" s="331"/>
      <c r="AS55" s="331"/>
      <c r="AT55" s="331"/>
      <c r="AU55" s="331"/>
      <c r="AV55" s="331"/>
      <c r="AW55" s="331"/>
      <c r="AX55" s="331"/>
      <c r="AY55" s="9"/>
    </row>
    <row r="56" spans="2:51" ht="11.45" customHeight="1" x14ac:dyDescent="0.2">
      <c r="B56" s="7"/>
      <c r="C56" s="362"/>
      <c r="D56" s="362"/>
      <c r="E56" s="362"/>
      <c r="F56" s="362"/>
      <c r="G56" s="362"/>
      <c r="H56" s="333"/>
      <c r="I56" s="333"/>
      <c r="J56" s="333"/>
      <c r="K56" s="333"/>
      <c r="L56" s="333"/>
      <c r="M56" s="333"/>
      <c r="N56" s="333"/>
      <c r="O56" s="333"/>
      <c r="P56" s="333"/>
      <c r="Q56" s="333"/>
      <c r="R56" s="333"/>
      <c r="S56" s="333"/>
      <c r="T56" s="333"/>
      <c r="U56" s="333"/>
      <c r="V56" s="333"/>
      <c r="W56" s="333"/>
      <c r="X56" s="333"/>
      <c r="Y56" s="333"/>
      <c r="Z56" s="333"/>
      <c r="AA56" s="333"/>
      <c r="AB56" s="333"/>
      <c r="AC56" s="333"/>
      <c r="AD56" s="333"/>
      <c r="AE56" s="333"/>
      <c r="AF56" s="333"/>
      <c r="AG56" s="333"/>
      <c r="AH56" s="333"/>
      <c r="AI56" s="333"/>
      <c r="AJ56" s="347"/>
      <c r="AK56" s="348"/>
      <c r="AL56" s="348"/>
      <c r="AM56" s="348"/>
      <c r="AN56" s="348"/>
      <c r="AO56" s="349"/>
      <c r="AP56" s="352"/>
      <c r="AQ56" s="352"/>
      <c r="AR56" s="352"/>
      <c r="AS56" s="352"/>
      <c r="AT56" s="352"/>
      <c r="AU56" s="352"/>
      <c r="AV56" s="352"/>
      <c r="AW56" s="352"/>
      <c r="AX56" s="352"/>
      <c r="AY56" s="9"/>
    </row>
    <row r="57" spans="2:51" ht="7.5" customHeight="1" x14ac:dyDescent="0.2">
      <c r="B57" s="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9"/>
    </row>
    <row r="58" spans="2:51" ht="11.45" customHeight="1" x14ac:dyDescent="0.2">
      <c r="B58" s="7"/>
      <c r="C58" s="317" t="str">
        <f>LISTAS!AJ9</f>
        <v>8. La I.E. practicó la gestión integral y uso eficiente de los recursos hídricos.</v>
      </c>
      <c r="D58" s="318"/>
      <c r="E58" s="318"/>
      <c r="F58" s="318"/>
      <c r="G58" s="318"/>
      <c r="H58" s="334" t="str">
        <f>LISTAS!AK9</f>
        <v>La I.E. ha incluido medidas para el ahorro y buen uso del agua en la I.E., fomentando una nueva cultura del agua, en el PAT.</v>
      </c>
      <c r="I58" s="335"/>
      <c r="J58" s="335"/>
      <c r="K58" s="335"/>
      <c r="L58" s="335"/>
      <c r="M58" s="335"/>
      <c r="N58" s="336"/>
      <c r="O58" s="334" t="str">
        <f>LISTAS!AL9</f>
        <v>La I.E. ha incluido medidas para el acceso a agua segura en la I.E., fomentando una nueva cultura del agua, en el PAT.</v>
      </c>
      <c r="P58" s="335"/>
      <c r="Q58" s="335"/>
      <c r="R58" s="335"/>
      <c r="S58" s="335"/>
      <c r="T58" s="335"/>
      <c r="U58" s="336"/>
      <c r="V58" s="334" t="str">
        <f>LISTAS!AM9</f>
        <v xml:space="preserve">La I.E. implementó  actividades pedagógicas sobre la gestión integral de los recursos hídricos y una nueva cultura del agua (por ejemplo sobre la protección y conservación de la calidad del agua y de las cuencas hidrográficas; el ahorro y buen uso del agua; el acceso a agua segura; entre otros). </v>
      </c>
      <c r="W58" s="335"/>
      <c r="X58" s="335"/>
      <c r="Y58" s="335"/>
      <c r="Z58" s="335"/>
      <c r="AA58" s="335"/>
      <c r="AB58" s="336"/>
      <c r="AC58" s="334" t="str">
        <f>LISTAS!AN9</f>
        <v>La I.E.  sensibilizó a las familias de la comunidad educativa y/o comunidad local para promover la gestión integral de recursos hídricos y una nueva cultura del agua en la I.E. y/o en la comunidad local.</v>
      </c>
      <c r="AD58" s="335"/>
      <c r="AE58" s="335"/>
      <c r="AF58" s="335"/>
      <c r="AG58" s="335"/>
      <c r="AH58" s="335"/>
      <c r="AI58" s="336"/>
      <c r="AJ58" s="338" t="str">
        <f>LISTAS!AO9</f>
        <v>N° de hitos de aplicación del enfoque ambiental puestos en práctica en el cuidado y el uso ecoeficiente de los recursos hídricos, fomentando una nueva cultura del agua.</v>
      </c>
      <c r="AK58" s="339"/>
      <c r="AL58" s="339"/>
      <c r="AM58" s="339"/>
      <c r="AN58" s="339"/>
      <c r="AO58" s="340"/>
      <c r="AP58" s="350"/>
      <c r="AQ58" s="351"/>
      <c r="AR58" s="351"/>
      <c r="AS58" s="351"/>
      <c r="AT58" s="351"/>
      <c r="AU58" s="351"/>
      <c r="AV58" s="351"/>
      <c r="AW58" s="351"/>
      <c r="AX58" s="351"/>
      <c r="AY58" s="9"/>
    </row>
    <row r="59" spans="2:51" ht="11.45" customHeight="1" x14ac:dyDescent="0.2">
      <c r="B59" s="7"/>
      <c r="C59" s="318"/>
      <c r="D59" s="318"/>
      <c r="E59" s="318"/>
      <c r="F59" s="318"/>
      <c r="G59" s="318"/>
      <c r="H59" s="337"/>
      <c r="I59" s="335"/>
      <c r="J59" s="335"/>
      <c r="K59" s="335"/>
      <c r="L59" s="335"/>
      <c r="M59" s="335"/>
      <c r="N59" s="336"/>
      <c r="O59" s="337"/>
      <c r="P59" s="335"/>
      <c r="Q59" s="335"/>
      <c r="R59" s="335"/>
      <c r="S59" s="335"/>
      <c r="T59" s="335"/>
      <c r="U59" s="336"/>
      <c r="V59" s="337"/>
      <c r="W59" s="335"/>
      <c r="X59" s="335"/>
      <c r="Y59" s="335"/>
      <c r="Z59" s="335"/>
      <c r="AA59" s="335"/>
      <c r="AB59" s="336"/>
      <c r="AC59" s="337"/>
      <c r="AD59" s="335"/>
      <c r="AE59" s="335"/>
      <c r="AF59" s="335"/>
      <c r="AG59" s="335"/>
      <c r="AH59" s="335"/>
      <c r="AI59" s="336"/>
      <c r="AJ59" s="341"/>
      <c r="AK59" s="342"/>
      <c r="AL59" s="342"/>
      <c r="AM59" s="342"/>
      <c r="AN59" s="342"/>
      <c r="AO59" s="343"/>
      <c r="AP59" s="351"/>
      <c r="AQ59" s="351"/>
      <c r="AR59" s="351"/>
      <c r="AS59" s="351"/>
      <c r="AT59" s="351"/>
      <c r="AU59" s="351"/>
      <c r="AV59" s="351"/>
      <c r="AW59" s="351"/>
      <c r="AX59" s="351"/>
      <c r="AY59" s="9"/>
    </row>
    <row r="60" spans="2:51" ht="11.45" customHeight="1" x14ac:dyDescent="0.2">
      <c r="B60" s="7"/>
      <c r="C60" s="318"/>
      <c r="D60" s="318"/>
      <c r="E60" s="318"/>
      <c r="F60" s="318"/>
      <c r="G60" s="318"/>
      <c r="H60" s="337"/>
      <c r="I60" s="335"/>
      <c r="J60" s="335"/>
      <c r="K60" s="335"/>
      <c r="L60" s="335"/>
      <c r="M60" s="335"/>
      <c r="N60" s="336"/>
      <c r="O60" s="337"/>
      <c r="P60" s="335"/>
      <c r="Q60" s="335"/>
      <c r="R60" s="335"/>
      <c r="S60" s="335"/>
      <c r="T60" s="335"/>
      <c r="U60" s="336"/>
      <c r="V60" s="337"/>
      <c r="W60" s="335"/>
      <c r="X60" s="335"/>
      <c r="Y60" s="335"/>
      <c r="Z60" s="335"/>
      <c r="AA60" s="335"/>
      <c r="AB60" s="336"/>
      <c r="AC60" s="337"/>
      <c r="AD60" s="335"/>
      <c r="AE60" s="335"/>
      <c r="AF60" s="335"/>
      <c r="AG60" s="335"/>
      <c r="AH60" s="335"/>
      <c r="AI60" s="336"/>
      <c r="AJ60" s="341"/>
      <c r="AK60" s="342"/>
      <c r="AL60" s="342"/>
      <c r="AM60" s="342"/>
      <c r="AN60" s="342"/>
      <c r="AO60" s="343"/>
      <c r="AP60" s="351"/>
      <c r="AQ60" s="351"/>
      <c r="AR60" s="351"/>
      <c r="AS60" s="351"/>
      <c r="AT60" s="351"/>
      <c r="AU60" s="351"/>
      <c r="AV60" s="351"/>
      <c r="AW60" s="351"/>
      <c r="AX60" s="351"/>
      <c r="AY60" s="9"/>
    </row>
    <row r="61" spans="2:51" ht="11.45" customHeight="1" x14ac:dyDescent="0.2">
      <c r="B61" s="7"/>
      <c r="C61" s="318"/>
      <c r="D61" s="318"/>
      <c r="E61" s="318"/>
      <c r="F61" s="318"/>
      <c r="G61" s="318"/>
      <c r="H61" s="337"/>
      <c r="I61" s="335"/>
      <c r="J61" s="335"/>
      <c r="K61" s="335"/>
      <c r="L61" s="335"/>
      <c r="M61" s="335"/>
      <c r="N61" s="336"/>
      <c r="O61" s="337"/>
      <c r="P61" s="335"/>
      <c r="Q61" s="335"/>
      <c r="R61" s="335"/>
      <c r="S61" s="335"/>
      <c r="T61" s="335"/>
      <c r="U61" s="336"/>
      <c r="V61" s="337"/>
      <c r="W61" s="335"/>
      <c r="X61" s="335"/>
      <c r="Y61" s="335"/>
      <c r="Z61" s="335"/>
      <c r="AA61" s="335"/>
      <c r="AB61" s="336"/>
      <c r="AC61" s="337"/>
      <c r="AD61" s="335"/>
      <c r="AE61" s="335"/>
      <c r="AF61" s="335"/>
      <c r="AG61" s="335"/>
      <c r="AH61" s="335"/>
      <c r="AI61" s="336"/>
      <c r="AJ61" s="341"/>
      <c r="AK61" s="342"/>
      <c r="AL61" s="342"/>
      <c r="AM61" s="342"/>
      <c r="AN61" s="342"/>
      <c r="AO61" s="343"/>
      <c r="AP61" s="351"/>
      <c r="AQ61" s="351"/>
      <c r="AR61" s="351"/>
      <c r="AS61" s="351"/>
      <c r="AT61" s="351"/>
      <c r="AU61" s="351"/>
      <c r="AV61" s="351"/>
      <c r="AW61" s="351"/>
      <c r="AX61" s="351"/>
      <c r="AY61" s="9"/>
    </row>
    <row r="62" spans="2:51" ht="11.45" customHeight="1" x14ac:dyDescent="0.2">
      <c r="B62" s="7"/>
      <c r="C62" s="318"/>
      <c r="D62" s="318"/>
      <c r="E62" s="318"/>
      <c r="F62" s="318"/>
      <c r="G62" s="318"/>
      <c r="H62" s="337"/>
      <c r="I62" s="335"/>
      <c r="J62" s="335"/>
      <c r="K62" s="335"/>
      <c r="L62" s="335"/>
      <c r="M62" s="335"/>
      <c r="N62" s="336"/>
      <c r="O62" s="337"/>
      <c r="P62" s="335"/>
      <c r="Q62" s="335"/>
      <c r="R62" s="335"/>
      <c r="S62" s="335"/>
      <c r="T62" s="335"/>
      <c r="U62" s="336"/>
      <c r="V62" s="337"/>
      <c r="W62" s="335"/>
      <c r="X62" s="335"/>
      <c r="Y62" s="335"/>
      <c r="Z62" s="335"/>
      <c r="AA62" s="335"/>
      <c r="AB62" s="336"/>
      <c r="AC62" s="337"/>
      <c r="AD62" s="335"/>
      <c r="AE62" s="335"/>
      <c r="AF62" s="335"/>
      <c r="AG62" s="335"/>
      <c r="AH62" s="335"/>
      <c r="AI62" s="336"/>
      <c r="AJ62" s="341"/>
      <c r="AK62" s="342"/>
      <c r="AL62" s="342"/>
      <c r="AM62" s="342"/>
      <c r="AN62" s="342"/>
      <c r="AO62" s="343"/>
      <c r="AP62" s="351"/>
      <c r="AQ62" s="351"/>
      <c r="AR62" s="351"/>
      <c r="AS62" s="351"/>
      <c r="AT62" s="351"/>
      <c r="AU62" s="351"/>
      <c r="AV62" s="351"/>
      <c r="AW62" s="351"/>
      <c r="AX62" s="351"/>
      <c r="AY62" s="9"/>
    </row>
    <row r="63" spans="2:51" ht="11.45" customHeight="1" x14ac:dyDescent="0.2">
      <c r="B63" s="7"/>
      <c r="C63" s="318"/>
      <c r="D63" s="318"/>
      <c r="E63" s="318"/>
      <c r="F63" s="318"/>
      <c r="G63" s="318"/>
      <c r="H63" s="337"/>
      <c r="I63" s="335"/>
      <c r="J63" s="335"/>
      <c r="K63" s="335"/>
      <c r="L63" s="335"/>
      <c r="M63" s="335"/>
      <c r="N63" s="336"/>
      <c r="O63" s="337"/>
      <c r="P63" s="335"/>
      <c r="Q63" s="335"/>
      <c r="R63" s="335"/>
      <c r="S63" s="335"/>
      <c r="T63" s="335"/>
      <c r="U63" s="336"/>
      <c r="V63" s="337"/>
      <c r="W63" s="335"/>
      <c r="X63" s="335"/>
      <c r="Y63" s="335"/>
      <c r="Z63" s="335"/>
      <c r="AA63" s="335"/>
      <c r="AB63" s="336"/>
      <c r="AC63" s="337"/>
      <c r="AD63" s="335"/>
      <c r="AE63" s="335"/>
      <c r="AF63" s="335"/>
      <c r="AG63" s="335"/>
      <c r="AH63" s="335"/>
      <c r="AI63" s="336"/>
      <c r="AJ63" s="341"/>
      <c r="AK63" s="342"/>
      <c r="AL63" s="342"/>
      <c r="AM63" s="342"/>
      <c r="AN63" s="342"/>
      <c r="AO63" s="343"/>
      <c r="AP63" s="351"/>
      <c r="AQ63" s="351"/>
      <c r="AR63" s="351"/>
      <c r="AS63" s="351"/>
      <c r="AT63" s="351"/>
      <c r="AU63" s="351"/>
      <c r="AV63" s="351"/>
      <c r="AW63" s="351"/>
      <c r="AX63" s="351"/>
      <c r="AY63" s="9"/>
    </row>
    <row r="64" spans="2:51" ht="11.45" customHeight="1" x14ac:dyDescent="0.2">
      <c r="B64" s="7"/>
      <c r="C64" s="318"/>
      <c r="D64" s="318"/>
      <c r="E64" s="318"/>
      <c r="F64" s="318"/>
      <c r="G64" s="318"/>
      <c r="H64" s="337"/>
      <c r="I64" s="335"/>
      <c r="J64" s="335"/>
      <c r="K64" s="335"/>
      <c r="L64" s="335"/>
      <c r="M64" s="335"/>
      <c r="N64" s="336"/>
      <c r="O64" s="337"/>
      <c r="P64" s="335"/>
      <c r="Q64" s="335"/>
      <c r="R64" s="335"/>
      <c r="S64" s="335"/>
      <c r="T64" s="335"/>
      <c r="U64" s="336"/>
      <c r="V64" s="337"/>
      <c r="W64" s="335"/>
      <c r="X64" s="335"/>
      <c r="Y64" s="335"/>
      <c r="Z64" s="335"/>
      <c r="AA64" s="335"/>
      <c r="AB64" s="336"/>
      <c r="AC64" s="337"/>
      <c r="AD64" s="335"/>
      <c r="AE64" s="335"/>
      <c r="AF64" s="335"/>
      <c r="AG64" s="335"/>
      <c r="AH64" s="335"/>
      <c r="AI64" s="336"/>
      <c r="AJ64" s="341"/>
      <c r="AK64" s="342"/>
      <c r="AL64" s="342"/>
      <c r="AM64" s="342"/>
      <c r="AN64" s="342"/>
      <c r="AO64" s="343"/>
      <c r="AP64" s="351"/>
      <c r="AQ64" s="351"/>
      <c r="AR64" s="351"/>
      <c r="AS64" s="351"/>
      <c r="AT64" s="351"/>
      <c r="AU64" s="351"/>
      <c r="AV64" s="351"/>
      <c r="AW64" s="351"/>
      <c r="AX64" s="351"/>
      <c r="AY64" s="9"/>
    </row>
    <row r="65" spans="2:51" ht="25.5" customHeight="1" x14ac:dyDescent="0.2">
      <c r="B65" s="7"/>
      <c r="C65" s="318"/>
      <c r="D65" s="318"/>
      <c r="E65" s="318"/>
      <c r="F65" s="318"/>
      <c r="G65" s="318"/>
      <c r="H65" s="337"/>
      <c r="I65" s="335"/>
      <c r="J65" s="335"/>
      <c r="K65" s="335"/>
      <c r="L65" s="335"/>
      <c r="M65" s="335"/>
      <c r="N65" s="336"/>
      <c r="O65" s="337"/>
      <c r="P65" s="335"/>
      <c r="Q65" s="335"/>
      <c r="R65" s="335"/>
      <c r="S65" s="335"/>
      <c r="T65" s="335"/>
      <c r="U65" s="336"/>
      <c r="V65" s="337"/>
      <c r="W65" s="335"/>
      <c r="X65" s="335"/>
      <c r="Y65" s="335"/>
      <c r="Z65" s="335"/>
      <c r="AA65" s="335"/>
      <c r="AB65" s="336"/>
      <c r="AC65" s="337"/>
      <c r="AD65" s="335"/>
      <c r="AE65" s="335"/>
      <c r="AF65" s="335"/>
      <c r="AG65" s="335"/>
      <c r="AH65" s="335"/>
      <c r="AI65" s="336"/>
      <c r="AJ65" s="341"/>
      <c r="AK65" s="342"/>
      <c r="AL65" s="342"/>
      <c r="AM65" s="342"/>
      <c r="AN65" s="342"/>
      <c r="AO65" s="343"/>
      <c r="AP65" s="351"/>
      <c r="AQ65" s="351"/>
      <c r="AR65" s="351"/>
      <c r="AS65" s="351"/>
      <c r="AT65" s="351"/>
      <c r="AU65" s="351"/>
      <c r="AV65" s="351"/>
      <c r="AW65" s="351"/>
      <c r="AX65" s="351"/>
      <c r="AY65" s="9"/>
    </row>
    <row r="66" spans="2:51" ht="6.95" customHeight="1" x14ac:dyDescent="0.2">
      <c r="B66" s="7"/>
      <c r="C66" s="318"/>
      <c r="D66" s="318"/>
      <c r="E66" s="318"/>
      <c r="F66" s="318"/>
      <c r="G66" s="318"/>
      <c r="H66" s="325"/>
      <c r="I66" s="326"/>
      <c r="J66" s="326"/>
      <c r="K66" s="326"/>
      <c r="L66" s="326"/>
      <c r="M66" s="326"/>
      <c r="N66" s="327"/>
      <c r="O66" s="325"/>
      <c r="P66" s="326"/>
      <c r="Q66" s="326"/>
      <c r="R66" s="326"/>
      <c r="S66" s="326"/>
      <c r="T66" s="326"/>
      <c r="U66" s="327"/>
      <c r="V66" s="325"/>
      <c r="W66" s="326"/>
      <c r="X66" s="326"/>
      <c r="Y66" s="326"/>
      <c r="Z66" s="326"/>
      <c r="AA66" s="326"/>
      <c r="AB66" s="327"/>
      <c r="AC66" s="325"/>
      <c r="AD66" s="326"/>
      <c r="AE66" s="326"/>
      <c r="AF66" s="326"/>
      <c r="AG66" s="326"/>
      <c r="AH66" s="326"/>
      <c r="AI66" s="327"/>
      <c r="AJ66" s="341"/>
      <c r="AK66" s="342"/>
      <c r="AL66" s="342"/>
      <c r="AM66" s="342"/>
      <c r="AN66" s="342"/>
      <c r="AO66" s="343"/>
      <c r="AP66" s="351"/>
      <c r="AQ66" s="351"/>
      <c r="AR66" s="351"/>
      <c r="AS66" s="351"/>
      <c r="AT66" s="351"/>
      <c r="AU66" s="351"/>
      <c r="AV66" s="351"/>
      <c r="AW66" s="351"/>
      <c r="AX66" s="351"/>
      <c r="AY66" s="9"/>
    </row>
    <row r="67" spans="2:51" ht="6.95" customHeight="1" x14ac:dyDescent="0.2">
      <c r="B67" s="7"/>
      <c r="C67" s="318"/>
      <c r="D67" s="318"/>
      <c r="E67" s="318"/>
      <c r="F67" s="318"/>
      <c r="G67" s="318"/>
      <c r="H67" s="328"/>
      <c r="I67" s="326"/>
      <c r="J67" s="326"/>
      <c r="K67" s="326"/>
      <c r="L67" s="326"/>
      <c r="M67" s="326"/>
      <c r="N67" s="327"/>
      <c r="O67" s="328"/>
      <c r="P67" s="326"/>
      <c r="Q67" s="326"/>
      <c r="R67" s="326"/>
      <c r="S67" s="326"/>
      <c r="T67" s="326"/>
      <c r="U67" s="327"/>
      <c r="V67" s="328"/>
      <c r="W67" s="326"/>
      <c r="X67" s="326"/>
      <c r="Y67" s="326"/>
      <c r="Z67" s="326"/>
      <c r="AA67" s="326"/>
      <c r="AB67" s="327"/>
      <c r="AC67" s="328"/>
      <c r="AD67" s="326"/>
      <c r="AE67" s="326"/>
      <c r="AF67" s="326"/>
      <c r="AG67" s="326"/>
      <c r="AH67" s="326"/>
      <c r="AI67" s="327"/>
      <c r="AJ67" s="341"/>
      <c r="AK67" s="342"/>
      <c r="AL67" s="342"/>
      <c r="AM67" s="342"/>
      <c r="AN67" s="342"/>
      <c r="AO67" s="343"/>
      <c r="AP67" s="351"/>
      <c r="AQ67" s="351"/>
      <c r="AR67" s="351"/>
      <c r="AS67" s="351"/>
      <c r="AT67" s="351"/>
      <c r="AU67" s="351"/>
      <c r="AV67" s="351"/>
      <c r="AW67" s="351"/>
      <c r="AX67" s="351"/>
      <c r="AY67" s="9"/>
    </row>
    <row r="68" spans="2:51" ht="11.45" customHeight="1" x14ac:dyDescent="0.2">
      <c r="B68" s="7"/>
      <c r="C68" s="360" t="str">
        <f>IF($C$28="","","Medios de verificación")</f>
        <v>Medios de verificación</v>
      </c>
      <c r="D68" s="360"/>
      <c r="E68" s="360"/>
      <c r="F68" s="360"/>
      <c r="G68" s="360"/>
      <c r="H68" s="329" t="str">
        <f>LISTAS!AP9</f>
        <v>PCI. PAT.</v>
      </c>
      <c r="I68" s="330"/>
      <c r="J68" s="330"/>
      <c r="K68" s="330"/>
      <c r="L68" s="330"/>
      <c r="M68" s="330"/>
      <c r="N68" s="330"/>
      <c r="O68" s="329" t="str">
        <f>LISTAS!AQ9</f>
        <v>PCI. PAT.</v>
      </c>
      <c r="P68" s="330"/>
      <c r="Q68" s="330"/>
      <c r="R68" s="330"/>
      <c r="S68" s="330"/>
      <c r="T68" s="330"/>
      <c r="U68" s="330"/>
      <c r="V68" s="329" t="str">
        <f>LISTAS!AR9</f>
        <v>PCI. PAT.</v>
      </c>
      <c r="W68" s="330"/>
      <c r="X68" s="330"/>
      <c r="Y68" s="330"/>
      <c r="Z68" s="330"/>
      <c r="AA68" s="330"/>
      <c r="AB68" s="330"/>
      <c r="AC68" s="329" t="str">
        <f>LISTAS!AS9</f>
        <v>Documentos administrativos: Cartas, Oficios, Memo. Actas, Convenios, Acuerdos.</v>
      </c>
      <c r="AD68" s="330"/>
      <c r="AE68" s="330"/>
      <c r="AF68" s="330"/>
      <c r="AG68" s="330"/>
      <c r="AH68" s="330"/>
      <c r="AI68" s="330"/>
      <c r="AJ68" s="344"/>
      <c r="AK68" s="345"/>
      <c r="AL68" s="345"/>
      <c r="AM68" s="345"/>
      <c r="AN68" s="345"/>
      <c r="AO68" s="346"/>
      <c r="AP68" s="329"/>
      <c r="AQ68" s="329"/>
      <c r="AR68" s="329"/>
      <c r="AS68" s="329"/>
      <c r="AT68" s="329"/>
      <c r="AU68" s="329"/>
      <c r="AV68" s="329"/>
      <c r="AW68" s="329"/>
      <c r="AX68" s="329"/>
      <c r="AY68" s="9"/>
    </row>
    <row r="69" spans="2:51" ht="11.45" customHeight="1" x14ac:dyDescent="0.2">
      <c r="B69" s="7"/>
      <c r="C69" s="361"/>
      <c r="D69" s="361"/>
      <c r="E69" s="361"/>
      <c r="F69" s="361"/>
      <c r="G69" s="361"/>
      <c r="H69" s="331"/>
      <c r="I69" s="332"/>
      <c r="J69" s="332"/>
      <c r="K69" s="332"/>
      <c r="L69" s="332"/>
      <c r="M69" s="332"/>
      <c r="N69" s="332"/>
      <c r="O69" s="331"/>
      <c r="P69" s="332"/>
      <c r="Q69" s="332"/>
      <c r="R69" s="332"/>
      <c r="S69" s="332"/>
      <c r="T69" s="332"/>
      <c r="U69" s="332"/>
      <c r="V69" s="331"/>
      <c r="W69" s="332"/>
      <c r="X69" s="332"/>
      <c r="Y69" s="332"/>
      <c r="Z69" s="332"/>
      <c r="AA69" s="332"/>
      <c r="AB69" s="332"/>
      <c r="AC69" s="331"/>
      <c r="AD69" s="332"/>
      <c r="AE69" s="332"/>
      <c r="AF69" s="332"/>
      <c r="AG69" s="332"/>
      <c r="AH69" s="332"/>
      <c r="AI69" s="332"/>
      <c r="AJ69" s="344"/>
      <c r="AK69" s="345"/>
      <c r="AL69" s="345"/>
      <c r="AM69" s="345"/>
      <c r="AN69" s="345"/>
      <c r="AO69" s="346"/>
      <c r="AP69" s="331"/>
      <c r="AQ69" s="331"/>
      <c r="AR69" s="331"/>
      <c r="AS69" s="331"/>
      <c r="AT69" s="331"/>
      <c r="AU69" s="331"/>
      <c r="AV69" s="331"/>
      <c r="AW69" s="331"/>
      <c r="AX69" s="331"/>
      <c r="AY69" s="9"/>
    </row>
    <row r="70" spans="2:51" ht="11.45" customHeight="1" x14ac:dyDescent="0.2">
      <c r="B70" s="7"/>
      <c r="C70" s="361"/>
      <c r="D70" s="361"/>
      <c r="E70" s="361"/>
      <c r="F70" s="361"/>
      <c r="G70" s="361"/>
      <c r="H70" s="331"/>
      <c r="I70" s="332"/>
      <c r="J70" s="332"/>
      <c r="K70" s="332"/>
      <c r="L70" s="332"/>
      <c r="M70" s="332"/>
      <c r="N70" s="332"/>
      <c r="O70" s="331"/>
      <c r="P70" s="332"/>
      <c r="Q70" s="332"/>
      <c r="R70" s="332"/>
      <c r="S70" s="332"/>
      <c r="T70" s="332"/>
      <c r="U70" s="332"/>
      <c r="V70" s="331"/>
      <c r="W70" s="332"/>
      <c r="X70" s="332"/>
      <c r="Y70" s="332"/>
      <c r="Z70" s="332"/>
      <c r="AA70" s="332"/>
      <c r="AB70" s="332"/>
      <c r="AC70" s="331"/>
      <c r="AD70" s="332"/>
      <c r="AE70" s="332"/>
      <c r="AF70" s="332"/>
      <c r="AG70" s="332"/>
      <c r="AH70" s="332"/>
      <c r="AI70" s="332"/>
      <c r="AJ70" s="344"/>
      <c r="AK70" s="345"/>
      <c r="AL70" s="345"/>
      <c r="AM70" s="345"/>
      <c r="AN70" s="345"/>
      <c r="AO70" s="346"/>
      <c r="AP70" s="331"/>
      <c r="AQ70" s="331"/>
      <c r="AR70" s="331"/>
      <c r="AS70" s="331"/>
      <c r="AT70" s="331"/>
      <c r="AU70" s="331"/>
      <c r="AV70" s="331"/>
      <c r="AW70" s="331"/>
      <c r="AX70" s="331"/>
      <c r="AY70" s="9"/>
    </row>
    <row r="71" spans="2:51" ht="11.45" customHeight="1" x14ac:dyDescent="0.2">
      <c r="B71" s="7"/>
      <c r="C71" s="362"/>
      <c r="D71" s="362"/>
      <c r="E71" s="362"/>
      <c r="F71" s="362"/>
      <c r="G71" s="362"/>
      <c r="H71" s="333"/>
      <c r="I71" s="333"/>
      <c r="J71" s="333"/>
      <c r="K71" s="333"/>
      <c r="L71" s="333"/>
      <c r="M71" s="333"/>
      <c r="N71" s="333"/>
      <c r="O71" s="333"/>
      <c r="P71" s="333"/>
      <c r="Q71" s="333"/>
      <c r="R71" s="333"/>
      <c r="S71" s="333"/>
      <c r="T71" s="333"/>
      <c r="U71" s="333"/>
      <c r="V71" s="333"/>
      <c r="W71" s="333"/>
      <c r="X71" s="333"/>
      <c r="Y71" s="333"/>
      <c r="Z71" s="333"/>
      <c r="AA71" s="333"/>
      <c r="AB71" s="333"/>
      <c r="AC71" s="333"/>
      <c r="AD71" s="333"/>
      <c r="AE71" s="333"/>
      <c r="AF71" s="333"/>
      <c r="AG71" s="333"/>
      <c r="AH71" s="333"/>
      <c r="AI71" s="333"/>
      <c r="AJ71" s="347"/>
      <c r="AK71" s="348"/>
      <c r="AL71" s="348"/>
      <c r="AM71" s="348"/>
      <c r="AN71" s="348"/>
      <c r="AO71" s="349"/>
      <c r="AP71" s="352"/>
      <c r="AQ71" s="352"/>
      <c r="AR71" s="352"/>
      <c r="AS71" s="352"/>
      <c r="AT71" s="352"/>
      <c r="AU71" s="352"/>
      <c r="AV71" s="352"/>
      <c r="AW71" s="352"/>
      <c r="AX71" s="352"/>
      <c r="AY71" s="9"/>
    </row>
    <row r="72" spans="2:51" ht="7.5" customHeight="1" x14ac:dyDescent="0.2">
      <c r="B72" s="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9"/>
    </row>
    <row r="73" spans="2:51" ht="10.5" customHeight="1" x14ac:dyDescent="0.2">
      <c r="B73" s="7"/>
      <c r="C73" s="8"/>
      <c r="D73" s="358" t="str">
        <f>REPT(CHAR(73),10*(COUNTIF(H21:AI22,"*")+COUNTIF(H36:AI37,"*")+COUNTIF(H51:AI52,"*")+COUNTIF(H66:AI67,"*")))</f>
        <v/>
      </c>
      <c r="E73" s="359"/>
      <c r="F73" s="359"/>
      <c r="G73" s="359"/>
      <c r="H73" s="359"/>
      <c r="I73" s="359"/>
      <c r="J73" s="359"/>
      <c r="K73" s="359"/>
      <c r="L73" s="359"/>
      <c r="M73" s="359"/>
      <c r="N73" s="359"/>
      <c r="O73" s="359"/>
      <c r="P73" s="359"/>
      <c r="Q73" s="359"/>
      <c r="R73" s="359"/>
      <c r="S73" s="359"/>
      <c r="T73" s="359"/>
      <c r="U73" s="359"/>
      <c r="V73" s="359"/>
      <c r="W73" s="359"/>
      <c r="X73" s="359"/>
      <c r="Y73" s="359"/>
      <c r="Z73" s="359"/>
      <c r="AA73" s="359"/>
      <c r="AB73" s="359"/>
      <c r="AC73" s="359"/>
      <c r="AD73" s="155" t="str">
        <f>IF(LISTAS!D72=TRUE,"a","")</f>
        <v/>
      </c>
      <c r="AE73" s="155"/>
      <c r="AF73" s="8"/>
      <c r="AG73" s="370" t="str">
        <f>IF(LISTAS!D72=TRUE,"Anterior","")</f>
        <v/>
      </c>
      <c r="AH73" s="371"/>
      <c r="AI73" s="372"/>
      <c r="AJ73" s="372"/>
      <c r="AK73" s="373"/>
      <c r="AL73" s="8"/>
      <c r="AM73" s="363" t="str">
        <f>"Matriz"</f>
        <v>Matriz</v>
      </c>
      <c r="AN73" s="364"/>
      <c r="AO73" s="365"/>
      <c r="AP73" s="365"/>
      <c r="AQ73" s="366"/>
      <c r="AR73" s="8"/>
      <c r="AS73" s="370" t="str">
        <f>IF(LISTAS!D72=TRUE,"Siguiente","")</f>
        <v/>
      </c>
      <c r="AT73" s="371"/>
      <c r="AU73" s="372"/>
      <c r="AV73" s="372"/>
      <c r="AW73" s="373"/>
      <c r="AX73" s="8"/>
      <c r="AY73" s="9"/>
    </row>
    <row r="74" spans="2:51" ht="10.5" customHeight="1" x14ac:dyDescent="0.2">
      <c r="B74" s="7"/>
      <c r="C74" s="8"/>
      <c r="D74" s="359"/>
      <c r="E74" s="359"/>
      <c r="F74" s="359"/>
      <c r="G74" s="359"/>
      <c r="H74" s="359"/>
      <c r="I74" s="359"/>
      <c r="J74" s="359"/>
      <c r="K74" s="359"/>
      <c r="L74" s="359"/>
      <c r="M74" s="359"/>
      <c r="N74" s="359"/>
      <c r="O74" s="359"/>
      <c r="P74" s="359"/>
      <c r="Q74" s="359"/>
      <c r="R74" s="359"/>
      <c r="S74" s="359"/>
      <c r="T74" s="359"/>
      <c r="U74" s="359"/>
      <c r="V74" s="359"/>
      <c r="W74" s="359"/>
      <c r="X74" s="359"/>
      <c r="Y74" s="359"/>
      <c r="Z74" s="359"/>
      <c r="AA74" s="359"/>
      <c r="AB74" s="359"/>
      <c r="AC74" s="359"/>
      <c r="AD74" s="353"/>
      <c r="AE74" s="353"/>
      <c r="AF74" s="8"/>
      <c r="AG74" s="374"/>
      <c r="AH74" s="375"/>
      <c r="AI74" s="375"/>
      <c r="AJ74" s="375"/>
      <c r="AK74" s="376"/>
      <c r="AL74" s="8"/>
      <c r="AM74" s="367"/>
      <c r="AN74" s="368"/>
      <c r="AO74" s="368"/>
      <c r="AP74" s="368"/>
      <c r="AQ74" s="369"/>
      <c r="AR74" s="8"/>
      <c r="AS74" s="374"/>
      <c r="AT74" s="375"/>
      <c r="AU74" s="375"/>
      <c r="AV74" s="375"/>
      <c r="AW74" s="376"/>
      <c r="AX74" s="8"/>
      <c r="AY74" s="9"/>
    </row>
    <row r="75" spans="2:51" ht="3.95" customHeight="1" x14ac:dyDescent="0.2">
      <c r="B75" s="7"/>
      <c r="C75" s="8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9"/>
    </row>
    <row r="76" spans="2:51" ht="12" customHeight="1" x14ac:dyDescent="0.2">
      <c r="B76" s="7"/>
      <c r="C76" s="139" t="s">
        <v>4176</v>
      </c>
      <c r="D76" s="139"/>
      <c r="E76" s="139" t="s">
        <v>4177</v>
      </c>
      <c r="F76" s="139"/>
      <c r="G76" s="139" t="s">
        <v>4126</v>
      </c>
      <c r="H76" s="139"/>
      <c r="I76" s="139" t="s">
        <v>4178</v>
      </c>
      <c r="J76" s="139"/>
      <c r="K76" s="139" t="s">
        <v>4179</v>
      </c>
      <c r="L76" s="139"/>
      <c r="M76" s="139" t="s">
        <v>4180</v>
      </c>
      <c r="N76" s="139"/>
      <c r="O76" s="139" t="s">
        <v>4181</v>
      </c>
      <c r="P76" s="139"/>
      <c r="Q76" s="139" t="s">
        <v>4182</v>
      </c>
      <c r="R76" s="139"/>
      <c r="S76" s="139" t="s">
        <v>4183</v>
      </c>
      <c r="T76" s="139"/>
      <c r="U76" s="139" t="s">
        <v>4184</v>
      </c>
      <c r="V76" s="139"/>
      <c r="W76" s="139" t="s">
        <v>4185</v>
      </c>
      <c r="X76" s="139"/>
      <c r="Y76" s="139" t="s">
        <v>4186</v>
      </c>
      <c r="Z76" s="139"/>
      <c r="AA76" s="139" t="s">
        <v>1780</v>
      </c>
      <c r="AB76" s="139"/>
      <c r="AC76" s="139" t="s">
        <v>4187</v>
      </c>
      <c r="AD76" s="139"/>
      <c r="AE76" s="139" t="s">
        <v>1781</v>
      </c>
      <c r="AF76" s="139"/>
      <c r="AG76" s="139" t="s">
        <v>4188</v>
      </c>
      <c r="AH76" s="139"/>
      <c r="AI76" s="139" t="s">
        <v>4189</v>
      </c>
      <c r="AJ76" s="139"/>
      <c r="AK76" s="139" t="s">
        <v>4190</v>
      </c>
      <c r="AL76" s="139"/>
      <c r="AM76" s="139" t="s">
        <v>4191</v>
      </c>
      <c r="AN76" s="139"/>
      <c r="AO76" s="139" t="s">
        <v>4192</v>
      </c>
      <c r="AP76" s="139"/>
      <c r="AQ76" s="139" t="s">
        <v>4176</v>
      </c>
      <c r="AR76" s="139"/>
      <c r="AS76" s="139" t="s">
        <v>4177</v>
      </c>
      <c r="AT76" s="139"/>
      <c r="AU76" s="139" t="s">
        <v>4126</v>
      </c>
      <c r="AV76" s="139"/>
      <c r="AW76" s="139" t="s">
        <v>4178</v>
      </c>
      <c r="AX76" s="139"/>
      <c r="AY76" s="9"/>
    </row>
    <row r="77" spans="2:51" ht="12" customHeight="1" x14ac:dyDescent="0.2">
      <c r="B77" s="7"/>
      <c r="C77" s="139"/>
      <c r="D77" s="139"/>
      <c r="E77" s="139"/>
      <c r="F77" s="139"/>
      <c r="G77" s="139"/>
      <c r="H77" s="139"/>
      <c r="I77" s="139"/>
      <c r="J77" s="139"/>
      <c r="K77" s="139"/>
      <c r="L77" s="139"/>
      <c r="M77" s="139"/>
      <c r="N77" s="139"/>
      <c r="O77" s="139"/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39"/>
      <c r="AA77" s="139"/>
      <c r="AB77" s="139"/>
      <c r="AC77" s="139"/>
      <c r="AD77" s="139"/>
      <c r="AE77" s="139"/>
      <c r="AF77" s="139"/>
      <c r="AG77" s="139"/>
      <c r="AH77" s="139"/>
      <c r="AI77" s="139"/>
      <c r="AJ77" s="139"/>
      <c r="AK77" s="139"/>
      <c r="AL77" s="139"/>
      <c r="AM77" s="139"/>
      <c r="AN77" s="139"/>
      <c r="AO77" s="139"/>
      <c r="AP77" s="139"/>
      <c r="AQ77" s="139"/>
      <c r="AR77" s="139"/>
      <c r="AS77" s="139"/>
      <c r="AT77" s="139"/>
      <c r="AU77" s="139"/>
      <c r="AV77" s="139"/>
      <c r="AW77" s="139"/>
      <c r="AX77" s="139"/>
      <c r="AY77" s="9"/>
    </row>
    <row r="78" spans="2:51" ht="12" customHeight="1" x14ac:dyDescent="0.2">
      <c r="B78" s="7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9"/>
    </row>
    <row r="79" spans="2:51" ht="12" customHeight="1" x14ac:dyDescent="0.2">
      <c r="B7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79" s="11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3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5" t="str">
        <f ca="1">IF('MOD1'!$AY$49="","",'MOD1'!$AY$49)</f>
        <v>*Equipo de Gestión de la Información - EBR - Ministerio de Educación</v>
      </c>
    </row>
  </sheetData>
  <sheetProtection algorithmName="SHA-512" hashValue="XgqzeuXxq4pU9jVjxvHj/JJi3vSlNQuCdiC6Xp9b7Of0JNdNPqgZhsqDmdRptSsV3kqvlkV5m6U4XGMw2IMXng==" saltValue="WVCmmG8hmUcA242jKzyB2g==" spinCount="100000" sheet="1" objects="1" scenarios="1"/>
  <mergeCells count="106">
    <mergeCell ref="AJ58:AO71"/>
    <mergeCell ref="H66:N67"/>
    <mergeCell ref="O66:U67"/>
    <mergeCell ref="V66:AB67"/>
    <mergeCell ref="AC66:AI67"/>
    <mergeCell ref="C68:G71"/>
    <mergeCell ref="H68:N71"/>
    <mergeCell ref="O68:U71"/>
    <mergeCell ref="V68:AB71"/>
    <mergeCell ref="AC68:AI71"/>
    <mergeCell ref="C58:G67"/>
    <mergeCell ref="H58:N65"/>
    <mergeCell ref="O58:U65"/>
    <mergeCell ref="V58:AB65"/>
    <mergeCell ref="AC58:AI65"/>
    <mergeCell ref="AM76:AN77"/>
    <mergeCell ref="AO76:AP77"/>
    <mergeCell ref="AQ76:AR77"/>
    <mergeCell ref="AS76:AT77"/>
    <mergeCell ref="AU76:AV77"/>
    <mergeCell ref="AW76:AX77"/>
    <mergeCell ref="AA76:AB77"/>
    <mergeCell ref="AC76:AD77"/>
    <mergeCell ref="AE76:AF77"/>
    <mergeCell ref="AG76:AH77"/>
    <mergeCell ref="AI76:AJ77"/>
    <mergeCell ref="AK76:AL77"/>
    <mergeCell ref="O76:P77"/>
    <mergeCell ref="Q76:R77"/>
    <mergeCell ref="S76:T77"/>
    <mergeCell ref="U76:V77"/>
    <mergeCell ref="W76:X77"/>
    <mergeCell ref="Y76:Z77"/>
    <mergeCell ref="C76:D77"/>
    <mergeCell ref="E76:F77"/>
    <mergeCell ref="G76:H77"/>
    <mergeCell ref="I76:J77"/>
    <mergeCell ref="K76:L77"/>
    <mergeCell ref="M76:N77"/>
    <mergeCell ref="AD73:AE74"/>
    <mergeCell ref="D73:AC74"/>
    <mergeCell ref="AG73:AK74"/>
    <mergeCell ref="AM73:AQ74"/>
    <mergeCell ref="AS73:AW74"/>
    <mergeCell ref="C43:G52"/>
    <mergeCell ref="H43:N50"/>
    <mergeCell ref="O43:U50"/>
    <mergeCell ref="V43:AB50"/>
    <mergeCell ref="C53:G56"/>
    <mergeCell ref="H53:N56"/>
    <mergeCell ref="O53:U56"/>
    <mergeCell ref="V53:AB56"/>
    <mergeCell ref="AC53:AI56"/>
    <mergeCell ref="AP53:AX56"/>
    <mergeCell ref="AC43:AI50"/>
    <mergeCell ref="AJ43:AO56"/>
    <mergeCell ref="AP43:AX52"/>
    <mergeCell ref="H51:N52"/>
    <mergeCell ref="O51:U52"/>
    <mergeCell ref="V51:AB52"/>
    <mergeCell ref="AC51:AI52"/>
    <mergeCell ref="AP68:AX71"/>
    <mergeCell ref="AP58:AX67"/>
    <mergeCell ref="V36:AB37"/>
    <mergeCell ref="AC36:AI37"/>
    <mergeCell ref="C38:G41"/>
    <mergeCell ref="H38:N41"/>
    <mergeCell ref="O38:U41"/>
    <mergeCell ref="V38:AB41"/>
    <mergeCell ref="AC38:AI41"/>
    <mergeCell ref="AP23:AX26"/>
    <mergeCell ref="C28:G37"/>
    <mergeCell ref="H28:N35"/>
    <mergeCell ref="O28:U35"/>
    <mergeCell ref="V28:AB35"/>
    <mergeCell ref="AC28:AI35"/>
    <mergeCell ref="AJ28:AO41"/>
    <mergeCell ref="AP28:AX37"/>
    <mergeCell ref="H36:N37"/>
    <mergeCell ref="O36:U37"/>
    <mergeCell ref="AP38:AX41"/>
    <mergeCell ref="AP13:AX22"/>
    <mergeCell ref="H21:N22"/>
    <mergeCell ref="O21:U22"/>
    <mergeCell ref="V21:AB22"/>
    <mergeCell ref="AC21:AI22"/>
    <mergeCell ref="C23:G26"/>
    <mergeCell ref="H23:N26"/>
    <mergeCell ref="O23:U26"/>
    <mergeCell ref="V23:AB26"/>
    <mergeCell ref="AC23:AI26"/>
    <mergeCell ref="C13:G22"/>
    <mergeCell ref="H13:N20"/>
    <mergeCell ref="O13:U20"/>
    <mergeCell ref="V13:AB20"/>
    <mergeCell ref="AC13:AI20"/>
    <mergeCell ref="AJ13:AO26"/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</mergeCells>
  <conditionalFormatting sqref="AG73:AK74">
    <cfRule type="cellIs" dxfId="188" priority="32" operator="equal">
      <formula>""</formula>
    </cfRule>
  </conditionalFormatting>
  <conditionalFormatting sqref="AS73:AW74">
    <cfRule type="cellIs" dxfId="187" priority="31" operator="equal">
      <formula>""</formula>
    </cfRule>
  </conditionalFormatting>
  <conditionalFormatting sqref="C38:G41 H36:AI37 AP28:AX41">
    <cfRule type="expression" dxfId="186" priority="30">
      <formula>$C$38=""</formula>
    </cfRule>
  </conditionalFormatting>
  <conditionalFormatting sqref="C23:G26 H21:AI22 AP13:AX26">
    <cfRule type="expression" dxfId="185" priority="29">
      <formula>$C$13=""</formula>
    </cfRule>
  </conditionalFormatting>
  <conditionalFormatting sqref="C53:G56 H51:AI52 AP43:AX56">
    <cfRule type="expression" dxfId="184" priority="24">
      <formula>$C$38=""</formula>
    </cfRule>
  </conditionalFormatting>
  <conditionalFormatting sqref="C68:G71 H66:AI67 AP58:AX71">
    <cfRule type="expression" dxfId="183" priority="23">
      <formula>$C$38=""</formula>
    </cfRule>
  </conditionalFormatting>
  <conditionalFormatting sqref="C13:G22">
    <cfRule type="expression" dxfId="182" priority="22">
      <formula>$C$13=""</formula>
    </cfRule>
  </conditionalFormatting>
  <conditionalFormatting sqref="C28:G37">
    <cfRule type="expression" dxfId="181" priority="21">
      <formula>$C$13=""</formula>
    </cfRule>
  </conditionalFormatting>
  <conditionalFormatting sqref="C43:G52">
    <cfRule type="expression" dxfId="180" priority="20">
      <formula>$C$13=""</formula>
    </cfRule>
  </conditionalFormatting>
  <conditionalFormatting sqref="C58:G67">
    <cfRule type="expression" dxfId="179" priority="19">
      <formula>$C$13=""</formula>
    </cfRule>
  </conditionalFormatting>
  <conditionalFormatting sqref="H13:AI20">
    <cfRule type="expression" dxfId="178" priority="18">
      <formula>$C$13=""</formula>
    </cfRule>
  </conditionalFormatting>
  <conditionalFormatting sqref="H28:AI35">
    <cfRule type="expression" dxfId="177" priority="17">
      <formula>$C$13=""</formula>
    </cfRule>
  </conditionalFormatting>
  <conditionalFormatting sqref="H43:AI50">
    <cfRule type="expression" dxfId="176" priority="16">
      <formula>$C$13=""</formula>
    </cfRule>
  </conditionalFormatting>
  <conditionalFormatting sqref="H58:AI65">
    <cfRule type="expression" dxfId="175" priority="15">
      <formula>$C$13=""</formula>
    </cfRule>
  </conditionalFormatting>
  <conditionalFormatting sqref="H23:AI26">
    <cfRule type="expression" dxfId="174" priority="14">
      <formula>$C$13=""</formula>
    </cfRule>
  </conditionalFormatting>
  <conditionalFormatting sqref="H38:AI41">
    <cfRule type="expression" dxfId="173" priority="13">
      <formula>$C$13=""</formula>
    </cfRule>
  </conditionalFormatting>
  <conditionalFormatting sqref="H53:AI56">
    <cfRule type="expression" dxfId="172" priority="12">
      <formula>$C$13=""</formula>
    </cfRule>
  </conditionalFormatting>
  <conditionalFormatting sqref="H68:AI71">
    <cfRule type="expression" dxfId="171" priority="11">
      <formula>$C$13=""</formula>
    </cfRule>
  </conditionalFormatting>
  <conditionalFormatting sqref="AJ13:AO26">
    <cfRule type="expression" dxfId="170" priority="10">
      <formula>$C$13=""</formula>
    </cfRule>
  </conditionalFormatting>
  <conditionalFormatting sqref="AJ28:AO41">
    <cfRule type="expression" dxfId="169" priority="9">
      <formula>$C$13=""</formula>
    </cfRule>
  </conditionalFormatting>
  <conditionalFormatting sqref="AJ43:AO56">
    <cfRule type="expression" dxfId="168" priority="8">
      <formula>$C$13=""</formula>
    </cfRule>
  </conditionalFormatting>
  <conditionalFormatting sqref="AJ58:AO71">
    <cfRule type="expression" dxfId="167" priority="7">
      <formula>$C$13=""</formula>
    </cfRule>
  </conditionalFormatting>
  <conditionalFormatting sqref="AM73:AQ74">
    <cfRule type="cellIs" dxfId="166" priority="4" operator="equal">
      <formula>"PEAI"</formula>
    </cfRule>
  </conditionalFormatting>
  <conditionalFormatting sqref="C76:AX77">
    <cfRule type="expression" dxfId="165" priority="1">
      <formula>IF(CODE(C76)=38,1,0)</formula>
    </cfRule>
    <cfRule type="expression" dxfId="164" priority="2">
      <formula>IF(CODE(C76)=37,1,0)</formula>
    </cfRule>
    <cfRule type="expression" dxfId="163" priority="3">
      <formula>IF(OR(CODE(C76)=143,CODE(C76)=167,CODE(C76)=168,CODE(C76)=254),1,0)</formula>
    </cfRule>
  </conditionalFormatting>
  <dataValidations count="10">
    <dataValidation allowBlank="1" showInputMessage="1" showErrorMessage="1" promptTitle="Mensaje" prompt="Indicador" sqref="AJ11:AO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Hitos de aplicación del enfoque ambiental" sqref="H11:AE11 H12:M12 O12:T12 V12:AA12 AC12:AH12"/>
    <dataValidation type="list" allowBlank="1" showInputMessage="1" showErrorMessage="1" errorTitle="Mensaje de validación" error="Solo se permite datos de la lista desplegable._x000a__x000a_Intente de nuevo." promptTitle="Seleccionar" prompt="SI o NO" sqref="H21:AI22 H36:AI37 H51:AI52 H66:AI67">
      <formula1>"SI, NO"</formula1>
    </dataValidation>
    <dataValidation allowBlank="1" showInputMessage="1" showErrorMessage="1" promptTitle="Información" prompt="Medios de verificación" sqref="AP68:AX71 AP23:AX26 AP38:AX41 C23:AI26 C38:AI41 AP53:AX56 C53:AI56 C68:AI71"/>
    <dataValidation allowBlank="1" showInputMessage="1" showErrorMessage="1" promptTitle="Información" prompt="Hitos de aplicación" sqref="H43:AI50 H13:AI20 H28:AI35 H58:AI65"/>
    <dataValidation allowBlank="1" showInputMessage="1" showErrorMessage="1" promptTitle="Información" prompt="Indicador de la actividad" sqref="AJ43:AO56 AJ13:AO26 AJ28:AO41 AJ58:AO71"/>
    <dataValidation allowBlank="1" showInputMessage="1" showErrorMessage="1" promptTitle="Información" prompt="Actividad ambiental" sqref="C43:G52 C13:G22 C28:G37 C58:G67"/>
    <dataValidation allowBlank="1" showInputMessage="1" showErrorMessage="1" promptTitle="Ingrese" prompt="Describir principales aspectos que facilitaron que la IIEE llegara a este logro, así como dificultades." sqref="AP13:AX22 AP28:AX37 AP43:AX52 AP58:AX67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00FF"/>
    <pageSetUpPr fitToPage="1"/>
  </sheetPr>
  <dimension ref="A1:AY109"/>
  <sheetViews>
    <sheetView showGridLines="0" topLeftCell="A97" zoomScaleNormal="100" zoomScaleSheetLayoutView="100" workbookViewId="0">
      <selection activeCell="H81" sqref="H81:N82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15" t="s">
        <v>3658</v>
      </c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  <c r="W9" s="316"/>
      <c r="X9" s="316"/>
      <c r="Y9" s="316"/>
      <c r="Z9" s="316"/>
      <c r="AA9" s="316"/>
      <c r="AB9" s="316"/>
      <c r="AC9" s="316"/>
      <c r="AD9" s="316"/>
      <c r="AE9" s="316"/>
      <c r="AF9" s="316"/>
      <c r="AG9" s="316"/>
      <c r="AH9" s="316"/>
      <c r="AI9" s="316"/>
      <c r="AJ9" s="316"/>
      <c r="AK9" s="316"/>
      <c r="AL9" s="316"/>
      <c r="AM9" s="316"/>
      <c r="AN9" s="316"/>
      <c r="AO9" s="316"/>
      <c r="AP9" s="316"/>
      <c r="AQ9" s="316"/>
      <c r="AR9" s="316"/>
      <c r="AS9" s="316"/>
      <c r="AT9" s="316"/>
      <c r="AU9" s="316"/>
      <c r="AV9" s="316"/>
      <c r="AW9" s="316"/>
      <c r="AX9" s="316"/>
      <c r="AY9" s="9"/>
    </row>
    <row r="10" spans="1:51" ht="9" customHeight="1" x14ac:dyDescent="0.2">
      <c r="B10" s="7"/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9"/>
    </row>
    <row r="11" spans="1:51" ht="12" customHeight="1" x14ac:dyDescent="0.2">
      <c r="B11" s="7"/>
      <c r="C11" s="319" t="s">
        <v>1793</v>
      </c>
      <c r="D11" s="320"/>
      <c r="E11" s="320"/>
      <c r="F11" s="320"/>
      <c r="G11" s="320"/>
      <c r="H11" s="321" t="s">
        <v>1794</v>
      </c>
      <c r="I11" s="322"/>
      <c r="J11" s="322"/>
      <c r="K11" s="322"/>
      <c r="L11" s="322"/>
      <c r="M11" s="322"/>
      <c r="N11" s="322"/>
      <c r="O11" s="322"/>
      <c r="P11" s="322"/>
      <c r="Q11" s="322"/>
      <c r="R11" s="322"/>
      <c r="S11" s="322"/>
      <c r="T11" s="322"/>
      <c r="U11" s="322"/>
      <c r="V11" s="322"/>
      <c r="W11" s="322"/>
      <c r="X11" s="322"/>
      <c r="Y11" s="322"/>
      <c r="Z11" s="322"/>
      <c r="AA11" s="322"/>
      <c r="AB11" s="322"/>
      <c r="AC11" s="322"/>
      <c r="AD11" s="322"/>
      <c r="AE11" s="322"/>
      <c r="AF11" s="324"/>
      <c r="AG11" s="324"/>
      <c r="AH11" s="324"/>
      <c r="AI11" s="323"/>
      <c r="AJ11" s="319" t="s">
        <v>1800</v>
      </c>
      <c r="AK11" s="320"/>
      <c r="AL11" s="320"/>
      <c r="AM11" s="320"/>
      <c r="AN11" s="320"/>
      <c r="AO11" s="320"/>
      <c r="AP11" s="319" t="s">
        <v>1801</v>
      </c>
      <c r="AQ11" s="320"/>
      <c r="AR11" s="320"/>
      <c r="AS11" s="320"/>
      <c r="AT11" s="320"/>
      <c r="AU11" s="320"/>
      <c r="AV11" s="320"/>
      <c r="AW11" s="320"/>
      <c r="AX11" s="320"/>
      <c r="AY11" s="9"/>
    </row>
    <row r="12" spans="1:51" ht="9.9499999999999993" customHeight="1" x14ac:dyDescent="0.2">
      <c r="B12" s="7"/>
      <c r="C12" s="320"/>
      <c r="D12" s="320"/>
      <c r="E12" s="320"/>
      <c r="F12" s="320"/>
      <c r="G12" s="320"/>
      <c r="H12" s="321" t="s">
        <v>1795</v>
      </c>
      <c r="I12" s="322"/>
      <c r="J12" s="322"/>
      <c r="K12" s="322"/>
      <c r="L12" s="322"/>
      <c r="M12" s="322"/>
      <c r="N12" s="323"/>
      <c r="O12" s="321" t="s">
        <v>1796</v>
      </c>
      <c r="P12" s="322"/>
      <c r="Q12" s="322"/>
      <c r="R12" s="322"/>
      <c r="S12" s="322"/>
      <c r="T12" s="322"/>
      <c r="U12" s="323"/>
      <c r="V12" s="321" t="s">
        <v>1797</v>
      </c>
      <c r="W12" s="322"/>
      <c r="X12" s="322"/>
      <c r="Y12" s="322"/>
      <c r="Z12" s="322"/>
      <c r="AA12" s="322"/>
      <c r="AB12" s="323"/>
      <c r="AC12" s="321" t="s">
        <v>1798</v>
      </c>
      <c r="AD12" s="322"/>
      <c r="AE12" s="322"/>
      <c r="AF12" s="322"/>
      <c r="AG12" s="322"/>
      <c r="AH12" s="322"/>
      <c r="AI12" s="323"/>
      <c r="AJ12" s="320"/>
      <c r="AK12" s="320"/>
      <c r="AL12" s="320"/>
      <c r="AM12" s="320"/>
      <c r="AN12" s="320"/>
      <c r="AO12" s="320"/>
      <c r="AP12" s="320"/>
      <c r="AQ12" s="320"/>
      <c r="AR12" s="320"/>
      <c r="AS12" s="320"/>
      <c r="AT12" s="320"/>
      <c r="AU12" s="320"/>
      <c r="AV12" s="320"/>
      <c r="AW12" s="320"/>
      <c r="AX12" s="320"/>
      <c r="AY12" s="9"/>
    </row>
    <row r="13" spans="1:51" ht="11.45" customHeight="1" x14ac:dyDescent="0.2">
      <c r="B13" s="7"/>
      <c r="C13" s="317" t="str">
        <f>LISTAS!AJ10</f>
        <v>9. La I.E. Implementó el Plan de Salud Escolar en la I.E.</v>
      </c>
      <c r="D13" s="318"/>
      <c r="E13" s="318"/>
      <c r="F13" s="318"/>
      <c r="G13" s="318"/>
      <c r="H13" s="334" t="str">
        <f>LISTAS!AK10</f>
        <v>La I.E. ha incluido las actividades del Plan de Salud Escolar en el PAT.</v>
      </c>
      <c r="I13" s="335"/>
      <c r="J13" s="335"/>
      <c r="K13" s="335"/>
      <c r="L13" s="335"/>
      <c r="M13" s="335"/>
      <c r="N13" s="336"/>
      <c r="O13" s="334" t="str">
        <f>LISTAS!AL10</f>
        <v>La I.E. entregó al establecimiento de Salud los Consentimientos Informados firmados del Plan de Salud Escolar que fueron entregados a los padres de familia.</v>
      </c>
      <c r="P13" s="335"/>
      <c r="Q13" s="335"/>
      <c r="R13" s="335"/>
      <c r="S13" s="335"/>
      <c r="T13" s="335"/>
      <c r="U13" s="336"/>
      <c r="V13" s="334" t="str">
        <f>LISTAS!AM10</f>
        <v>La I.E. preparó los espacios para las actividades del Plan de Salud Escolar.</v>
      </c>
      <c r="W13" s="335"/>
      <c r="X13" s="335"/>
      <c r="Y13" s="335"/>
      <c r="Z13" s="335"/>
      <c r="AA13" s="335"/>
      <c r="AB13" s="336"/>
      <c r="AC13" s="334" t="str">
        <f>LISTAS!AN10</f>
        <v>La I.E. estableció con el Establecimiento de Salud de su ámbito el cronograma de las actividades del Plan de Salud Escolar.</v>
      </c>
      <c r="AD13" s="335"/>
      <c r="AE13" s="335"/>
      <c r="AF13" s="335"/>
      <c r="AG13" s="335"/>
      <c r="AH13" s="335"/>
      <c r="AI13" s="336"/>
      <c r="AJ13" s="338" t="str">
        <f>LISTAS!AO10</f>
        <v>N° de hitos de aplicación del enfoque ambiental puestos en práctica en la implementación del Plan de salud escolar o del Plan de Salud de la  I.E.</v>
      </c>
      <c r="AK13" s="339"/>
      <c r="AL13" s="339"/>
      <c r="AM13" s="339"/>
      <c r="AN13" s="339"/>
      <c r="AO13" s="340"/>
      <c r="AP13" s="350"/>
      <c r="AQ13" s="351"/>
      <c r="AR13" s="351"/>
      <c r="AS13" s="351"/>
      <c r="AT13" s="351"/>
      <c r="AU13" s="351"/>
      <c r="AV13" s="351"/>
      <c r="AW13" s="351"/>
      <c r="AX13" s="351"/>
      <c r="AY13" s="9"/>
    </row>
    <row r="14" spans="1:51" ht="11.45" customHeight="1" x14ac:dyDescent="0.2">
      <c r="B14" s="7"/>
      <c r="C14" s="318"/>
      <c r="D14" s="318"/>
      <c r="E14" s="318"/>
      <c r="F14" s="318"/>
      <c r="G14" s="318"/>
      <c r="H14" s="337"/>
      <c r="I14" s="335"/>
      <c r="J14" s="335"/>
      <c r="K14" s="335"/>
      <c r="L14" s="335"/>
      <c r="M14" s="335"/>
      <c r="N14" s="336"/>
      <c r="O14" s="337"/>
      <c r="P14" s="335"/>
      <c r="Q14" s="335"/>
      <c r="R14" s="335"/>
      <c r="S14" s="335"/>
      <c r="T14" s="335"/>
      <c r="U14" s="336"/>
      <c r="V14" s="337"/>
      <c r="W14" s="335"/>
      <c r="X14" s="335"/>
      <c r="Y14" s="335"/>
      <c r="Z14" s="335"/>
      <c r="AA14" s="335"/>
      <c r="AB14" s="336"/>
      <c r="AC14" s="337"/>
      <c r="AD14" s="335"/>
      <c r="AE14" s="335"/>
      <c r="AF14" s="335"/>
      <c r="AG14" s="335"/>
      <c r="AH14" s="335"/>
      <c r="AI14" s="336"/>
      <c r="AJ14" s="341"/>
      <c r="AK14" s="342"/>
      <c r="AL14" s="342"/>
      <c r="AM14" s="342"/>
      <c r="AN14" s="342"/>
      <c r="AO14" s="343"/>
      <c r="AP14" s="351"/>
      <c r="AQ14" s="351"/>
      <c r="AR14" s="351"/>
      <c r="AS14" s="351"/>
      <c r="AT14" s="351"/>
      <c r="AU14" s="351"/>
      <c r="AV14" s="351"/>
      <c r="AW14" s="351"/>
      <c r="AX14" s="351"/>
      <c r="AY14" s="9"/>
    </row>
    <row r="15" spans="1:51" ht="11.45" customHeight="1" x14ac:dyDescent="0.2">
      <c r="B15" s="7"/>
      <c r="C15" s="318"/>
      <c r="D15" s="318"/>
      <c r="E15" s="318"/>
      <c r="F15" s="318"/>
      <c r="G15" s="318"/>
      <c r="H15" s="337"/>
      <c r="I15" s="335"/>
      <c r="J15" s="335"/>
      <c r="K15" s="335"/>
      <c r="L15" s="335"/>
      <c r="M15" s="335"/>
      <c r="N15" s="336"/>
      <c r="O15" s="337"/>
      <c r="P15" s="335"/>
      <c r="Q15" s="335"/>
      <c r="R15" s="335"/>
      <c r="S15" s="335"/>
      <c r="T15" s="335"/>
      <c r="U15" s="336"/>
      <c r="V15" s="337"/>
      <c r="W15" s="335"/>
      <c r="X15" s="335"/>
      <c r="Y15" s="335"/>
      <c r="Z15" s="335"/>
      <c r="AA15" s="335"/>
      <c r="AB15" s="336"/>
      <c r="AC15" s="337"/>
      <c r="AD15" s="335"/>
      <c r="AE15" s="335"/>
      <c r="AF15" s="335"/>
      <c r="AG15" s="335"/>
      <c r="AH15" s="335"/>
      <c r="AI15" s="336"/>
      <c r="AJ15" s="341"/>
      <c r="AK15" s="342"/>
      <c r="AL15" s="342"/>
      <c r="AM15" s="342"/>
      <c r="AN15" s="342"/>
      <c r="AO15" s="343"/>
      <c r="AP15" s="351"/>
      <c r="AQ15" s="351"/>
      <c r="AR15" s="351"/>
      <c r="AS15" s="351"/>
      <c r="AT15" s="351"/>
      <c r="AU15" s="351"/>
      <c r="AV15" s="351"/>
      <c r="AW15" s="351"/>
      <c r="AX15" s="351"/>
      <c r="AY15" s="9"/>
    </row>
    <row r="16" spans="1:51" ht="11.45" customHeight="1" x14ac:dyDescent="0.2">
      <c r="B16" s="7"/>
      <c r="C16" s="318"/>
      <c r="D16" s="318"/>
      <c r="E16" s="318"/>
      <c r="F16" s="318"/>
      <c r="G16" s="318"/>
      <c r="H16" s="337"/>
      <c r="I16" s="335"/>
      <c r="J16" s="335"/>
      <c r="K16" s="335"/>
      <c r="L16" s="335"/>
      <c r="M16" s="335"/>
      <c r="N16" s="336"/>
      <c r="O16" s="337"/>
      <c r="P16" s="335"/>
      <c r="Q16" s="335"/>
      <c r="R16" s="335"/>
      <c r="S16" s="335"/>
      <c r="T16" s="335"/>
      <c r="U16" s="336"/>
      <c r="V16" s="337"/>
      <c r="W16" s="335"/>
      <c r="X16" s="335"/>
      <c r="Y16" s="335"/>
      <c r="Z16" s="335"/>
      <c r="AA16" s="335"/>
      <c r="AB16" s="336"/>
      <c r="AC16" s="337"/>
      <c r="AD16" s="335"/>
      <c r="AE16" s="335"/>
      <c r="AF16" s="335"/>
      <c r="AG16" s="335"/>
      <c r="AH16" s="335"/>
      <c r="AI16" s="336"/>
      <c r="AJ16" s="341"/>
      <c r="AK16" s="342"/>
      <c r="AL16" s="342"/>
      <c r="AM16" s="342"/>
      <c r="AN16" s="342"/>
      <c r="AO16" s="343"/>
      <c r="AP16" s="351"/>
      <c r="AQ16" s="351"/>
      <c r="AR16" s="351"/>
      <c r="AS16" s="351"/>
      <c r="AT16" s="351"/>
      <c r="AU16" s="351"/>
      <c r="AV16" s="351"/>
      <c r="AW16" s="351"/>
      <c r="AX16" s="351"/>
      <c r="AY16" s="9"/>
    </row>
    <row r="17" spans="2:51" ht="11.45" customHeight="1" x14ac:dyDescent="0.2">
      <c r="B17" s="7"/>
      <c r="C17" s="318"/>
      <c r="D17" s="318"/>
      <c r="E17" s="318"/>
      <c r="F17" s="318"/>
      <c r="G17" s="318"/>
      <c r="H17" s="337"/>
      <c r="I17" s="335"/>
      <c r="J17" s="335"/>
      <c r="K17" s="335"/>
      <c r="L17" s="335"/>
      <c r="M17" s="335"/>
      <c r="N17" s="336"/>
      <c r="O17" s="337"/>
      <c r="P17" s="335"/>
      <c r="Q17" s="335"/>
      <c r="R17" s="335"/>
      <c r="S17" s="335"/>
      <c r="T17" s="335"/>
      <c r="U17" s="336"/>
      <c r="V17" s="337"/>
      <c r="W17" s="335"/>
      <c r="X17" s="335"/>
      <c r="Y17" s="335"/>
      <c r="Z17" s="335"/>
      <c r="AA17" s="335"/>
      <c r="AB17" s="336"/>
      <c r="AC17" s="337"/>
      <c r="AD17" s="335"/>
      <c r="AE17" s="335"/>
      <c r="AF17" s="335"/>
      <c r="AG17" s="335"/>
      <c r="AH17" s="335"/>
      <c r="AI17" s="336"/>
      <c r="AJ17" s="341"/>
      <c r="AK17" s="342"/>
      <c r="AL17" s="342"/>
      <c r="AM17" s="342"/>
      <c r="AN17" s="342"/>
      <c r="AO17" s="343"/>
      <c r="AP17" s="351"/>
      <c r="AQ17" s="351"/>
      <c r="AR17" s="351"/>
      <c r="AS17" s="351"/>
      <c r="AT17" s="351"/>
      <c r="AU17" s="351"/>
      <c r="AV17" s="351"/>
      <c r="AW17" s="351"/>
      <c r="AX17" s="351"/>
      <c r="AY17" s="9"/>
    </row>
    <row r="18" spans="2:51" ht="11.45" customHeight="1" x14ac:dyDescent="0.2">
      <c r="B18" s="7"/>
      <c r="C18" s="318"/>
      <c r="D18" s="318"/>
      <c r="E18" s="318"/>
      <c r="F18" s="318"/>
      <c r="G18" s="318"/>
      <c r="H18" s="337"/>
      <c r="I18" s="335"/>
      <c r="J18" s="335"/>
      <c r="K18" s="335"/>
      <c r="L18" s="335"/>
      <c r="M18" s="335"/>
      <c r="N18" s="336"/>
      <c r="O18" s="337"/>
      <c r="P18" s="335"/>
      <c r="Q18" s="335"/>
      <c r="R18" s="335"/>
      <c r="S18" s="335"/>
      <c r="T18" s="335"/>
      <c r="U18" s="336"/>
      <c r="V18" s="337"/>
      <c r="W18" s="335"/>
      <c r="X18" s="335"/>
      <c r="Y18" s="335"/>
      <c r="Z18" s="335"/>
      <c r="AA18" s="335"/>
      <c r="AB18" s="336"/>
      <c r="AC18" s="337"/>
      <c r="AD18" s="335"/>
      <c r="AE18" s="335"/>
      <c r="AF18" s="335"/>
      <c r="AG18" s="335"/>
      <c r="AH18" s="335"/>
      <c r="AI18" s="336"/>
      <c r="AJ18" s="341"/>
      <c r="AK18" s="342"/>
      <c r="AL18" s="342"/>
      <c r="AM18" s="342"/>
      <c r="AN18" s="342"/>
      <c r="AO18" s="343"/>
      <c r="AP18" s="351"/>
      <c r="AQ18" s="351"/>
      <c r="AR18" s="351"/>
      <c r="AS18" s="351"/>
      <c r="AT18" s="351"/>
      <c r="AU18" s="351"/>
      <c r="AV18" s="351"/>
      <c r="AW18" s="351"/>
      <c r="AX18" s="351"/>
      <c r="AY18" s="9"/>
    </row>
    <row r="19" spans="2:51" ht="11.45" customHeight="1" x14ac:dyDescent="0.2">
      <c r="B19" s="7"/>
      <c r="C19" s="318"/>
      <c r="D19" s="318"/>
      <c r="E19" s="318"/>
      <c r="F19" s="318"/>
      <c r="G19" s="318"/>
      <c r="H19" s="337"/>
      <c r="I19" s="335"/>
      <c r="J19" s="335"/>
      <c r="K19" s="335"/>
      <c r="L19" s="335"/>
      <c r="M19" s="335"/>
      <c r="N19" s="336"/>
      <c r="O19" s="337"/>
      <c r="P19" s="335"/>
      <c r="Q19" s="335"/>
      <c r="R19" s="335"/>
      <c r="S19" s="335"/>
      <c r="T19" s="335"/>
      <c r="U19" s="336"/>
      <c r="V19" s="337"/>
      <c r="W19" s="335"/>
      <c r="X19" s="335"/>
      <c r="Y19" s="335"/>
      <c r="Z19" s="335"/>
      <c r="AA19" s="335"/>
      <c r="AB19" s="336"/>
      <c r="AC19" s="337"/>
      <c r="AD19" s="335"/>
      <c r="AE19" s="335"/>
      <c r="AF19" s="335"/>
      <c r="AG19" s="335"/>
      <c r="AH19" s="335"/>
      <c r="AI19" s="336"/>
      <c r="AJ19" s="341"/>
      <c r="AK19" s="342"/>
      <c r="AL19" s="342"/>
      <c r="AM19" s="342"/>
      <c r="AN19" s="342"/>
      <c r="AO19" s="343"/>
      <c r="AP19" s="351"/>
      <c r="AQ19" s="351"/>
      <c r="AR19" s="351"/>
      <c r="AS19" s="351"/>
      <c r="AT19" s="351"/>
      <c r="AU19" s="351"/>
      <c r="AV19" s="351"/>
      <c r="AW19" s="351"/>
      <c r="AX19" s="351"/>
      <c r="AY19" s="9"/>
    </row>
    <row r="20" spans="2:51" ht="25.5" customHeight="1" x14ac:dyDescent="0.2">
      <c r="B20" s="7"/>
      <c r="C20" s="318"/>
      <c r="D20" s="318"/>
      <c r="E20" s="318"/>
      <c r="F20" s="318"/>
      <c r="G20" s="318"/>
      <c r="H20" s="337"/>
      <c r="I20" s="335"/>
      <c r="J20" s="335"/>
      <c r="K20" s="335"/>
      <c r="L20" s="335"/>
      <c r="M20" s="335"/>
      <c r="N20" s="336"/>
      <c r="O20" s="337"/>
      <c r="P20" s="335"/>
      <c r="Q20" s="335"/>
      <c r="R20" s="335"/>
      <c r="S20" s="335"/>
      <c r="T20" s="335"/>
      <c r="U20" s="336"/>
      <c r="V20" s="337"/>
      <c r="W20" s="335"/>
      <c r="X20" s="335"/>
      <c r="Y20" s="335"/>
      <c r="Z20" s="335"/>
      <c r="AA20" s="335"/>
      <c r="AB20" s="336"/>
      <c r="AC20" s="337"/>
      <c r="AD20" s="335"/>
      <c r="AE20" s="335"/>
      <c r="AF20" s="335"/>
      <c r="AG20" s="335"/>
      <c r="AH20" s="335"/>
      <c r="AI20" s="336"/>
      <c r="AJ20" s="341"/>
      <c r="AK20" s="342"/>
      <c r="AL20" s="342"/>
      <c r="AM20" s="342"/>
      <c r="AN20" s="342"/>
      <c r="AO20" s="343"/>
      <c r="AP20" s="351"/>
      <c r="AQ20" s="351"/>
      <c r="AR20" s="351"/>
      <c r="AS20" s="351"/>
      <c r="AT20" s="351"/>
      <c r="AU20" s="351"/>
      <c r="AV20" s="351"/>
      <c r="AW20" s="351"/>
      <c r="AX20" s="351"/>
      <c r="AY20" s="9"/>
    </row>
    <row r="21" spans="2:51" ht="6.95" customHeight="1" x14ac:dyDescent="0.2">
      <c r="B21" s="7"/>
      <c r="C21" s="318"/>
      <c r="D21" s="318"/>
      <c r="E21" s="318"/>
      <c r="F21" s="318"/>
      <c r="G21" s="318"/>
      <c r="H21" s="325"/>
      <c r="I21" s="326"/>
      <c r="J21" s="326"/>
      <c r="K21" s="326"/>
      <c r="L21" s="326"/>
      <c r="M21" s="326"/>
      <c r="N21" s="327"/>
      <c r="O21" s="325"/>
      <c r="P21" s="326"/>
      <c r="Q21" s="326"/>
      <c r="R21" s="326"/>
      <c r="S21" s="326"/>
      <c r="T21" s="326"/>
      <c r="U21" s="327"/>
      <c r="V21" s="325"/>
      <c r="W21" s="326"/>
      <c r="X21" s="326"/>
      <c r="Y21" s="326"/>
      <c r="Z21" s="326"/>
      <c r="AA21" s="326"/>
      <c r="AB21" s="327"/>
      <c r="AC21" s="325"/>
      <c r="AD21" s="326"/>
      <c r="AE21" s="326"/>
      <c r="AF21" s="326"/>
      <c r="AG21" s="326"/>
      <c r="AH21" s="326"/>
      <c r="AI21" s="327"/>
      <c r="AJ21" s="341"/>
      <c r="AK21" s="342"/>
      <c r="AL21" s="342"/>
      <c r="AM21" s="342"/>
      <c r="AN21" s="342"/>
      <c r="AO21" s="343"/>
      <c r="AP21" s="351"/>
      <c r="AQ21" s="351"/>
      <c r="AR21" s="351"/>
      <c r="AS21" s="351"/>
      <c r="AT21" s="351"/>
      <c r="AU21" s="351"/>
      <c r="AV21" s="351"/>
      <c r="AW21" s="351"/>
      <c r="AX21" s="351"/>
      <c r="AY21" s="9"/>
    </row>
    <row r="22" spans="2:51" ht="6.95" customHeight="1" x14ac:dyDescent="0.2">
      <c r="B22" s="7"/>
      <c r="C22" s="318"/>
      <c r="D22" s="318"/>
      <c r="E22" s="318"/>
      <c r="F22" s="318"/>
      <c r="G22" s="318"/>
      <c r="H22" s="328"/>
      <c r="I22" s="326"/>
      <c r="J22" s="326"/>
      <c r="K22" s="326"/>
      <c r="L22" s="326"/>
      <c r="M22" s="326"/>
      <c r="N22" s="327"/>
      <c r="O22" s="328"/>
      <c r="P22" s="326"/>
      <c r="Q22" s="326"/>
      <c r="R22" s="326"/>
      <c r="S22" s="326"/>
      <c r="T22" s="326"/>
      <c r="U22" s="327"/>
      <c r="V22" s="328"/>
      <c r="W22" s="326"/>
      <c r="X22" s="326"/>
      <c r="Y22" s="326"/>
      <c r="Z22" s="326"/>
      <c r="AA22" s="326"/>
      <c r="AB22" s="327"/>
      <c r="AC22" s="328"/>
      <c r="AD22" s="326"/>
      <c r="AE22" s="326"/>
      <c r="AF22" s="326"/>
      <c r="AG22" s="326"/>
      <c r="AH22" s="326"/>
      <c r="AI22" s="327"/>
      <c r="AJ22" s="341"/>
      <c r="AK22" s="342"/>
      <c r="AL22" s="342"/>
      <c r="AM22" s="342"/>
      <c r="AN22" s="342"/>
      <c r="AO22" s="343"/>
      <c r="AP22" s="351"/>
      <c r="AQ22" s="351"/>
      <c r="AR22" s="351"/>
      <c r="AS22" s="351"/>
      <c r="AT22" s="351"/>
      <c r="AU22" s="351"/>
      <c r="AV22" s="351"/>
      <c r="AW22" s="351"/>
      <c r="AX22" s="351"/>
      <c r="AY22" s="9"/>
    </row>
    <row r="23" spans="2:51" ht="11.45" customHeight="1" x14ac:dyDescent="0.2">
      <c r="B23" s="7"/>
      <c r="C23" s="360" t="str">
        <f>IF($C$13="","","Medios de verificación")</f>
        <v>Medios de verificación</v>
      </c>
      <c r="D23" s="360"/>
      <c r="E23" s="360"/>
      <c r="F23" s="360"/>
      <c r="G23" s="360"/>
      <c r="H23" s="329" t="str">
        <f>LISTAS!AP10</f>
        <v>Plan de Salud Escolar. PAT.</v>
      </c>
      <c r="I23" s="330"/>
      <c r="J23" s="330"/>
      <c r="K23" s="330"/>
      <c r="L23" s="330"/>
      <c r="M23" s="330"/>
      <c r="N23" s="330"/>
      <c r="O23" s="329" t="str">
        <f>LISTAS!AQ10</f>
        <v>Cargo de entrega. Consentimientos informados firmados.</v>
      </c>
      <c r="P23" s="330"/>
      <c r="Q23" s="330"/>
      <c r="R23" s="330"/>
      <c r="S23" s="330"/>
      <c r="T23" s="330"/>
      <c r="U23" s="330"/>
      <c r="V23" s="329" t="str">
        <f>LISTAS!AR10</f>
        <v>PAT.</v>
      </c>
      <c r="W23" s="330"/>
      <c r="X23" s="330"/>
      <c r="Y23" s="330"/>
      <c r="Z23" s="330"/>
      <c r="AA23" s="330"/>
      <c r="AB23" s="330"/>
      <c r="AC23" s="329" t="str">
        <f>LISTAS!AS10</f>
        <v>Documentos administrativos: Cartas, Oficios, Memo. Actas, Convenios, Acuerdos.</v>
      </c>
      <c r="AD23" s="330"/>
      <c r="AE23" s="330"/>
      <c r="AF23" s="330"/>
      <c r="AG23" s="330"/>
      <c r="AH23" s="330"/>
      <c r="AI23" s="330"/>
      <c r="AJ23" s="344"/>
      <c r="AK23" s="345"/>
      <c r="AL23" s="345"/>
      <c r="AM23" s="345"/>
      <c r="AN23" s="345"/>
      <c r="AO23" s="346"/>
      <c r="AP23" s="329"/>
      <c r="AQ23" s="329"/>
      <c r="AR23" s="329"/>
      <c r="AS23" s="329"/>
      <c r="AT23" s="329"/>
      <c r="AU23" s="329"/>
      <c r="AV23" s="329"/>
      <c r="AW23" s="329"/>
      <c r="AX23" s="329"/>
      <c r="AY23" s="9"/>
    </row>
    <row r="24" spans="2:51" ht="11.45" customHeight="1" x14ac:dyDescent="0.2">
      <c r="B24" s="7"/>
      <c r="C24" s="361"/>
      <c r="D24" s="361"/>
      <c r="E24" s="361"/>
      <c r="F24" s="361"/>
      <c r="G24" s="361"/>
      <c r="H24" s="331"/>
      <c r="I24" s="332"/>
      <c r="J24" s="332"/>
      <c r="K24" s="332"/>
      <c r="L24" s="332"/>
      <c r="M24" s="332"/>
      <c r="N24" s="332"/>
      <c r="O24" s="331"/>
      <c r="P24" s="332"/>
      <c r="Q24" s="332"/>
      <c r="R24" s="332"/>
      <c r="S24" s="332"/>
      <c r="T24" s="332"/>
      <c r="U24" s="332"/>
      <c r="V24" s="331"/>
      <c r="W24" s="332"/>
      <c r="X24" s="332"/>
      <c r="Y24" s="332"/>
      <c r="Z24" s="332"/>
      <c r="AA24" s="332"/>
      <c r="AB24" s="332"/>
      <c r="AC24" s="331"/>
      <c r="AD24" s="332"/>
      <c r="AE24" s="332"/>
      <c r="AF24" s="332"/>
      <c r="AG24" s="332"/>
      <c r="AH24" s="332"/>
      <c r="AI24" s="332"/>
      <c r="AJ24" s="344"/>
      <c r="AK24" s="345"/>
      <c r="AL24" s="345"/>
      <c r="AM24" s="345"/>
      <c r="AN24" s="345"/>
      <c r="AO24" s="346"/>
      <c r="AP24" s="331"/>
      <c r="AQ24" s="331"/>
      <c r="AR24" s="331"/>
      <c r="AS24" s="331"/>
      <c r="AT24" s="331"/>
      <c r="AU24" s="331"/>
      <c r="AV24" s="331"/>
      <c r="AW24" s="331"/>
      <c r="AX24" s="331"/>
      <c r="AY24" s="9"/>
    </row>
    <row r="25" spans="2:51" ht="11.45" customHeight="1" x14ac:dyDescent="0.2">
      <c r="B25" s="7"/>
      <c r="C25" s="361"/>
      <c r="D25" s="361"/>
      <c r="E25" s="361"/>
      <c r="F25" s="361"/>
      <c r="G25" s="361"/>
      <c r="H25" s="331"/>
      <c r="I25" s="332"/>
      <c r="J25" s="332"/>
      <c r="K25" s="332"/>
      <c r="L25" s="332"/>
      <c r="M25" s="332"/>
      <c r="N25" s="332"/>
      <c r="O25" s="331"/>
      <c r="P25" s="332"/>
      <c r="Q25" s="332"/>
      <c r="R25" s="332"/>
      <c r="S25" s="332"/>
      <c r="T25" s="332"/>
      <c r="U25" s="332"/>
      <c r="V25" s="331"/>
      <c r="W25" s="332"/>
      <c r="X25" s="332"/>
      <c r="Y25" s="332"/>
      <c r="Z25" s="332"/>
      <c r="AA25" s="332"/>
      <c r="AB25" s="332"/>
      <c r="AC25" s="331"/>
      <c r="AD25" s="332"/>
      <c r="AE25" s="332"/>
      <c r="AF25" s="332"/>
      <c r="AG25" s="332"/>
      <c r="AH25" s="332"/>
      <c r="AI25" s="332"/>
      <c r="AJ25" s="344"/>
      <c r="AK25" s="345"/>
      <c r="AL25" s="345"/>
      <c r="AM25" s="345"/>
      <c r="AN25" s="345"/>
      <c r="AO25" s="346"/>
      <c r="AP25" s="331"/>
      <c r="AQ25" s="331"/>
      <c r="AR25" s="331"/>
      <c r="AS25" s="331"/>
      <c r="AT25" s="331"/>
      <c r="AU25" s="331"/>
      <c r="AV25" s="331"/>
      <c r="AW25" s="331"/>
      <c r="AX25" s="331"/>
      <c r="AY25" s="9"/>
    </row>
    <row r="26" spans="2:51" ht="11.45" customHeight="1" x14ac:dyDescent="0.2">
      <c r="B26" s="7"/>
      <c r="C26" s="362"/>
      <c r="D26" s="362"/>
      <c r="E26" s="362"/>
      <c r="F26" s="362"/>
      <c r="G26" s="362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3"/>
      <c r="AC26" s="333"/>
      <c r="AD26" s="333"/>
      <c r="AE26" s="333"/>
      <c r="AF26" s="333"/>
      <c r="AG26" s="333"/>
      <c r="AH26" s="333"/>
      <c r="AI26" s="333"/>
      <c r="AJ26" s="347"/>
      <c r="AK26" s="348"/>
      <c r="AL26" s="348"/>
      <c r="AM26" s="348"/>
      <c r="AN26" s="348"/>
      <c r="AO26" s="349"/>
      <c r="AP26" s="352"/>
      <c r="AQ26" s="352"/>
      <c r="AR26" s="352"/>
      <c r="AS26" s="352"/>
      <c r="AT26" s="352"/>
      <c r="AU26" s="352"/>
      <c r="AV26" s="352"/>
      <c r="AW26" s="352"/>
      <c r="AX26" s="352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317" t="str">
        <f>LISTAS!AJ11</f>
        <v>10. La I.E. implementa el servicio de alimentación provisto por Qali Warma.</v>
      </c>
      <c r="D28" s="318"/>
      <c r="E28" s="318"/>
      <c r="F28" s="318"/>
      <c r="G28" s="318"/>
      <c r="H28" s="334" t="str">
        <f>LISTAS!AK11</f>
        <v>La I.E. ha incluido las actividades de Qali Warma en el PAT.</v>
      </c>
      <c r="I28" s="335"/>
      <c r="J28" s="335"/>
      <c r="K28" s="335"/>
      <c r="L28" s="335"/>
      <c r="M28" s="335"/>
      <c r="N28" s="336"/>
      <c r="O28" s="334" t="str">
        <f>LISTAS!AL11</f>
        <v>El Comité de Alimentación Escolar (CAE) está conformado y todos sus miembros han sido capacitados.</v>
      </c>
      <c r="P28" s="335"/>
      <c r="Q28" s="335"/>
      <c r="R28" s="335"/>
      <c r="S28" s="335"/>
      <c r="T28" s="335"/>
      <c r="U28" s="336"/>
      <c r="V28" s="334" t="str">
        <f>LISTAS!AM11</f>
        <v>El CAE coordinó con el proveedor del servicio alimentario las fechas y horarios de entrega de alimentos a la IE.</v>
      </c>
      <c r="W28" s="335"/>
      <c r="X28" s="335"/>
      <c r="Y28" s="335"/>
      <c r="Z28" s="335"/>
      <c r="AA28" s="335"/>
      <c r="AB28" s="336"/>
      <c r="AC28" s="334" t="str">
        <f>LISTAS!AN11</f>
        <v>El CAE organizó los turnos y roles en la IE para la recepción, preparación y servido de los alimentos.</v>
      </c>
      <c r="AD28" s="335"/>
      <c r="AE28" s="335"/>
      <c r="AF28" s="335"/>
      <c r="AG28" s="335"/>
      <c r="AH28" s="335"/>
      <c r="AI28" s="336"/>
      <c r="AJ28" s="338" t="str">
        <f>LISTAS!AO11</f>
        <v>N° de hitos de aplicación del enfoque ambiental puestos en práctica para la provisión del servicio de alimentación de Qali Warma.</v>
      </c>
      <c r="AK28" s="339"/>
      <c r="AL28" s="339"/>
      <c r="AM28" s="339"/>
      <c r="AN28" s="339"/>
      <c r="AO28" s="340"/>
      <c r="AP28" s="350"/>
      <c r="AQ28" s="351"/>
      <c r="AR28" s="351"/>
      <c r="AS28" s="351"/>
      <c r="AT28" s="351"/>
      <c r="AU28" s="351"/>
      <c r="AV28" s="351"/>
      <c r="AW28" s="351"/>
      <c r="AX28" s="351"/>
      <c r="AY28" s="9"/>
    </row>
    <row r="29" spans="2:51" ht="11.45" customHeight="1" x14ac:dyDescent="0.2">
      <c r="B29" s="7"/>
      <c r="C29" s="318"/>
      <c r="D29" s="318"/>
      <c r="E29" s="318"/>
      <c r="F29" s="318"/>
      <c r="G29" s="318"/>
      <c r="H29" s="337"/>
      <c r="I29" s="335"/>
      <c r="J29" s="335"/>
      <c r="K29" s="335"/>
      <c r="L29" s="335"/>
      <c r="M29" s="335"/>
      <c r="N29" s="336"/>
      <c r="O29" s="337"/>
      <c r="P29" s="335"/>
      <c r="Q29" s="335"/>
      <c r="R29" s="335"/>
      <c r="S29" s="335"/>
      <c r="T29" s="335"/>
      <c r="U29" s="336"/>
      <c r="V29" s="337"/>
      <c r="W29" s="335"/>
      <c r="X29" s="335"/>
      <c r="Y29" s="335"/>
      <c r="Z29" s="335"/>
      <c r="AA29" s="335"/>
      <c r="AB29" s="336"/>
      <c r="AC29" s="337"/>
      <c r="AD29" s="335"/>
      <c r="AE29" s="335"/>
      <c r="AF29" s="335"/>
      <c r="AG29" s="335"/>
      <c r="AH29" s="335"/>
      <c r="AI29" s="336"/>
      <c r="AJ29" s="341"/>
      <c r="AK29" s="342"/>
      <c r="AL29" s="342"/>
      <c r="AM29" s="342"/>
      <c r="AN29" s="342"/>
      <c r="AO29" s="343"/>
      <c r="AP29" s="351"/>
      <c r="AQ29" s="351"/>
      <c r="AR29" s="351"/>
      <c r="AS29" s="351"/>
      <c r="AT29" s="351"/>
      <c r="AU29" s="351"/>
      <c r="AV29" s="351"/>
      <c r="AW29" s="351"/>
      <c r="AX29" s="351"/>
      <c r="AY29" s="9"/>
    </row>
    <row r="30" spans="2:51" ht="11.45" customHeight="1" x14ac:dyDescent="0.2">
      <c r="B30" s="7"/>
      <c r="C30" s="318"/>
      <c r="D30" s="318"/>
      <c r="E30" s="318"/>
      <c r="F30" s="318"/>
      <c r="G30" s="318"/>
      <c r="H30" s="337"/>
      <c r="I30" s="335"/>
      <c r="J30" s="335"/>
      <c r="K30" s="335"/>
      <c r="L30" s="335"/>
      <c r="M30" s="335"/>
      <c r="N30" s="336"/>
      <c r="O30" s="337"/>
      <c r="P30" s="335"/>
      <c r="Q30" s="335"/>
      <c r="R30" s="335"/>
      <c r="S30" s="335"/>
      <c r="T30" s="335"/>
      <c r="U30" s="336"/>
      <c r="V30" s="337"/>
      <c r="W30" s="335"/>
      <c r="X30" s="335"/>
      <c r="Y30" s="335"/>
      <c r="Z30" s="335"/>
      <c r="AA30" s="335"/>
      <c r="AB30" s="336"/>
      <c r="AC30" s="337"/>
      <c r="AD30" s="335"/>
      <c r="AE30" s="335"/>
      <c r="AF30" s="335"/>
      <c r="AG30" s="335"/>
      <c r="AH30" s="335"/>
      <c r="AI30" s="336"/>
      <c r="AJ30" s="341"/>
      <c r="AK30" s="342"/>
      <c r="AL30" s="342"/>
      <c r="AM30" s="342"/>
      <c r="AN30" s="342"/>
      <c r="AO30" s="343"/>
      <c r="AP30" s="351"/>
      <c r="AQ30" s="351"/>
      <c r="AR30" s="351"/>
      <c r="AS30" s="351"/>
      <c r="AT30" s="351"/>
      <c r="AU30" s="351"/>
      <c r="AV30" s="351"/>
      <c r="AW30" s="351"/>
      <c r="AX30" s="351"/>
      <c r="AY30" s="9"/>
    </row>
    <row r="31" spans="2:51" ht="11.45" customHeight="1" x14ac:dyDescent="0.2">
      <c r="B31" s="7"/>
      <c r="C31" s="318"/>
      <c r="D31" s="318"/>
      <c r="E31" s="318"/>
      <c r="F31" s="318"/>
      <c r="G31" s="318"/>
      <c r="H31" s="337"/>
      <c r="I31" s="335"/>
      <c r="J31" s="335"/>
      <c r="K31" s="335"/>
      <c r="L31" s="335"/>
      <c r="M31" s="335"/>
      <c r="N31" s="336"/>
      <c r="O31" s="337"/>
      <c r="P31" s="335"/>
      <c r="Q31" s="335"/>
      <c r="R31" s="335"/>
      <c r="S31" s="335"/>
      <c r="T31" s="335"/>
      <c r="U31" s="336"/>
      <c r="V31" s="337"/>
      <c r="W31" s="335"/>
      <c r="X31" s="335"/>
      <c r="Y31" s="335"/>
      <c r="Z31" s="335"/>
      <c r="AA31" s="335"/>
      <c r="AB31" s="336"/>
      <c r="AC31" s="337"/>
      <c r="AD31" s="335"/>
      <c r="AE31" s="335"/>
      <c r="AF31" s="335"/>
      <c r="AG31" s="335"/>
      <c r="AH31" s="335"/>
      <c r="AI31" s="336"/>
      <c r="AJ31" s="341"/>
      <c r="AK31" s="342"/>
      <c r="AL31" s="342"/>
      <c r="AM31" s="342"/>
      <c r="AN31" s="342"/>
      <c r="AO31" s="343"/>
      <c r="AP31" s="351"/>
      <c r="AQ31" s="351"/>
      <c r="AR31" s="351"/>
      <c r="AS31" s="351"/>
      <c r="AT31" s="351"/>
      <c r="AU31" s="351"/>
      <c r="AV31" s="351"/>
      <c r="AW31" s="351"/>
      <c r="AX31" s="351"/>
      <c r="AY31" s="9"/>
    </row>
    <row r="32" spans="2:51" ht="11.45" customHeight="1" x14ac:dyDescent="0.2">
      <c r="B32" s="7"/>
      <c r="C32" s="318"/>
      <c r="D32" s="318"/>
      <c r="E32" s="318"/>
      <c r="F32" s="318"/>
      <c r="G32" s="318"/>
      <c r="H32" s="337"/>
      <c r="I32" s="335"/>
      <c r="J32" s="335"/>
      <c r="K32" s="335"/>
      <c r="L32" s="335"/>
      <c r="M32" s="335"/>
      <c r="N32" s="336"/>
      <c r="O32" s="337"/>
      <c r="P32" s="335"/>
      <c r="Q32" s="335"/>
      <c r="R32" s="335"/>
      <c r="S32" s="335"/>
      <c r="T32" s="335"/>
      <c r="U32" s="336"/>
      <c r="V32" s="337"/>
      <c r="W32" s="335"/>
      <c r="X32" s="335"/>
      <c r="Y32" s="335"/>
      <c r="Z32" s="335"/>
      <c r="AA32" s="335"/>
      <c r="AB32" s="336"/>
      <c r="AC32" s="337"/>
      <c r="AD32" s="335"/>
      <c r="AE32" s="335"/>
      <c r="AF32" s="335"/>
      <c r="AG32" s="335"/>
      <c r="AH32" s="335"/>
      <c r="AI32" s="336"/>
      <c r="AJ32" s="341"/>
      <c r="AK32" s="342"/>
      <c r="AL32" s="342"/>
      <c r="AM32" s="342"/>
      <c r="AN32" s="342"/>
      <c r="AO32" s="343"/>
      <c r="AP32" s="351"/>
      <c r="AQ32" s="351"/>
      <c r="AR32" s="351"/>
      <c r="AS32" s="351"/>
      <c r="AT32" s="351"/>
      <c r="AU32" s="351"/>
      <c r="AV32" s="351"/>
      <c r="AW32" s="351"/>
      <c r="AX32" s="351"/>
      <c r="AY32" s="9"/>
    </row>
    <row r="33" spans="2:51" ht="11.45" customHeight="1" x14ac:dyDescent="0.2">
      <c r="B33" s="7"/>
      <c r="C33" s="318"/>
      <c r="D33" s="318"/>
      <c r="E33" s="318"/>
      <c r="F33" s="318"/>
      <c r="G33" s="318"/>
      <c r="H33" s="337"/>
      <c r="I33" s="335"/>
      <c r="J33" s="335"/>
      <c r="K33" s="335"/>
      <c r="L33" s="335"/>
      <c r="M33" s="335"/>
      <c r="N33" s="336"/>
      <c r="O33" s="337"/>
      <c r="P33" s="335"/>
      <c r="Q33" s="335"/>
      <c r="R33" s="335"/>
      <c r="S33" s="335"/>
      <c r="T33" s="335"/>
      <c r="U33" s="336"/>
      <c r="V33" s="337"/>
      <c r="W33" s="335"/>
      <c r="X33" s="335"/>
      <c r="Y33" s="335"/>
      <c r="Z33" s="335"/>
      <c r="AA33" s="335"/>
      <c r="AB33" s="336"/>
      <c r="AC33" s="337"/>
      <c r="AD33" s="335"/>
      <c r="AE33" s="335"/>
      <c r="AF33" s="335"/>
      <c r="AG33" s="335"/>
      <c r="AH33" s="335"/>
      <c r="AI33" s="336"/>
      <c r="AJ33" s="341"/>
      <c r="AK33" s="342"/>
      <c r="AL33" s="342"/>
      <c r="AM33" s="342"/>
      <c r="AN33" s="342"/>
      <c r="AO33" s="343"/>
      <c r="AP33" s="351"/>
      <c r="AQ33" s="351"/>
      <c r="AR33" s="351"/>
      <c r="AS33" s="351"/>
      <c r="AT33" s="351"/>
      <c r="AU33" s="351"/>
      <c r="AV33" s="351"/>
      <c r="AW33" s="351"/>
      <c r="AX33" s="351"/>
      <c r="AY33" s="9"/>
    </row>
    <row r="34" spans="2:51" ht="11.45" customHeight="1" x14ac:dyDescent="0.2">
      <c r="B34" s="7"/>
      <c r="C34" s="318"/>
      <c r="D34" s="318"/>
      <c r="E34" s="318"/>
      <c r="F34" s="318"/>
      <c r="G34" s="318"/>
      <c r="H34" s="337"/>
      <c r="I34" s="335"/>
      <c r="J34" s="335"/>
      <c r="K34" s="335"/>
      <c r="L34" s="335"/>
      <c r="M34" s="335"/>
      <c r="N34" s="336"/>
      <c r="O34" s="337"/>
      <c r="P34" s="335"/>
      <c r="Q34" s="335"/>
      <c r="R34" s="335"/>
      <c r="S34" s="335"/>
      <c r="T34" s="335"/>
      <c r="U34" s="336"/>
      <c r="V34" s="337"/>
      <c r="W34" s="335"/>
      <c r="X34" s="335"/>
      <c r="Y34" s="335"/>
      <c r="Z34" s="335"/>
      <c r="AA34" s="335"/>
      <c r="AB34" s="336"/>
      <c r="AC34" s="337"/>
      <c r="AD34" s="335"/>
      <c r="AE34" s="335"/>
      <c r="AF34" s="335"/>
      <c r="AG34" s="335"/>
      <c r="AH34" s="335"/>
      <c r="AI34" s="336"/>
      <c r="AJ34" s="341"/>
      <c r="AK34" s="342"/>
      <c r="AL34" s="342"/>
      <c r="AM34" s="342"/>
      <c r="AN34" s="342"/>
      <c r="AO34" s="343"/>
      <c r="AP34" s="351"/>
      <c r="AQ34" s="351"/>
      <c r="AR34" s="351"/>
      <c r="AS34" s="351"/>
      <c r="AT34" s="351"/>
      <c r="AU34" s="351"/>
      <c r="AV34" s="351"/>
      <c r="AW34" s="351"/>
      <c r="AX34" s="351"/>
      <c r="AY34" s="9"/>
    </row>
    <row r="35" spans="2:51" ht="25.5" customHeight="1" x14ac:dyDescent="0.2">
      <c r="B35" s="7"/>
      <c r="C35" s="318"/>
      <c r="D35" s="318"/>
      <c r="E35" s="318"/>
      <c r="F35" s="318"/>
      <c r="G35" s="318"/>
      <c r="H35" s="337"/>
      <c r="I35" s="335"/>
      <c r="J35" s="335"/>
      <c r="K35" s="335"/>
      <c r="L35" s="335"/>
      <c r="M35" s="335"/>
      <c r="N35" s="336"/>
      <c r="O35" s="337"/>
      <c r="P35" s="335"/>
      <c r="Q35" s="335"/>
      <c r="R35" s="335"/>
      <c r="S35" s="335"/>
      <c r="T35" s="335"/>
      <c r="U35" s="336"/>
      <c r="V35" s="337"/>
      <c r="W35" s="335"/>
      <c r="X35" s="335"/>
      <c r="Y35" s="335"/>
      <c r="Z35" s="335"/>
      <c r="AA35" s="335"/>
      <c r="AB35" s="336"/>
      <c r="AC35" s="337"/>
      <c r="AD35" s="335"/>
      <c r="AE35" s="335"/>
      <c r="AF35" s="335"/>
      <c r="AG35" s="335"/>
      <c r="AH35" s="335"/>
      <c r="AI35" s="336"/>
      <c r="AJ35" s="341"/>
      <c r="AK35" s="342"/>
      <c r="AL35" s="342"/>
      <c r="AM35" s="342"/>
      <c r="AN35" s="342"/>
      <c r="AO35" s="343"/>
      <c r="AP35" s="351"/>
      <c r="AQ35" s="351"/>
      <c r="AR35" s="351"/>
      <c r="AS35" s="351"/>
      <c r="AT35" s="351"/>
      <c r="AU35" s="351"/>
      <c r="AV35" s="351"/>
      <c r="AW35" s="351"/>
      <c r="AX35" s="351"/>
      <c r="AY35" s="9"/>
    </row>
    <row r="36" spans="2:51" ht="6.95" customHeight="1" x14ac:dyDescent="0.2">
      <c r="B36" s="7"/>
      <c r="C36" s="318"/>
      <c r="D36" s="318"/>
      <c r="E36" s="318"/>
      <c r="F36" s="318"/>
      <c r="G36" s="318"/>
      <c r="H36" s="325"/>
      <c r="I36" s="326"/>
      <c r="J36" s="326"/>
      <c r="K36" s="326"/>
      <c r="L36" s="326"/>
      <c r="M36" s="326"/>
      <c r="N36" s="327"/>
      <c r="O36" s="325"/>
      <c r="P36" s="326"/>
      <c r="Q36" s="326"/>
      <c r="R36" s="326"/>
      <c r="S36" s="326"/>
      <c r="T36" s="326"/>
      <c r="U36" s="327"/>
      <c r="V36" s="325"/>
      <c r="W36" s="326"/>
      <c r="X36" s="326"/>
      <c r="Y36" s="326"/>
      <c r="Z36" s="326"/>
      <c r="AA36" s="326"/>
      <c r="AB36" s="327"/>
      <c r="AC36" s="325"/>
      <c r="AD36" s="326"/>
      <c r="AE36" s="326"/>
      <c r="AF36" s="326"/>
      <c r="AG36" s="326"/>
      <c r="AH36" s="326"/>
      <c r="AI36" s="327"/>
      <c r="AJ36" s="341"/>
      <c r="AK36" s="342"/>
      <c r="AL36" s="342"/>
      <c r="AM36" s="342"/>
      <c r="AN36" s="342"/>
      <c r="AO36" s="343"/>
      <c r="AP36" s="351"/>
      <c r="AQ36" s="351"/>
      <c r="AR36" s="351"/>
      <c r="AS36" s="351"/>
      <c r="AT36" s="351"/>
      <c r="AU36" s="351"/>
      <c r="AV36" s="351"/>
      <c r="AW36" s="351"/>
      <c r="AX36" s="351"/>
      <c r="AY36" s="9"/>
    </row>
    <row r="37" spans="2:51" ht="6.95" customHeight="1" x14ac:dyDescent="0.2">
      <c r="B37" s="7"/>
      <c r="C37" s="318"/>
      <c r="D37" s="318"/>
      <c r="E37" s="318"/>
      <c r="F37" s="318"/>
      <c r="G37" s="318"/>
      <c r="H37" s="328"/>
      <c r="I37" s="326"/>
      <c r="J37" s="326"/>
      <c r="K37" s="326"/>
      <c r="L37" s="326"/>
      <c r="M37" s="326"/>
      <c r="N37" s="327"/>
      <c r="O37" s="328"/>
      <c r="P37" s="326"/>
      <c r="Q37" s="326"/>
      <c r="R37" s="326"/>
      <c r="S37" s="326"/>
      <c r="T37" s="326"/>
      <c r="U37" s="327"/>
      <c r="V37" s="328"/>
      <c r="W37" s="326"/>
      <c r="X37" s="326"/>
      <c r="Y37" s="326"/>
      <c r="Z37" s="326"/>
      <c r="AA37" s="326"/>
      <c r="AB37" s="327"/>
      <c r="AC37" s="328"/>
      <c r="AD37" s="326"/>
      <c r="AE37" s="326"/>
      <c r="AF37" s="326"/>
      <c r="AG37" s="326"/>
      <c r="AH37" s="326"/>
      <c r="AI37" s="327"/>
      <c r="AJ37" s="341"/>
      <c r="AK37" s="342"/>
      <c r="AL37" s="342"/>
      <c r="AM37" s="342"/>
      <c r="AN37" s="342"/>
      <c r="AO37" s="343"/>
      <c r="AP37" s="351"/>
      <c r="AQ37" s="351"/>
      <c r="AR37" s="351"/>
      <c r="AS37" s="351"/>
      <c r="AT37" s="351"/>
      <c r="AU37" s="351"/>
      <c r="AV37" s="351"/>
      <c r="AW37" s="351"/>
      <c r="AX37" s="351"/>
      <c r="AY37" s="9"/>
    </row>
    <row r="38" spans="2:51" ht="11.45" customHeight="1" x14ac:dyDescent="0.2">
      <c r="B38" s="7"/>
      <c r="C38" s="360" t="str">
        <f>IF($C$28="","","Medios de verificación")</f>
        <v>Medios de verificación</v>
      </c>
      <c r="D38" s="360"/>
      <c r="E38" s="360"/>
      <c r="F38" s="360"/>
      <c r="G38" s="360"/>
      <c r="H38" s="329" t="str">
        <f>LISTAS!AP11</f>
        <v>PAT.</v>
      </c>
      <c r="I38" s="330"/>
      <c r="J38" s="330"/>
      <c r="K38" s="330"/>
      <c r="L38" s="330"/>
      <c r="M38" s="330"/>
      <c r="N38" s="330"/>
      <c r="O38" s="329" t="str">
        <f>LISTAS!AQ11</f>
        <v>Acta de conformación. PAT.</v>
      </c>
      <c r="P38" s="330"/>
      <c r="Q38" s="330"/>
      <c r="R38" s="330"/>
      <c r="S38" s="330"/>
      <c r="T38" s="330"/>
      <c r="U38" s="330"/>
      <c r="V38" s="329" t="str">
        <f>LISTAS!AR11</f>
        <v>PAT.</v>
      </c>
      <c r="W38" s="330"/>
      <c r="X38" s="330"/>
      <c r="Y38" s="330"/>
      <c r="Z38" s="330"/>
      <c r="AA38" s="330"/>
      <c r="AB38" s="330"/>
      <c r="AC38" s="329" t="str">
        <f>LISTAS!AS11</f>
        <v>PAT.</v>
      </c>
      <c r="AD38" s="330"/>
      <c r="AE38" s="330"/>
      <c r="AF38" s="330"/>
      <c r="AG38" s="330"/>
      <c r="AH38" s="330"/>
      <c r="AI38" s="330"/>
      <c r="AJ38" s="344"/>
      <c r="AK38" s="345"/>
      <c r="AL38" s="345"/>
      <c r="AM38" s="345"/>
      <c r="AN38" s="345"/>
      <c r="AO38" s="346"/>
      <c r="AP38" s="329"/>
      <c r="AQ38" s="329"/>
      <c r="AR38" s="329"/>
      <c r="AS38" s="329"/>
      <c r="AT38" s="329"/>
      <c r="AU38" s="329"/>
      <c r="AV38" s="329"/>
      <c r="AW38" s="329"/>
      <c r="AX38" s="329"/>
      <c r="AY38" s="9"/>
    </row>
    <row r="39" spans="2:51" ht="11.45" customHeight="1" x14ac:dyDescent="0.2">
      <c r="B39" s="7"/>
      <c r="C39" s="361"/>
      <c r="D39" s="361"/>
      <c r="E39" s="361"/>
      <c r="F39" s="361"/>
      <c r="G39" s="361"/>
      <c r="H39" s="331"/>
      <c r="I39" s="332"/>
      <c r="J39" s="332"/>
      <c r="K39" s="332"/>
      <c r="L39" s="332"/>
      <c r="M39" s="332"/>
      <c r="N39" s="332"/>
      <c r="O39" s="331"/>
      <c r="P39" s="332"/>
      <c r="Q39" s="332"/>
      <c r="R39" s="332"/>
      <c r="S39" s="332"/>
      <c r="T39" s="332"/>
      <c r="U39" s="332"/>
      <c r="V39" s="331"/>
      <c r="W39" s="332"/>
      <c r="X39" s="332"/>
      <c r="Y39" s="332"/>
      <c r="Z39" s="332"/>
      <c r="AA39" s="332"/>
      <c r="AB39" s="332"/>
      <c r="AC39" s="331"/>
      <c r="AD39" s="332"/>
      <c r="AE39" s="332"/>
      <c r="AF39" s="332"/>
      <c r="AG39" s="332"/>
      <c r="AH39" s="332"/>
      <c r="AI39" s="332"/>
      <c r="AJ39" s="344"/>
      <c r="AK39" s="345"/>
      <c r="AL39" s="345"/>
      <c r="AM39" s="345"/>
      <c r="AN39" s="345"/>
      <c r="AO39" s="346"/>
      <c r="AP39" s="331"/>
      <c r="AQ39" s="331"/>
      <c r="AR39" s="331"/>
      <c r="AS39" s="331"/>
      <c r="AT39" s="331"/>
      <c r="AU39" s="331"/>
      <c r="AV39" s="331"/>
      <c r="AW39" s="331"/>
      <c r="AX39" s="331"/>
      <c r="AY39" s="9"/>
    </row>
    <row r="40" spans="2:51" ht="11.45" customHeight="1" x14ac:dyDescent="0.2">
      <c r="B40" s="7"/>
      <c r="C40" s="361"/>
      <c r="D40" s="361"/>
      <c r="E40" s="361"/>
      <c r="F40" s="361"/>
      <c r="G40" s="361"/>
      <c r="H40" s="331"/>
      <c r="I40" s="332"/>
      <c r="J40" s="332"/>
      <c r="K40" s="332"/>
      <c r="L40" s="332"/>
      <c r="M40" s="332"/>
      <c r="N40" s="332"/>
      <c r="O40" s="331"/>
      <c r="P40" s="332"/>
      <c r="Q40" s="332"/>
      <c r="R40" s="332"/>
      <c r="S40" s="332"/>
      <c r="T40" s="332"/>
      <c r="U40" s="332"/>
      <c r="V40" s="331"/>
      <c r="W40" s="332"/>
      <c r="X40" s="332"/>
      <c r="Y40" s="332"/>
      <c r="Z40" s="332"/>
      <c r="AA40" s="332"/>
      <c r="AB40" s="332"/>
      <c r="AC40" s="331"/>
      <c r="AD40" s="332"/>
      <c r="AE40" s="332"/>
      <c r="AF40" s="332"/>
      <c r="AG40" s="332"/>
      <c r="AH40" s="332"/>
      <c r="AI40" s="332"/>
      <c r="AJ40" s="344"/>
      <c r="AK40" s="345"/>
      <c r="AL40" s="345"/>
      <c r="AM40" s="345"/>
      <c r="AN40" s="345"/>
      <c r="AO40" s="346"/>
      <c r="AP40" s="331"/>
      <c r="AQ40" s="331"/>
      <c r="AR40" s="331"/>
      <c r="AS40" s="331"/>
      <c r="AT40" s="331"/>
      <c r="AU40" s="331"/>
      <c r="AV40" s="331"/>
      <c r="AW40" s="331"/>
      <c r="AX40" s="331"/>
      <c r="AY40" s="9"/>
    </row>
    <row r="41" spans="2:51" ht="11.45" customHeight="1" x14ac:dyDescent="0.2">
      <c r="B41" s="7"/>
      <c r="C41" s="362"/>
      <c r="D41" s="362"/>
      <c r="E41" s="362"/>
      <c r="F41" s="362"/>
      <c r="G41" s="362"/>
      <c r="H41" s="333"/>
      <c r="I41" s="333"/>
      <c r="J41" s="333"/>
      <c r="K41" s="333"/>
      <c r="L41" s="333"/>
      <c r="M41" s="333"/>
      <c r="N41" s="333"/>
      <c r="O41" s="333"/>
      <c r="P41" s="333"/>
      <c r="Q41" s="333"/>
      <c r="R41" s="333"/>
      <c r="S41" s="333"/>
      <c r="T41" s="333"/>
      <c r="U41" s="333"/>
      <c r="V41" s="333"/>
      <c r="W41" s="333"/>
      <c r="X41" s="333"/>
      <c r="Y41" s="333"/>
      <c r="Z41" s="333"/>
      <c r="AA41" s="333"/>
      <c r="AB41" s="333"/>
      <c r="AC41" s="333"/>
      <c r="AD41" s="333"/>
      <c r="AE41" s="333"/>
      <c r="AF41" s="333"/>
      <c r="AG41" s="333"/>
      <c r="AH41" s="333"/>
      <c r="AI41" s="333"/>
      <c r="AJ41" s="347"/>
      <c r="AK41" s="348"/>
      <c r="AL41" s="348"/>
      <c r="AM41" s="348"/>
      <c r="AN41" s="348"/>
      <c r="AO41" s="349"/>
      <c r="AP41" s="352"/>
      <c r="AQ41" s="352"/>
      <c r="AR41" s="352"/>
      <c r="AS41" s="352"/>
      <c r="AT41" s="352"/>
      <c r="AU41" s="352"/>
      <c r="AV41" s="352"/>
      <c r="AW41" s="352"/>
      <c r="AX41" s="352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1.45" customHeight="1" x14ac:dyDescent="0.2">
      <c r="B43" s="7"/>
      <c r="C43" s="317" t="str">
        <f>LISTAS!AJ12</f>
        <v>11. La I.E. implementó acciones sobre alimentación saludable y sostenible.</v>
      </c>
      <c r="D43" s="318"/>
      <c r="E43" s="318"/>
      <c r="F43" s="318"/>
      <c r="G43" s="318"/>
      <c r="H43" s="334" t="str">
        <f>LISTAS!AK12</f>
        <v xml:space="preserve">La I.E. cuenta con una planificación de actividades, así como espacios educativos adecuados, para garantizar la alimentación saludable y sostenible, incluidos en el PAT. </v>
      </c>
      <c r="I43" s="335"/>
      <c r="J43" s="335"/>
      <c r="K43" s="335"/>
      <c r="L43" s="335"/>
      <c r="M43" s="335"/>
      <c r="N43" s="336"/>
      <c r="O43" s="334" t="str">
        <f>LISTAS!AL12</f>
        <v>La I.E. implementó y promovió actividades pedagógicas para el consumo de alimentos saludables y sostenibles, así como la revalorización y consumo de productos locales.</v>
      </c>
      <c r="P43" s="335"/>
      <c r="Q43" s="335"/>
      <c r="R43" s="335"/>
      <c r="S43" s="335"/>
      <c r="T43" s="335"/>
      <c r="U43" s="336"/>
      <c r="V43" s="334" t="str">
        <f>LISTAS!AM12</f>
        <v>La I.E. implementó y supervisó los quioscos, cafetines, cafeterías y/o comedores escolares así como las loncheras escolares, garantizando el acceso, la disponibilidad y el consumo de una alimentación saludable y sostenible, según la normativa vigente.</v>
      </c>
      <c r="W43" s="335"/>
      <c r="X43" s="335"/>
      <c r="Y43" s="335"/>
      <c r="Z43" s="335"/>
      <c r="AA43" s="335"/>
      <c r="AB43" s="336"/>
      <c r="AC43" s="334" t="str">
        <f>LISTAS!AN12</f>
        <v xml:space="preserve">La I.E. sensibilizó a las familias de la comunidad educativa para la adopción de una cultura de alimentación saludable y sostenible, así como la revalorización y consumo de productos locales. </v>
      </c>
      <c r="AD43" s="335"/>
      <c r="AE43" s="335"/>
      <c r="AF43" s="335"/>
      <c r="AG43" s="335"/>
      <c r="AH43" s="335"/>
      <c r="AI43" s="336"/>
      <c r="AJ43" s="338" t="str">
        <f>LISTAS!AO12</f>
        <v>N° de hitos de aplicación del enfoque ambiental puestos en práctica en la implementación de acciones de alimentación saludable y sostenible.</v>
      </c>
      <c r="AK43" s="339"/>
      <c r="AL43" s="339"/>
      <c r="AM43" s="339"/>
      <c r="AN43" s="339"/>
      <c r="AO43" s="340"/>
      <c r="AP43" s="350"/>
      <c r="AQ43" s="351"/>
      <c r="AR43" s="351"/>
      <c r="AS43" s="351"/>
      <c r="AT43" s="351"/>
      <c r="AU43" s="351"/>
      <c r="AV43" s="351"/>
      <c r="AW43" s="351"/>
      <c r="AX43" s="351"/>
      <c r="AY43" s="9"/>
    </row>
    <row r="44" spans="2:51" ht="11.45" customHeight="1" x14ac:dyDescent="0.2">
      <c r="B44" s="7"/>
      <c r="C44" s="318"/>
      <c r="D44" s="318"/>
      <c r="E44" s="318"/>
      <c r="F44" s="318"/>
      <c r="G44" s="318"/>
      <c r="H44" s="337"/>
      <c r="I44" s="335"/>
      <c r="J44" s="335"/>
      <c r="K44" s="335"/>
      <c r="L44" s="335"/>
      <c r="M44" s="335"/>
      <c r="N44" s="336"/>
      <c r="O44" s="337"/>
      <c r="P44" s="335"/>
      <c r="Q44" s="335"/>
      <c r="R44" s="335"/>
      <c r="S44" s="335"/>
      <c r="T44" s="335"/>
      <c r="U44" s="336"/>
      <c r="V44" s="337"/>
      <c r="W44" s="335"/>
      <c r="X44" s="335"/>
      <c r="Y44" s="335"/>
      <c r="Z44" s="335"/>
      <c r="AA44" s="335"/>
      <c r="AB44" s="336"/>
      <c r="AC44" s="337"/>
      <c r="AD44" s="335"/>
      <c r="AE44" s="335"/>
      <c r="AF44" s="335"/>
      <c r="AG44" s="335"/>
      <c r="AH44" s="335"/>
      <c r="AI44" s="336"/>
      <c r="AJ44" s="341"/>
      <c r="AK44" s="342"/>
      <c r="AL44" s="342"/>
      <c r="AM44" s="342"/>
      <c r="AN44" s="342"/>
      <c r="AO44" s="343"/>
      <c r="AP44" s="351"/>
      <c r="AQ44" s="351"/>
      <c r="AR44" s="351"/>
      <c r="AS44" s="351"/>
      <c r="AT44" s="351"/>
      <c r="AU44" s="351"/>
      <c r="AV44" s="351"/>
      <c r="AW44" s="351"/>
      <c r="AX44" s="351"/>
      <c r="AY44" s="9"/>
    </row>
    <row r="45" spans="2:51" ht="11.45" customHeight="1" x14ac:dyDescent="0.2">
      <c r="B45" s="7"/>
      <c r="C45" s="318"/>
      <c r="D45" s="318"/>
      <c r="E45" s="318"/>
      <c r="F45" s="318"/>
      <c r="G45" s="318"/>
      <c r="H45" s="337"/>
      <c r="I45" s="335"/>
      <c r="J45" s="335"/>
      <c r="K45" s="335"/>
      <c r="L45" s="335"/>
      <c r="M45" s="335"/>
      <c r="N45" s="336"/>
      <c r="O45" s="337"/>
      <c r="P45" s="335"/>
      <c r="Q45" s="335"/>
      <c r="R45" s="335"/>
      <c r="S45" s="335"/>
      <c r="T45" s="335"/>
      <c r="U45" s="336"/>
      <c r="V45" s="337"/>
      <c r="W45" s="335"/>
      <c r="X45" s="335"/>
      <c r="Y45" s="335"/>
      <c r="Z45" s="335"/>
      <c r="AA45" s="335"/>
      <c r="AB45" s="336"/>
      <c r="AC45" s="337"/>
      <c r="AD45" s="335"/>
      <c r="AE45" s="335"/>
      <c r="AF45" s="335"/>
      <c r="AG45" s="335"/>
      <c r="AH45" s="335"/>
      <c r="AI45" s="336"/>
      <c r="AJ45" s="341"/>
      <c r="AK45" s="342"/>
      <c r="AL45" s="342"/>
      <c r="AM45" s="342"/>
      <c r="AN45" s="342"/>
      <c r="AO45" s="343"/>
      <c r="AP45" s="351"/>
      <c r="AQ45" s="351"/>
      <c r="AR45" s="351"/>
      <c r="AS45" s="351"/>
      <c r="AT45" s="351"/>
      <c r="AU45" s="351"/>
      <c r="AV45" s="351"/>
      <c r="AW45" s="351"/>
      <c r="AX45" s="351"/>
      <c r="AY45" s="9"/>
    </row>
    <row r="46" spans="2:51" ht="11.45" customHeight="1" x14ac:dyDescent="0.2">
      <c r="B46" s="7"/>
      <c r="C46" s="318"/>
      <c r="D46" s="318"/>
      <c r="E46" s="318"/>
      <c r="F46" s="318"/>
      <c r="G46" s="318"/>
      <c r="H46" s="337"/>
      <c r="I46" s="335"/>
      <c r="J46" s="335"/>
      <c r="K46" s="335"/>
      <c r="L46" s="335"/>
      <c r="M46" s="335"/>
      <c r="N46" s="336"/>
      <c r="O46" s="337"/>
      <c r="P46" s="335"/>
      <c r="Q46" s="335"/>
      <c r="R46" s="335"/>
      <c r="S46" s="335"/>
      <c r="T46" s="335"/>
      <c r="U46" s="336"/>
      <c r="V46" s="337"/>
      <c r="W46" s="335"/>
      <c r="X46" s="335"/>
      <c r="Y46" s="335"/>
      <c r="Z46" s="335"/>
      <c r="AA46" s="335"/>
      <c r="AB46" s="336"/>
      <c r="AC46" s="337"/>
      <c r="AD46" s="335"/>
      <c r="AE46" s="335"/>
      <c r="AF46" s="335"/>
      <c r="AG46" s="335"/>
      <c r="AH46" s="335"/>
      <c r="AI46" s="336"/>
      <c r="AJ46" s="341"/>
      <c r="AK46" s="342"/>
      <c r="AL46" s="342"/>
      <c r="AM46" s="342"/>
      <c r="AN46" s="342"/>
      <c r="AO46" s="343"/>
      <c r="AP46" s="351"/>
      <c r="AQ46" s="351"/>
      <c r="AR46" s="351"/>
      <c r="AS46" s="351"/>
      <c r="AT46" s="351"/>
      <c r="AU46" s="351"/>
      <c r="AV46" s="351"/>
      <c r="AW46" s="351"/>
      <c r="AX46" s="351"/>
      <c r="AY46" s="9"/>
    </row>
    <row r="47" spans="2:51" ht="11.45" customHeight="1" x14ac:dyDescent="0.2">
      <c r="B47" s="7"/>
      <c r="C47" s="318"/>
      <c r="D47" s="318"/>
      <c r="E47" s="318"/>
      <c r="F47" s="318"/>
      <c r="G47" s="318"/>
      <c r="H47" s="337"/>
      <c r="I47" s="335"/>
      <c r="J47" s="335"/>
      <c r="K47" s="335"/>
      <c r="L47" s="335"/>
      <c r="M47" s="335"/>
      <c r="N47" s="336"/>
      <c r="O47" s="337"/>
      <c r="P47" s="335"/>
      <c r="Q47" s="335"/>
      <c r="R47" s="335"/>
      <c r="S47" s="335"/>
      <c r="T47" s="335"/>
      <c r="U47" s="336"/>
      <c r="V47" s="337"/>
      <c r="W47" s="335"/>
      <c r="X47" s="335"/>
      <c r="Y47" s="335"/>
      <c r="Z47" s="335"/>
      <c r="AA47" s="335"/>
      <c r="AB47" s="336"/>
      <c r="AC47" s="337"/>
      <c r="AD47" s="335"/>
      <c r="AE47" s="335"/>
      <c r="AF47" s="335"/>
      <c r="AG47" s="335"/>
      <c r="AH47" s="335"/>
      <c r="AI47" s="336"/>
      <c r="AJ47" s="341"/>
      <c r="AK47" s="342"/>
      <c r="AL47" s="342"/>
      <c r="AM47" s="342"/>
      <c r="AN47" s="342"/>
      <c r="AO47" s="343"/>
      <c r="AP47" s="351"/>
      <c r="AQ47" s="351"/>
      <c r="AR47" s="351"/>
      <c r="AS47" s="351"/>
      <c r="AT47" s="351"/>
      <c r="AU47" s="351"/>
      <c r="AV47" s="351"/>
      <c r="AW47" s="351"/>
      <c r="AX47" s="351"/>
      <c r="AY47" s="9"/>
    </row>
    <row r="48" spans="2:51" ht="11.45" customHeight="1" x14ac:dyDescent="0.2">
      <c r="B48" s="7"/>
      <c r="C48" s="318"/>
      <c r="D48" s="318"/>
      <c r="E48" s="318"/>
      <c r="F48" s="318"/>
      <c r="G48" s="318"/>
      <c r="H48" s="337"/>
      <c r="I48" s="335"/>
      <c r="J48" s="335"/>
      <c r="K48" s="335"/>
      <c r="L48" s="335"/>
      <c r="M48" s="335"/>
      <c r="N48" s="336"/>
      <c r="O48" s="337"/>
      <c r="P48" s="335"/>
      <c r="Q48" s="335"/>
      <c r="R48" s="335"/>
      <c r="S48" s="335"/>
      <c r="T48" s="335"/>
      <c r="U48" s="336"/>
      <c r="V48" s="337"/>
      <c r="W48" s="335"/>
      <c r="X48" s="335"/>
      <c r="Y48" s="335"/>
      <c r="Z48" s="335"/>
      <c r="AA48" s="335"/>
      <c r="AB48" s="336"/>
      <c r="AC48" s="337"/>
      <c r="AD48" s="335"/>
      <c r="AE48" s="335"/>
      <c r="AF48" s="335"/>
      <c r="AG48" s="335"/>
      <c r="AH48" s="335"/>
      <c r="AI48" s="336"/>
      <c r="AJ48" s="341"/>
      <c r="AK48" s="342"/>
      <c r="AL48" s="342"/>
      <c r="AM48" s="342"/>
      <c r="AN48" s="342"/>
      <c r="AO48" s="343"/>
      <c r="AP48" s="351"/>
      <c r="AQ48" s="351"/>
      <c r="AR48" s="351"/>
      <c r="AS48" s="351"/>
      <c r="AT48" s="351"/>
      <c r="AU48" s="351"/>
      <c r="AV48" s="351"/>
      <c r="AW48" s="351"/>
      <c r="AX48" s="351"/>
      <c r="AY48" s="9"/>
    </row>
    <row r="49" spans="2:51" ht="11.45" customHeight="1" x14ac:dyDescent="0.2">
      <c r="B49" s="7"/>
      <c r="C49" s="318"/>
      <c r="D49" s="318"/>
      <c r="E49" s="318"/>
      <c r="F49" s="318"/>
      <c r="G49" s="318"/>
      <c r="H49" s="337"/>
      <c r="I49" s="335"/>
      <c r="J49" s="335"/>
      <c r="K49" s="335"/>
      <c r="L49" s="335"/>
      <c r="M49" s="335"/>
      <c r="N49" s="336"/>
      <c r="O49" s="337"/>
      <c r="P49" s="335"/>
      <c r="Q49" s="335"/>
      <c r="R49" s="335"/>
      <c r="S49" s="335"/>
      <c r="T49" s="335"/>
      <c r="U49" s="336"/>
      <c r="V49" s="337"/>
      <c r="W49" s="335"/>
      <c r="X49" s="335"/>
      <c r="Y49" s="335"/>
      <c r="Z49" s="335"/>
      <c r="AA49" s="335"/>
      <c r="AB49" s="336"/>
      <c r="AC49" s="337"/>
      <c r="AD49" s="335"/>
      <c r="AE49" s="335"/>
      <c r="AF49" s="335"/>
      <c r="AG49" s="335"/>
      <c r="AH49" s="335"/>
      <c r="AI49" s="336"/>
      <c r="AJ49" s="341"/>
      <c r="AK49" s="342"/>
      <c r="AL49" s="342"/>
      <c r="AM49" s="342"/>
      <c r="AN49" s="342"/>
      <c r="AO49" s="343"/>
      <c r="AP49" s="351"/>
      <c r="AQ49" s="351"/>
      <c r="AR49" s="351"/>
      <c r="AS49" s="351"/>
      <c r="AT49" s="351"/>
      <c r="AU49" s="351"/>
      <c r="AV49" s="351"/>
      <c r="AW49" s="351"/>
      <c r="AX49" s="351"/>
      <c r="AY49" s="9"/>
    </row>
    <row r="50" spans="2:51" ht="25.5" customHeight="1" x14ac:dyDescent="0.2">
      <c r="B50" s="7"/>
      <c r="C50" s="318"/>
      <c r="D50" s="318"/>
      <c r="E50" s="318"/>
      <c r="F50" s="318"/>
      <c r="G50" s="318"/>
      <c r="H50" s="337"/>
      <c r="I50" s="335"/>
      <c r="J50" s="335"/>
      <c r="K50" s="335"/>
      <c r="L50" s="335"/>
      <c r="M50" s="335"/>
      <c r="N50" s="336"/>
      <c r="O50" s="337"/>
      <c r="P50" s="335"/>
      <c r="Q50" s="335"/>
      <c r="R50" s="335"/>
      <c r="S50" s="335"/>
      <c r="T50" s="335"/>
      <c r="U50" s="336"/>
      <c r="V50" s="337"/>
      <c r="W50" s="335"/>
      <c r="X50" s="335"/>
      <c r="Y50" s="335"/>
      <c r="Z50" s="335"/>
      <c r="AA50" s="335"/>
      <c r="AB50" s="336"/>
      <c r="AC50" s="337"/>
      <c r="AD50" s="335"/>
      <c r="AE50" s="335"/>
      <c r="AF50" s="335"/>
      <c r="AG50" s="335"/>
      <c r="AH50" s="335"/>
      <c r="AI50" s="336"/>
      <c r="AJ50" s="341"/>
      <c r="AK50" s="342"/>
      <c r="AL50" s="342"/>
      <c r="AM50" s="342"/>
      <c r="AN50" s="342"/>
      <c r="AO50" s="343"/>
      <c r="AP50" s="351"/>
      <c r="AQ50" s="351"/>
      <c r="AR50" s="351"/>
      <c r="AS50" s="351"/>
      <c r="AT50" s="351"/>
      <c r="AU50" s="351"/>
      <c r="AV50" s="351"/>
      <c r="AW50" s="351"/>
      <c r="AX50" s="351"/>
      <c r="AY50" s="9"/>
    </row>
    <row r="51" spans="2:51" ht="6.95" customHeight="1" x14ac:dyDescent="0.2">
      <c r="B51" s="7"/>
      <c r="C51" s="318"/>
      <c r="D51" s="318"/>
      <c r="E51" s="318"/>
      <c r="F51" s="318"/>
      <c r="G51" s="318"/>
      <c r="H51" s="325"/>
      <c r="I51" s="326"/>
      <c r="J51" s="326"/>
      <c r="K51" s="326"/>
      <c r="L51" s="326"/>
      <c r="M51" s="326"/>
      <c r="N51" s="327"/>
      <c r="O51" s="325"/>
      <c r="P51" s="326"/>
      <c r="Q51" s="326"/>
      <c r="R51" s="326"/>
      <c r="S51" s="326"/>
      <c r="T51" s="326"/>
      <c r="U51" s="327"/>
      <c r="V51" s="325"/>
      <c r="W51" s="326"/>
      <c r="X51" s="326"/>
      <c r="Y51" s="326"/>
      <c r="Z51" s="326"/>
      <c r="AA51" s="326"/>
      <c r="AB51" s="327"/>
      <c r="AC51" s="325"/>
      <c r="AD51" s="326"/>
      <c r="AE51" s="326"/>
      <c r="AF51" s="326"/>
      <c r="AG51" s="326"/>
      <c r="AH51" s="326"/>
      <c r="AI51" s="327"/>
      <c r="AJ51" s="341"/>
      <c r="AK51" s="342"/>
      <c r="AL51" s="342"/>
      <c r="AM51" s="342"/>
      <c r="AN51" s="342"/>
      <c r="AO51" s="343"/>
      <c r="AP51" s="351"/>
      <c r="AQ51" s="351"/>
      <c r="AR51" s="351"/>
      <c r="AS51" s="351"/>
      <c r="AT51" s="351"/>
      <c r="AU51" s="351"/>
      <c r="AV51" s="351"/>
      <c r="AW51" s="351"/>
      <c r="AX51" s="351"/>
      <c r="AY51" s="9"/>
    </row>
    <row r="52" spans="2:51" ht="6.95" customHeight="1" x14ac:dyDescent="0.2">
      <c r="B52" s="7"/>
      <c r="C52" s="318"/>
      <c r="D52" s="318"/>
      <c r="E52" s="318"/>
      <c r="F52" s="318"/>
      <c r="G52" s="318"/>
      <c r="H52" s="328"/>
      <c r="I52" s="326"/>
      <c r="J52" s="326"/>
      <c r="K52" s="326"/>
      <c r="L52" s="326"/>
      <c r="M52" s="326"/>
      <c r="N52" s="327"/>
      <c r="O52" s="328"/>
      <c r="P52" s="326"/>
      <c r="Q52" s="326"/>
      <c r="R52" s="326"/>
      <c r="S52" s="326"/>
      <c r="T52" s="326"/>
      <c r="U52" s="327"/>
      <c r="V52" s="328"/>
      <c r="W52" s="326"/>
      <c r="X52" s="326"/>
      <c r="Y52" s="326"/>
      <c r="Z52" s="326"/>
      <c r="AA52" s="326"/>
      <c r="AB52" s="327"/>
      <c r="AC52" s="328"/>
      <c r="AD52" s="326"/>
      <c r="AE52" s="326"/>
      <c r="AF52" s="326"/>
      <c r="AG52" s="326"/>
      <c r="AH52" s="326"/>
      <c r="AI52" s="327"/>
      <c r="AJ52" s="341"/>
      <c r="AK52" s="342"/>
      <c r="AL52" s="342"/>
      <c r="AM52" s="342"/>
      <c r="AN52" s="342"/>
      <c r="AO52" s="343"/>
      <c r="AP52" s="351"/>
      <c r="AQ52" s="351"/>
      <c r="AR52" s="351"/>
      <c r="AS52" s="351"/>
      <c r="AT52" s="351"/>
      <c r="AU52" s="351"/>
      <c r="AV52" s="351"/>
      <c r="AW52" s="351"/>
      <c r="AX52" s="351"/>
      <c r="AY52" s="9"/>
    </row>
    <row r="53" spans="2:51" ht="11.45" customHeight="1" x14ac:dyDescent="0.2">
      <c r="B53" s="7"/>
      <c r="C53" s="360" t="str">
        <f>IF($C$28="","","Medios de verificación")</f>
        <v>Medios de verificación</v>
      </c>
      <c r="D53" s="360"/>
      <c r="E53" s="360"/>
      <c r="F53" s="360"/>
      <c r="G53" s="360"/>
      <c r="H53" s="329" t="str">
        <f>LISTAS!AP12</f>
        <v>PAT.</v>
      </c>
      <c r="I53" s="330"/>
      <c r="J53" s="330"/>
      <c r="K53" s="330"/>
      <c r="L53" s="330"/>
      <c r="M53" s="330"/>
      <c r="N53" s="330"/>
      <c r="O53" s="329" t="str">
        <f>LISTAS!AQ12</f>
        <v>PCI.</v>
      </c>
      <c r="P53" s="330"/>
      <c r="Q53" s="330"/>
      <c r="R53" s="330"/>
      <c r="S53" s="330"/>
      <c r="T53" s="330"/>
      <c r="U53" s="330"/>
      <c r="V53" s="329" t="str">
        <f>LISTAS!AR12</f>
        <v>PAT. Cartas, Oficios, Memo.</v>
      </c>
      <c r="W53" s="330"/>
      <c r="X53" s="330"/>
      <c r="Y53" s="330"/>
      <c r="Z53" s="330"/>
      <c r="AA53" s="330"/>
      <c r="AB53" s="330"/>
      <c r="AC53" s="329" t="str">
        <f>LISTAS!AS12</f>
        <v>PAT. Documentos administrativos: Cartas, Oficios, Memo. Lista de Asistencia. Fotografías.</v>
      </c>
      <c r="AD53" s="330"/>
      <c r="AE53" s="330"/>
      <c r="AF53" s="330"/>
      <c r="AG53" s="330"/>
      <c r="AH53" s="330"/>
      <c r="AI53" s="330"/>
      <c r="AJ53" s="344"/>
      <c r="AK53" s="345"/>
      <c r="AL53" s="345"/>
      <c r="AM53" s="345"/>
      <c r="AN53" s="345"/>
      <c r="AO53" s="346"/>
      <c r="AP53" s="329"/>
      <c r="AQ53" s="329"/>
      <c r="AR53" s="329"/>
      <c r="AS53" s="329"/>
      <c r="AT53" s="329"/>
      <c r="AU53" s="329"/>
      <c r="AV53" s="329"/>
      <c r="AW53" s="329"/>
      <c r="AX53" s="329"/>
      <c r="AY53" s="9"/>
    </row>
    <row r="54" spans="2:51" ht="11.45" customHeight="1" x14ac:dyDescent="0.2">
      <c r="B54" s="7"/>
      <c r="C54" s="361"/>
      <c r="D54" s="361"/>
      <c r="E54" s="361"/>
      <c r="F54" s="361"/>
      <c r="G54" s="361"/>
      <c r="H54" s="331"/>
      <c r="I54" s="332"/>
      <c r="J54" s="332"/>
      <c r="K54" s="332"/>
      <c r="L54" s="332"/>
      <c r="M54" s="332"/>
      <c r="N54" s="332"/>
      <c r="O54" s="331"/>
      <c r="P54" s="332"/>
      <c r="Q54" s="332"/>
      <c r="R54" s="332"/>
      <c r="S54" s="332"/>
      <c r="T54" s="332"/>
      <c r="U54" s="332"/>
      <c r="V54" s="331"/>
      <c r="W54" s="332"/>
      <c r="X54" s="332"/>
      <c r="Y54" s="332"/>
      <c r="Z54" s="332"/>
      <c r="AA54" s="332"/>
      <c r="AB54" s="332"/>
      <c r="AC54" s="331"/>
      <c r="AD54" s="332"/>
      <c r="AE54" s="332"/>
      <c r="AF54" s="332"/>
      <c r="AG54" s="332"/>
      <c r="AH54" s="332"/>
      <c r="AI54" s="332"/>
      <c r="AJ54" s="344"/>
      <c r="AK54" s="345"/>
      <c r="AL54" s="345"/>
      <c r="AM54" s="345"/>
      <c r="AN54" s="345"/>
      <c r="AO54" s="346"/>
      <c r="AP54" s="331"/>
      <c r="AQ54" s="331"/>
      <c r="AR54" s="331"/>
      <c r="AS54" s="331"/>
      <c r="AT54" s="331"/>
      <c r="AU54" s="331"/>
      <c r="AV54" s="331"/>
      <c r="AW54" s="331"/>
      <c r="AX54" s="331"/>
      <c r="AY54" s="9"/>
    </row>
    <row r="55" spans="2:51" ht="11.45" customHeight="1" x14ac:dyDescent="0.2">
      <c r="B55" s="7"/>
      <c r="C55" s="361"/>
      <c r="D55" s="361"/>
      <c r="E55" s="361"/>
      <c r="F55" s="361"/>
      <c r="G55" s="361"/>
      <c r="H55" s="331"/>
      <c r="I55" s="332"/>
      <c r="J55" s="332"/>
      <c r="K55" s="332"/>
      <c r="L55" s="332"/>
      <c r="M55" s="332"/>
      <c r="N55" s="332"/>
      <c r="O55" s="331"/>
      <c r="P55" s="332"/>
      <c r="Q55" s="332"/>
      <c r="R55" s="332"/>
      <c r="S55" s="332"/>
      <c r="T55" s="332"/>
      <c r="U55" s="332"/>
      <c r="V55" s="331"/>
      <c r="W55" s="332"/>
      <c r="X55" s="332"/>
      <c r="Y55" s="332"/>
      <c r="Z55" s="332"/>
      <c r="AA55" s="332"/>
      <c r="AB55" s="332"/>
      <c r="AC55" s="331"/>
      <c r="AD55" s="332"/>
      <c r="AE55" s="332"/>
      <c r="AF55" s="332"/>
      <c r="AG55" s="332"/>
      <c r="AH55" s="332"/>
      <c r="AI55" s="332"/>
      <c r="AJ55" s="344"/>
      <c r="AK55" s="345"/>
      <c r="AL55" s="345"/>
      <c r="AM55" s="345"/>
      <c r="AN55" s="345"/>
      <c r="AO55" s="346"/>
      <c r="AP55" s="331"/>
      <c r="AQ55" s="331"/>
      <c r="AR55" s="331"/>
      <c r="AS55" s="331"/>
      <c r="AT55" s="331"/>
      <c r="AU55" s="331"/>
      <c r="AV55" s="331"/>
      <c r="AW55" s="331"/>
      <c r="AX55" s="331"/>
      <c r="AY55" s="9"/>
    </row>
    <row r="56" spans="2:51" ht="11.45" customHeight="1" x14ac:dyDescent="0.2">
      <c r="B56" s="7"/>
      <c r="C56" s="362"/>
      <c r="D56" s="362"/>
      <c r="E56" s="362"/>
      <c r="F56" s="362"/>
      <c r="G56" s="362"/>
      <c r="H56" s="333"/>
      <c r="I56" s="333"/>
      <c r="J56" s="333"/>
      <c r="K56" s="333"/>
      <c r="L56" s="333"/>
      <c r="M56" s="333"/>
      <c r="N56" s="333"/>
      <c r="O56" s="333"/>
      <c r="P56" s="333"/>
      <c r="Q56" s="333"/>
      <c r="R56" s="333"/>
      <c r="S56" s="333"/>
      <c r="T56" s="333"/>
      <c r="U56" s="333"/>
      <c r="V56" s="333"/>
      <c r="W56" s="333"/>
      <c r="X56" s="333"/>
      <c r="Y56" s="333"/>
      <c r="Z56" s="333"/>
      <c r="AA56" s="333"/>
      <c r="AB56" s="333"/>
      <c r="AC56" s="333"/>
      <c r="AD56" s="333"/>
      <c r="AE56" s="333"/>
      <c r="AF56" s="333"/>
      <c r="AG56" s="333"/>
      <c r="AH56" s="333"/>
      <c r="AI56" s="333"/>
      <c r="AJ56" s="347"/>
      <c r="AK56" s="348"/>
      <c r="AL56" s="348"/>
      <c r="AM56" s="348"/>
      <c r="AN56" s="348"/>
      <c r="AO56" s="349"/>
      <c r="AP56" s="352"/>
      <c r="AQ56" s="352"/>
      <c r="AR56" s="352"/>
      <c r="AS56" s="352"/>
      <c r="AT56" s="352"/>
      <c r="AU56" s="352"/>
      <c r="AV56" s="352"/>
      <c r="AW56" s="352"/>
      <c r="AX56" s="352"/>
      <c r="AY56" s="9"/>
    </row>
    <row r="57" spans="2:51" ht="7.5" customHeight="1" x14ac:dyDescent="0.2">
      <c r="B57" s="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9"/>
    </row>
    <row r="58" spans="2:51" ht="11.45" customHeight="1" x14ac:dyDescent="0.2">
      <c r="B58" s="7"/>
      <c r="C58" s="317" t="str">
        <f>LISTAS!AJ13</f>
        <v xml:space="preserve">12. La I.E. implementó  acciones para la práctica de la higiene integral (lavado de manos, higiene bucal, aseo y cuidado personal). </v>
      </c>
      <c r="D58" s="318"/>
      <c r="E58" s="318"/>
      <c r="F58" s="318"/>
      <c r="G58" s="318"/>
      <c r="H58" s="334" t="str">
        <f>LISTAS!AK13</f>
        <v>La I.E. cuenta con una planificación de actividades, así como espacios educativos adecuados, para garantizar la puesta en práctica de hábitos de higiene integral, incluidos en el PAT.</v>
      </c>
      <c r="I58" s="335"/>
      <c r="J58" s="335"/>
      <c r="K58" s="335"/>
      <c r="L58" s="335"/>
      <c r="M58" s="335"/>
      <c r="N58" s="336"/>
      <c r="O58" s="334" t="str">
        <f>LISTAS!AL13</f>
        <v>La I.E.  Implementó actividades pedagógicas sobre la importancia y la práctica diaria del lavado de manos (antes y después de las comidas y después del uso de los baños) e higiene bucal.</v>
      </c>
      <c r="P58" s="335"/>
      <c r="Q58" s="335"/>
      <c r="R58" s="335"/>
      <c r="S58" s="335"/>
      <c r="T58" s="335"/>
      <c r="U58" s="336"/>
      <c r="V58" s="334" t="str">
        <f>LISTAS!AM13</f>
        <v xml:space="preserve">La I.E. implementó actividades pedagógicas sobre la importancia y la práctica diaria de aseo y del cuidado personal (baño cotidiano, control de la pediculosis, ropa limpia, etc.). </v>
      </c>
      <c r="W58" s="335"/>
      <c r="X58" s="335"/>
      <c r="Y58" s="335"/>
      <c r="Z58" s="335"/>
      <c r="AA58" s="335"/>
      <c r="AB58" s="336"/>
      <c r="AC58" s="334" t="str">
        <f>LISTAS!AN13</f>
        <v>La I.E. sensibilizó a las familias de la comunidad educativa y/o comunidad local en la adopción de hábitos de higiene integral.</v>
      </c>
      <c r="AD58" s="335"/>
      <c r="AE58" s="335"/>
      <c r="AF58" s="335"/>
      <c r="AG58" s="335"/>
      <c r="AH58" s="335"/>
      <c r="AI58" s="336"/>
      <c r="AJ58" s="338" t="str">
        <f>LISTAS!AO13</f>
        <v>N° de hitos de aplicación del enfoque ambiental puestos en práctica en la implementación de hábitos de higiene integral.</v>
      </c>
      <c r="AK58" s="339"/>
      <c r="AL58" s="339"/>
      <c r="AM58" s="339"/>
      <c r="AN58" s="339"/>
      <c r="AO58" s="340"/>
      <c r="AP58" s="350"/>
      <c r="AQ58" s="351"/>
      <c r="AR58" s="351"/>
      <c r="AS58" s="351"/>
      <c r="AT58" s="351"/>
      <c r="AU58" s="351"/>
      <c r="AV58" s="351"/>
      <c r="AW58" s="351"/>
      <c r="AX58" s="351"/>
      <c r="AY58" s="9"/>
    </row>
    <row r="59" spans="2:51" ht="11.45" customHeight="1" x14ac:dyDescent="0.2">
      <c r="B59" s="7"/>
      <c r="C59" s="318"/>
      <c r="D59" s="318"/>
      <c r="E59" s="318"/>
      <c r="F59" s="318"/>
      <c r="G59" s="318"/>
      <c r="H59" s="337"/>
      <c r="I59" s="335"/>
      <c r="J59" s="335"/>
      <c r="K59" s="335"/>
      <c r="L59" s="335"/>
      <c r="M59" s="335"/>
      <c r="N59" s="336"/>
      <c r="O59" s="337"/>
      <c r="P59" s="335"/>
      <c r="Q59" s="335"/>
      <c r="R59" s="335"/>
      <c r="S59" s="335"/>
      <c r="T59" s="335"/>
      <c r="U59" s="336"/>
      <c r="V59" s="337"/>
      <c r="W59" s="335"/>
      <c r="X59" s="335"/>
      <c r="Y59" s="335"/>
      <c r="Z59" s="335"/>
      <c r="AA59" s="335"/>
      <c r="AB59" s="336"/>
      <c r="AC59" s="337"/>
      <c r="AD59" s="335"/>
      <c r="AE59" s="335"/>
      <c r="AF59" s="335"/>
      <c r="AG59" s="335"/>
      <c r="AH59" s="335"/>
      <c r="AI59" s="336"/>
      <c r="AJ59" s="341"/>
      <c r="AK59" s="342"/>
      <c r="AL59" s="342"/>
      <c r="AM59" s="342"/>
      <c r="AN59" s="342"/>
      <c r="AO59" s="343"/>
      <c r="AP59" s="351"/>
      <c r="AQ59" s="351"/>
      <c r="AR59" s="351"/>
      <c r="AS59" s="351"/>
      <c r="AT59" s="351"/>
      <c r="AU59" s="351"/>
      <c r="AV59" s="351"/>
      <c r="AW59" s="351"/>
      <c r="AX59" s="351"/>
      <c r="AY59" s="9"/>
    </row>
    <row r="60" spans="2:51" ht="11.45" customHeight="1" x14ac:dyDescent="0.2">
      <c r="B60" s="7"/>
      <c r="C60" s="318"/>
      <c r="D60" s="318"/>
      <c r="E60" s="318"/>
      <c r="F60" s="318"/>
      <c r="G60" s="318"/>
      <c r="H60" s="337"/>
      <c r="I60" s="335"/>
      <c r="J60" s="335"/>
      <c r="K60" s="335"/>
      <c r="L60" s="335"/>
      <c r="M60" s="335"/>
      <c r="N60" s="336"/>
      <c r="O60" s="337"/>
      <c r="P60" s="335"/>
      <c r="Q60" s="335"/>
      <c r="R60" s="335"/>
      <c r="S60" s="335"/>
      <c r="T60" s="335"/>
      <c r="U60" s="336"/>
      <c r="V60" s="337"/>
      <c r="W60" s="335"/>
      <c r="X60" s="335"/>
      <c r="Y60" s="335"/>
      <c r="Z60" s="335"/>
      <c r="AA60" s="335"/>
      <c r="AB60" s="336"/>
      <c r="AC60" s="337"/>
      <c r="AD60" s="335"/>
      <c r="AE60" s="335"/>
      <c r="AF60" s="335"/>
      <c r="AG60" s="335"/>
      <c r="AH60" s="335"/>
      <c r="AI60" s="336"/>
      <c r="AJ60" s="341"/>
      <c r="AK60" s="342"/>
      <c r="AL60" s="342"/>
      <c r="AM60" s="342"/>
      <c r="AN60" s="342"/>
      <c r="AO60" s="343"/>
      <c r="AP60" s="351"/>
      <c r="AQ60" s="351"/>
      <c r="AR60" s="351"/>
      <c r="AS60" s="351"/>
      <c r="AT60" s="351"/>
      <c r="AU60" s="351"/>
      <c r="AV60" s="351"/>
      <c r="AW60" s="351"/>
      <c r="AX60" s="351"/>
      <c r="AY60" s="9"/>
    </row>
    <row r="61" spans="2:51" ht="11.45" customHeight="1" x14ac:dyDescent="0.2">
      <c r="B61" s="7"/>
      <c r="C61" s="318"/>
      <c r="D61" s="318"/>
      <c r="E61" s="318"/>
      <c r="F61" s="318"/>
      <c r="G61" s="318"/>
      <c r="H61" s="337"/>
      <c r="I61" s="335"/>
      <c r="J61" s="335"/>
      <c r="K61" s="335"/>
      <c r="L61" s="335"/>
      <c r="M61" s="335"/>
      <c r="N61" s="336"/>
      <c r="O61" s="337"/>
      <c r="P61" s="335"/>
      <c r="Q61" s="335"/>
      <c r="R61" s="335"/>
      <c r="S61" s="335"/>
      <c r="T61" s="335"/>
      <c r="U61" s="336"/>
      <c r="V61" s="337"/>
      <c r="W61" s="335"/>
      <c r="X61" s="335"/>
      <c r="Y61" s="335"/>
      <c r="Z61" s="335"/>
      <c r="AA61" s="335"/>
      <c r="AB61" s="336"/>
      <c r="AC61" s="337"/>
      <c r="AD61" s="335"/>
      <c r="AE61" s="335"/>
      <c r="AF61" s="335"/>
      <c r="AG61" s="335"/>
      <c r="AH61" s="335"/>
      <c r="AI61" s="336"/>
      <c r="AJ61" s="341"/>
      <c r="AK61" s="342"/>
      <c r="AL61" s="342"/>
      <c r="AM61" s="342"/>
      <c r="AN61" s="342"/>
      <c r="AO61" s="343"/>
      <c r="AP61" s="351"/>
      <c r="AQ61" s="351"/>
      <c r="AR61" s="351"/>
      <c r="AS61" s="351"/>
      <c r="AT61" s="351"/>
      <c r="AU61" s="351"/>
      <c r="AV61" s="351"/>
      <c r="AW61" s="351"/>
      <c r="AX61" s="351"/>
      <c r="AY61" s="9"/>
    </row>
    <row r="62" spans="2:51" ht="11.45" customHeight="1" x14ac:dyDescent="0.2">
      <c r="B62" s="7"/>
      <c r="C62" s="318"/>
      <c r="D62" s="318"/>
      <c r="E62" s="318"/>
      <c r="F62" s="318"/>
      <c r="G62" s="318"/>
      <c r="H62" s="337"/>
      <c r="I62" s="335"/>
      <c r="J62" s="335"/>
      <c r="K62" s="335"/>
      <c r="L62" s="335"/>
      <c r="M62" s="335"/>
      <c r="N62" s="336"/>
      <c r="O62" s="337"/>
      <c r="P62" s="335"/>
      <c r="Q62" s="335"/>
      <c r="R62" s="335"/>
      <c r="S62" s="335"/>
      <c r="T62" s="335"/>
      <c r="U62" s="336"/>
      <c r="V62" s="337"/>
      <c r="W62" s="335"/>
      <c r="X62" s="335"/>
      <c r="Y62" s="335"/>
      <c r="Z62" s="335"/>
      <c r="AA62" s="335"/>
      <c r="AB62" s="336"/>
      <c r="AC62" s="337"/>
      <c r="AD62" s="335"/>
      <c r="AE62" s="335"/>
      <c r="AF62" s="335"/>
      <c r="AG62" s="335"/>
      <c r="AH62" s="335"/>
      <c r="AI62" s="336"/>
      <c r="AJ62" s="341"/>
      <c r="AK62" s="342"/>
      <c r="AL62" s="342"/>
      <c r="AM62" s="342"/>
      <c r="AN62" s="342"/>
      <c r="AO62" s="343"/>
      <c r="AP62" s="351"/>
      <c r="AQ62" s="351"/>
      <c r="AR62" s="351"/>
      <c r="AS62" s="351"/>
      <c r="AT62" s="351"/>
      <c r="AU62" s="351"/>
      <c r="AV62" s="351"/>
      <c r="AW62" s="351"/>
      <c r="AX62" s="351"/>
      <c r="AY62" s="9"/>
    </row>
    <row r="63" spans="2:51" ht="11.45" customHeight="1" x14ac:dyDescent="0.2">
      <c r="B63" s="7"/>
      <c r="C63" s="318"/>
      <c r="D63" s="318"/>
      <c r="E63" s="318"/>
      <c r="F63" s="318"/>
      <c r="G63" s="318"/>
      <c r="H63" s="337"/>
      <c r="I63" s="335"/>
      <c r="J63" s="335"/>
      <c r="K63" s="335"/>
      <c r="L63" s="335"/>
      <c r="M63" s="335"/>
      <c r="N63" s="336"/>
      <c r="O63" s="337"/>
      <c r="P63" s="335"/>
      <c r="Q63" s="335"/>
      <c r="R63" s="335"/>
      <c r="S63" s="335"/>
      <c r="T63" s="335"/>
      <c r="U63" s="336"/>
      <c r="V63" s="337"/>
      <c r="W63" s="335"/>
      <c r="X63" s="335"/>
      <c r="Y63" s="335"/>
      <c r="Z63" s="335"/>
      <c r="AA63" s="335"/>
      <c r="AB63" s="336"/>
      <c r="AC63" s="337"/>
      <c r="AD63" s="335"/>
      <c r="AE63" s="335"/>
      <c r="AF63" s="335"/>
      <c r="AG63" s="335"/>
      <c r="AH63" s="335"/>
      <c r="AI63" s="336"/>
      <c r="AJ63" s="341"/>
      <c r="AK63" s="342"/>
      <c r="AL63" s="342"/>
      <c r="AM63" s="342"/>
      <c r="AN63" s="342"/>
      <c r="AO63" s="343"/>
      <c r="AP63" s="351"/>
      <c r="AQ63" s="351"/>
      <c r="AR63" s="351"/>
      <c r="AS63" s="351"/>
      <c r="AT63" s="351"/>
      <c r="AU63" s="351"/>
      <c r="AV63" s="351"/>
      <c r="AW63" s="351"/>
      <c r="AX63" s="351"/>
      <c r="AY63" s="9"/>
    </row>
    <row r="64" spans="2:51" ht="11.45" customHeight="1" x14ac:dyDescent="0.2">
      <c r="B64" s="7"/>
      <c r="C64" s="318"/>
      <c r="D64" s="318"/>
      <c r="E64" s="318"/>
      <c r="F64" s="318"/>
      <c r="G64" s="318"/>
      <c r="H64" s="337"/>
      <c r="I64" s="335"/>
      <c r="J64" s="335"/>
      <c r="K64" s="335"/>
      <c r="L64" s="335"/>
      <c r="M64" s="335"/>
      <c r="N64" s="336"/>
      <c r="O64" s="337"/>
      <c r="P64" s="335"/>
      <c r="Q64" s="335"/>
      <c r="R64" s="335"/>
      <c r="S64" s="335"/>
      <c r="T64" s="335"/>
      <c r="U64" s="336"/>
      <c r="V64" s="337"/>
      <c r="W64" s="335"/>
      <c r="X64" s="335"/>
      <c r="Y64" s="335"/>
      <c r="Z64" s="335"/>
      <c r="AA64" s="335"/>
      <c r="AB64" s="336"/>
      <c r="AC64" s="337"/>
      <c r="AD64" s="335"/>
      <c r="AE64" s="335"/>
      <c r="AF64" s="335"/>
      <c r="AG64" s="335"/>
      <c r="AH64" s="335"/>
      <c r="AI64" s="336"/>
      <c r="AJ64" s="341"/>
      <c r="AK64" s="342"/>
      <c r="AL64" s="342"/>
      <c r="AM64" s="342"/>
      <c r="AN64" s="342"/>
      <c r="AO64" s="343"/>
      <c r="AP64" s="351"/>
      <c r="AQ64" s="351"/>
      <c r="AR64" s="351"/>
      <c r="AS64" s="351"/>
      <c r="AT64" s="351"/>
      <c r="AU64" s="351"/>
      <c r="AV64" s="351"/>
      <c r="AW64" s="351"/>
      <c r="AX64" s="351"/>
      <c r="AY64" s="9"/>
    </row>
    <row r="65" spans="2:51" ht="25.5" customHeight="1" x14ac:dyDescent="0.2">
      <c r="B65" s="7"/>
      <c r="C65" s="318"/>
      <c r="D65" s="318"/>
      <c r="E65" s="318"/>
      <c r="F65" s="318"/>
      <c r="G65" s="318"/>
      <c r="H65" s="337"/>
      <c r="I65" s="335"/>
      <c r="J65" s="335"/>
      <c r="K65" s="335"/>
      <c r="L65" s="335"/>
      <c r="M65" s="335"/>
      <c r="N65" s="336"/>
      <c r="O65" s="337"/>
      <c r="P65" s="335"/>
      <c r="Q65" s="335"/>
      <c r="R65" s="335"/>
      <c r="S65" s="335"/>
      <c r="T65" s="335"/>
      <c r="U65" s="336"/>
      <c r="V65" s="337"/>
      <c r="W65" s="335"/>
      <c r="X65" s="335"/>
      <c r="Y65" s="335"/>
      <c r="Z65" s="335"/>
      <c r="AA65" s="335"/>
      <c r="AB65" s="336"/>
      <c r="AC65" s="337"/>
      <c r="AD65" s="335"/>
      <c r="AE65" s="335"/>
      <c r="AF65" s="335"/>
      <c r="AG65" s="335"/>
      <c r="AH65" s="335"/>
      <c r="AI65" s="336"/>
      <c r="AJ65" s="341"/>
      <c r="AK65" s="342"/>
      <c r="AL65" s="342"/>
      <c r="AM65" s="342"/>
      <c r="AN65" s="342"/>
      <c r="AO65" s="343"/>
      <c r="AP65" s="351"/>
      <c r="AQ65" s="351"/>
      <c r="AR65" s="351"/>
      <c r="AS65" s="351"/>
      <c r="AT65" s="351"/>
      <c r="AU65" s="351"/>
      <c r="AV65" s="351"/>
      <c r="AW65" s="351"/>
      <c r="AX65" s="351"/>
      <c r="AY65" s="9"/>
    </row>
    <row r="66" spans="2:51" ht="6.95" customHeight="1" x14ac:dyDescent="0.2">
      <c r="B66" s="7"/>
      <c r="C66" s="318"/>
      <c r="D66" s="318"/>
      <c r="E66" s="318"/>
      <c r="F66" s="318"/>
      <c r="G66" s="318"/>
      <c r="H66" s="325"/>
      <c r="I66" s="326"/>
      <c r="J66" s="326"/>
      <c r="K66" s="326"/>
      <c r="L66" s="326"/>
      <c r="M66" s="326"/>
      <c r="N66" s="327"/>
      <c r="O66" s="325"/>
      <c r="P66" s="326"/>
      <c r="Q66" s="326"/>
      <c r="R66" s="326"/>
      <c r="S66" s="326"/>
      <c r="T66" s="326"/>
      <c r="U66" s="327"/>
      <c r="V66" s="325"/>
      <c r="W66" s="326"/>
      <c r="X66" s="326"/>
      <c r="Y66" s="326"/>
      <c r="Z66" s="326"/>
      <c r="AA66" s="326"/>
      <c r="AB66" s="327"/>
      <c r="AC66" s="325"/>
      <c r="AD66" s="326"/>
      <c r="AE66" s="326"/>
      <c r="AF66" s="326"/>
      <c r="AG66" s="326"/>
      <c r="AH66" s="326"/>
      <c r="AI66" s="327"/>
      <c r="AJ66" s="341"/>
      <c r="AK66" s="342"/>
      <c r="AL66" s="342"/>
      <c r="AM66" s="342"/>
      <c r="AN66" s="342"/>
      <c r="AO66" s="343"/>
      <c r="AP66" s="351"/>
      <c r="AQ66" s="351"/>
      <c r="AR66" s="351"/>
      <c r="AS66" s="351"/>
      <c r="AT66" s="351"/>
      <c r="AU66" s="351"/>
      <c r="AV66" s="351"/>
      <c r="AW66" s="351"/>
      <c r="AX66" s="351"/>
      <c r="AY66" s="9"/>
    </row>
    <row r="67" spans="2:51" ht="6.95" customHeight="1" x14ac:dyDescent="0.2">
      <c r="B67" s="7"/>
      <c r="C67" s="318"/>
      <c r="D67" s="318"/>
      <c r="E67" s="318"/>
      <c r="F67" s="318"/>
      <c r="G67" s="318"/>
      <c r="H67" s="328"/>
      <c r="I67" s="326"/>
      <c r="J67" s="326"/>
      <c r="K67" s="326"/>
      <c r="L67" s="326"/>
      <c r="M67" s="326"/>
      <c r="N67" s="327"/>
      <c r="O67" s="328"/>
      <c r="P67" s="326"/>
      <c r="Q67" s="326"/>
      <c r="R67" s="326"/>
      <c r="S67" s="326"/>
      <c r="T67" s="326"/>
      <c r="U67" s="327"/>
      <c r="V67" s="328"/>
      <c r="W67" s="326"/>
      <c r="X67" s="326"/>
      <c r="Y67" s="326"/>
      <c r="Z67" s="326"/>
      <c r="AA67" s="326"/>
      <c r="AB67" s="327"/>
      <c r="AC67" s="328"/>
      <c r="AD67" s="326"/>
      <c r="AE67" s="326"/>
      <c r="AF67" s="326"/>
      <c r="AG67" s="326"/>
      <c r="AH67" s="326"/>
      <c r="AI67" s="327"/>
      <c r="AJ67" s="341"/>
      <c r="AK67" s="342"/>
      <c r="AL67" s="342"/>
      <c r="AM67" s="342"/>
      <c r="AN67" s="342"/>
      <c r="AO67" s="343"/>
      <c r="AP67" s="351"/>
      <c r="AQ67" s="351"/>
      <c r="AR67" s="351"/>
      <c r="AS67" s="351"/>
      <c r="AT67" s="351"/>
      <c r="AU67" s="351"/>
      <c r="AV67" s="351"/>
      <c r="AW67" s="351"/>
      <c r="AX67" s="351"/>
      <c r="AY67" s="9"/>
    </row>
    <row r="68" spans="2:51" ht="11.45" customHeight="1" x14ac:dyDescent="0.2">
      <c r="B68" s="7"/>
      <c r="C68" s="360" t="str">
        <f>IF($C$28="","","Medios de verificación")</f>
        <v>Medios de verificación</v>
      </c>
      <c r="D68" s="360"/>
      <c r="E68" s="360"/>
      <c r="F68" s="360"/>
      <c r="G68" s="360"/>
      <c r="H68" s="329" t="str">
        <f>LISTAS!AP13</f>
        <v>PAT.</v>
      </c>
      <c r="I68" s="330"/>
      <c r="J68" s="330"/>
      <c r="K68" s="330"/>
      <c r="L68" s="330"/>
      <c r="M68" s="330"/>
      <c r="N68" s="330"/>
      <c r="O68" s="329" t="str">
        <f>LISTAS!AQ13</f>
        <v>PCI.</v>
      </c>
      <c r="P68" s="330"/>
      <c r="Q68" s="330"/>
      <c r="R68" s="330"/>
      <c r="S68" s="330"/>
      <c r="T68" s="330"/>
      <c r="U68" s="330"/>
      <c r="V68" s="329" t="str">
        <f>LISTAS!AR13</f>
        <v>PCI.</v>
      </c>
      <c r="W68" s="330"/>
      <c r="X68" s="330"/>
      <c r="Y68" s="330"/>
      <c r="Z68" s="330"/>
      <c r="AA68" s="330"/>
      <c r="AB68" s="330"/>
      <c r="AC68" s="329" t="str">
        <f>LISTAS!AS13</f>
        <v>PAT. Documentos administrativos: Cartas, Oficios, Memo. Lista de Asistencia. Fotografías.</v>
      </c>
      <c r="AD68" s="330"/>
      <c r="AE68" s="330"/>
      <c r="AF68" s="330"/>
      <c r="AG68" s="330"/>
      <c r="AH68" s="330"/>
      <c r="AI68" s="330"/>
      <c r="AJ68" s="344"/>
      <c r="AK68" s="345"/>
      <c r="AL68" s="345"/>
      <c r="AM68" s="345"/>
      <c r="AN68" s="345"/>
      <c r="AO68" s="346"/>
      <c r="AP68" s="329"/>
      <c r="AQ68" s="329"/>
      <c r="AR68" s="329"/>
      <c r="AS68" s="329"/>
      <c r="AT68" s="329"/>
      <c r="AU68" s="329"/>
      <c r="AV68" s="329"/>
      <c r="AW68" s="329"/>
      <c r="AX68" s="329"/>
      <c r="AY68" s="9"/>
    </row>
    <row r="69" spans="2:51" ht="11.45" customHeight="1" x14ac:dyDescent="0.2">
      <c r="B69" s="7"/>
      <c r="C69" s="361"/>
      <c r="D69" s="361"/>
      <c r="E69" s="361"/>
      <c r="F69" s="361"/>
      <c r="G69" s="361"/>
      <c r="H69" s="331"/>
      <c r="I69" s="332"/>
      <c r="J69" s="332"/>
      <c r="K69" s="332"/>
      <c r="L69" s="332"/>
      <c r="M69" s="332"/>
      <c r="N69" s="332"/>
      <c r="O69" s="331"/>
      <c r="P69" s="332"/>
      <c r="Q69" s="332"/>
      <c r="R69" s="332"/>
      <c r="S69" s="332"/>
      <c r="T69" s="332"/>
      <c r="U69" s="332"/>
      <c r="V69" s="331"/>
      <c r="W69" s="332"/>
      <c r="X69" s="332"/>
      <c r="Y69" s="332"/>
      <c r="Z69" s="332"/>
      <c r="AA69" s="332"/>
      <c r="AB69" s="332"/>
      <c r="AC69" s="331"/>
      <c r="AD69" s="332"/>
      <c r="AE69" s="332"/>
      <c r="AF69" s="332"/>
      <c r="AG69" s="332"/>
      <c r="AH69" s="332"/>
      <c r="AI69" s="332"/>
      <c r="AJ69" s="344"/>
      <c r="AK69" s="345"/>
      <c r="AL69" s="345"/>
      <c r="AM69" s="345"/>
      <c r="AN69" s="345"/>
      <c r="AO69" s="346"/>
      <c r="AP69" s="331"/>
      <c r="AQ69" s="331"/>
      <c r="AR69" s="331"/>
      <c r="AS69" s="331"/>
      <c r="AT69" s="331"/>
      <c r="AU69" s="331"/>
      <c r="AV69" s="331"/>
      <c r="AW69" s="331"/>
      <c r="AX69" s="331"/>
      <c r="AY69" s="9"/>
    </row>
    <row r="70" spans="2:51" ht="11.45" customHeight="1" x14ac:dyDescent="0.2">
      <c r="B70" s="7"/>
      <c r="C70" s="361"/>
      <c r="D70" s="361"/>
      <c r="E70" s="361"/>
      <c r="F70" s="361"/>
      <c r="G70" s="361"/>
      <c r="H70" s="331"/>
      <c r="I70" s="332"/>
      <c r="J70" s="332"/>
      <c r="K70" s="332"/>
      <c r="L70" s="332"/>
      <c r="M70" s="332"/>
      <c r="N70" s="332"/>
      <c r="O70" s="331"/>
      <c r="P70" s="332"/>
      <c r="Q70" s="332"/>
      <c r="R70" s="332"/>
      <c r="S70" s="332"/>
      <c r="T70" s="332"/>
      <c r="U70" s="332"/>
      <c r="V70" s="331"/>
      <c r="W70" s="332"/>
      <c r="X70" s="332"/>
      <c r="Y70" s="332"/>
      <c r="Z70" s="332"/>
      <c r="AA70" s="332"/>
      <c r="AB70" s="332"/>
      <c r="AC70" s="331"/>
      <c r="AD70" s="332"/>
      <c r="AE70" s="332"/>
      <c r="AF70" s="332"/>
      <c r="AG70" s="332"/>
      <c r="AH70" s="332"/>
      <c r="AI70" s="332"/>
      <c r="AJ70" s="344"/>
      <c r="AK70" s="345"/>
      <c r="AL70" s="345"/>
      <c r="AM70" s="345"/>
      <c r="AN70" s="345"/>
      <c r="AO70" s="346"/>
      <c r="AP70" s="331"/>
      <c r="AQ70" s="331"/>
      <c r="AR70" s="331"/>
      <c r="AS70" s="331"/>
      <c r="AT70" s="331"/>
      <c r="AU70" s="331"/>
      <c r="AV70" s="331"/>
      <c r="AW70" s="331"/>
      <c r="AX70" s="331"/>
      <c r="AY70" s="9"/>
    </row>
    <row r="71" spans="2:51" ht="11.45" customHeight="1" x14ac:dyDescent="0.2">
      <c r="B71" s="7"/>
      <c r="C71" s="362"/>
      <c r="D71" s="362"/>
      <c r="E71" s="362"/>
      <c r="F71" s="362"/>
      <c r="G71" s="362"/>
      <c r="H71" s="333"/>
      <c r="I71" s="333"/>
      <c r="J71" s="333"/>
      <c r="K71" s="333"/>
      <c r="L71" s="333"/>
      <c r="M71" s="333"/>
      <c r="N71" s="333"/>
      <c r="O71" s="333"/>
      <c r="P71" s="333"/>
      <c r="Q71" s="333"/>
      <c r="R71" s="333"/>
      <c r="S71" s="333"/>
      <c r="T71" s="333"/>
      <c r="U71" s="333"/>
      <c r="V71" s="333"/>
      <c r="W71" s="333"/>
      <c r="X71" s="333"/>
      <c r="Y71" s="333"/>
      <c r="Z71" s="333"/>
      <c r="AA71" s="333"/>
      <c r="AB71" s="333"/>
      <c r="AC71" s="333"/>
      <c r="AD71" s="333"/>
      <c r="AE71" s="333"/>
      <c r="AF71" s="333"/>
      <c r="AG71" s="333"/>
      <c r="AH71" s="333"/>
      <c r="AI71" s="333"/>
      <c r="AJ71" s="347"/>
      <c r="AK71" s="348"/>
      <c r="AL71" s="348"/>
      <c r="AM71" s="348"/>
      <c r="AN71" s="348"/>
      <c r="AO71" s="349"/>
      <c r="AP71" s="352"/>
      <c r="AQ71" s="352"/>
      <c r="AR71" s="352"/>
      <c r="AS71" s="352"/>
      <c r="AT71" s="352"/>
      <c r="AU71" s="352"/>
      <c r="AV71" s="352"/>
      <c r="AW71" s="352"/>
      <c r="AX71" s="352"/>
      <c r="AY71" s="9"/>
    </row>
    <row r="72" spans="2:51" ht="7.5" customHeight="1" x14ac:dyDescent="0.2">
      <c r="B72" s="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9"/>
    </row>
    <row r="73" spans="2:51" ht="11.45" customHeight="1" x14ac:dyDescent="0.2">
      <c r="B73" s="7"/>
      <c r="C73" s="317" t="str">
        <f>LISTAS!AJ14</f>
        <v>13. La I.E. implementó actividades de mantenimiento, orden y limpieza de todos los ambientes como práctica cotidiana y para la prevención de enfermedades prevalentes.</v>
      </c>
      <c r="D73" s="318"/>
      <c r="E73" s="318"/>
      <c r="F73" s="318"/>
      <c r="G73" s="318"/>
      <c r="H73" s="334" t="str">
        <f>LISTAS!AK14</f>
        <v>La I.E. cuenta con una planificación de actividades para promover entornos saludables a través del mantenimiento, orden y limpieza al interior y en los espacios exteriores de la I.E., incluidos en el PAT.</v>
      </c>
      <c r="I73" s="335"/>
      <c r="J73" s="335"/>
      <c r="K73" s="335"/>
      <c r="L73" s="335"/>
      <c r="M73" s="335"/>
      <c r="N73" s="336"/>
      <c r="O73" s="334" t="str">
        <f>LISTAS!AL14</f>
        <v>La I.E. implementó actividades pedagógicas sobre la importancia y la práctica de la limpieza periódica, el orden, la ventilación e iluminación de espacios, como medidas de prevención de enfermedades prevalentes (EDAs, IRAs, Influenza, Dengue y otras de prevalencia local, TBC, entre otros).</v>
      </c>
      <c r="P73" s="335"/>
      <c r="Q73" s="335"/>
      <c r="R73" s="335"/>
      <c r="S73" s="335"/>
      <c r="T73" s="335"/>
      <c r="U73" s="336"/>
      <c r="V73" s="334" t="str">
        <f>LISTAS!AM14</f>
        <v xml:space="preserve">La I.E. implementó actividades institucionales orientadas a mantener la limpieza periódica, el orden, la ventilación e iluminación de espacios, así como la desinfección y fumigación de las aulas, los servicios higiénicos, y otros espacios físicos dentro de la I.E. como en los exteriores de la I.E. (el perímetro, jardines y otros).  </v>
      </c>
      <c r="W73" s="335"/>
      <c r="X73" s="335"/>
      <c r="Y73" s="335"/>
      <c r="Z73" s="335"/>
      <c r="AA73" s="335"/>
      <c r="AB73" s="336"/>
      <c r="AC73" s="334" t="str">
        <f>LISTAS!AN14</f>
        <v>La I.E. sensibilizó a las familias de la comunidad educativa y/o comunidad local, y logra su participación en las actividades de conservación y limpieza de los espacios interiores y exteriores a la I.E como medidas preventivas de enfermedades prevalentes.</v>
      </c>
      <c r="AD73" s="335"/>
      <c r="AE73" s="335"/>
      <c r="AF73" s="335"/>
      <c r="AG73" s="335"/>
      <c r="AH73" s="335"/>
      <c r="AI73" s="336"/>
      <c r="AJ73" s="338" t="str">
        <f>LISTAS!AO14</f>
        <v>N° de hitos de aplicación del enfoque ambiental puestos en práctica para el mantenimiento, orden y limpieza de todos los ambientes como medidas de prevención de enfermedades prevalentes.</v>
      </c>
      <c r="AK73" s="339"/>
      <c r="AL73" s="339"/>
      <c r="AM73" s="339"/>
      <c r="AN73" s="339"/>
      <c r="AO73" s="340"/>
      <c r="AP73" s="350"/>
      <c r="AQ73" s="351"/>
      <c r="AR73" s="351"/>
      <c r="AS73" s="351"/>
      <c r="AT73" s="351"/>
      <c r="AU73" s="351"/>
      <c r="AV73" s="351"/>
      <c r="AW73" s="351"/>
      <c r="AX73" s="351"/>
      <c r="AY73" s="9"/>
    </row>
    <row r="74" spans="2:51" ht="11.45" customHeight="1" x14ac:dyDescent="0.2">
      <c r="B74" s="7"/>
      <c r="C74" s="318"/>
      <c r="D74" s="318"/>
      <c r="E74" s="318"/>
      <c r="F74" s="318"/>
      <c r="G74" s="318"/>
      <c r="H74" s="337"/>
      <c r="I74" s="335"/>
      <c r="J74" s="335"/>
      <c r="K74" s="335"/>
      <c r="L74" s="335"/>
      <c r="M74" s="335"/>
      <c r="N74" s="336"/>
      <c r="O74" s="337"/>
      <c r="P74" s="335"/>
      <c r="Q74" s="335"/>
      <c r="R74" s="335"/>
      <c r="S74" s="335"/>
      <c r="T74" s="335"/>
      <c r="U74" s="336"/>
      <c r="V74" s="337"/>
      <c r="W74" s="335"/>
      <c r="X74" s="335"/>
      <c r="Y74" s="335"/>
      <c r="Z74" s="335"/>
      <c r="AA74" s="335"/>
      <c r="AB74" s="336"/>
      <c r="AC74" s="337"/>
      <c r="AD74" s="335"/>
      <c r="AE74" s="335"/>
      <c r="AF74" s="335"/>
      <c r="AG74" s="335"/>
      <c r="AH74" s="335"/>
      <c r="AI74" s="336"/>
      <c r="AJ74" s="341"/>
      <c r="AK74" s="342"/>
      <c r="AL74" s="342"/>
      <c r="AM74" s="342"/>
      <c r="AN74" s="342"/>
      <c r="AO74" s="343"/>
      <c r="AP74" s="351"/>
      <c r="AQ74" s="351"/>
      <c r="AR74" s="351"/>
      <c r="AS74" s="351"/>
      <c r="AT74" s="351"/>
      <c r="AU74" s="351"/>
      <c r="AV74" s="351"/>
      <c r="AW74" s="351"/>
      <c r="AX74" s="351"/>
      <c r="AY74" s="9"/>
    </row>
    <row r="75" spans="2:51" ht="11.45" customHeight="1" x14ac:dyDescent="0.2">
      <c r="B75" s="7"/>
      <c r="C75" s="318"/>
      <c r="D75" s="318"/>
      <c r="E75" s="318"/>
      <c r="F75" s="318"/>
      <c r="G75" s="318"/>
      <c r="H75" s="337"/>
      <c r="I75" s="335"/>
      <c r="J75" s="335"/>
      <c r="K75" s="335"/>
      <c r="L75" s="335"/>
      <c r="M75" s="335"/>
      <c r="N75" s="336"/>
      <c r="O75" s="337"/>
      <c r="P75" s="335"/>
      <c r="Q75" s="335"/>
      <c r="R75" s="335"/>
      <c r="S75" s="335"/>
      <c r="T75" s="335"/>
      <c r="U75" s="336"/>
      <c r="V75" s="337"/>
      <c r="W75" s="335"/>
      <c r="X75" s="335"/>
      <c r="Y75" s="335"/>
      <c r="Z75" s="335"/>
      <c r="AA75" s="335"/>
      <c r="AB75" s="336"/>
      <c r="AC75" s="337"/>
      <c r="AD75" s="335"/>
      <c r="AE75" s="335"/>
      <c r="AF75" s="335"/>
      <c r="AG75" s="335"/>
      <c r="AH75" s="335"/>
      <c r="AI75" s="336"/>
      <c r="AJ75" s="341"/>
      <c r="AK75" s="342"/>
      <c r="AL75" s="342"/>
      <c r="AM75" s="342"/>
      <c r="AN75" s="342"/>
      <c r="AO75" s="343"/>
      <c r="AP75" s="351"/>
      <c r="AQ75" s="351"/>
      <c r="AR75" s="351"/>
      <c r="AS75" s="351"/>
      <c r="AT75" s="351"/>
      <c r="AU75" s="351"/>
      <c r="AV75" s="351"/>
      <c r="AW75" s="351"/>
      <c r="AX75" s="351"/>
      <c r="AY75" s="9"/>
    </row>
    <row r="76" spans="2:51" ht="11.45" customHeight="1" x14ac:dyDescent="0.2">
      <c r="B76" s="7"/>
      <c r="C76" s="318"/>
      <c r="D76" s="318"/>
      <c r="E76" s="318"/>
      <c r="F76" s="318"/>
      <c r="G76" s="318"/>
      <c r="H76" s="337"/>
      <c r="I76" s="335"/>
      <c r="J76" s="335"/>
      <c r="K76" s="335"/>
      <c r="L76" s="335"/>
      <c r="M76" s="335"/>
      <c r="N76" s="336"/>
      <c r="O76" s="337"/>
      <c r="P76" s="335"/>
      <c r="Q76" s="335"/>
      <c r="R76" s="335"/>
      <c r="S76" s="335"/>
      <c r="T76" s="335"/>
      <c r="U76" s="336"/>
      <c r="V76" s="337"/>
      <c r="W76" s="335"/>
      <c r="X76" s="335"/>
      <c r="Y76" s="335"/>
      <c r="Z76" s="335"/>
      <c r="AA76" s="335"/>
      <c r="AB76" s="336"/>
      <c r="AC76" s="337"/>
      <c r="AD76" s="335"/>
      <c r="AE76" s="335"/>
      <c r="AF76" s="335"/>
      <c r="AG76" s="335"/>
      <c r="AH76" s="335"/>
      <c r="AI76" s="336"/>
      <c r="AJ76" s="341"/>
      <c r="AK76" s="342"/>
      <c r="AL76" s="342"/>
      <c r="AM76" s="342"/>
      <c r="AN76" s="342"/>
      <c r="AO76" s="343"/>
      <c r="AP76" s="351"/>
      <c r="AQ76" s="351"/>
      <c r="AR76" s="351"/>
      <c r="AS76" s="351"/>
      <c r="AT76" s="351"/>
      <c r="AU76" s="351"/>
      <c r="AV76" s="351"/>
      <c r="AW76" s="351"/>
      <c r="AX76" s="351"/>
      <c r="AY76" s="9"/>
    </row>
    <row r="77" spans="2:51" ht="11.45" customHeight="1" x14ac:dyDescent="0.2">
      <c r="B77" s="7"/>
      <c r="C77" s="318"/>
      <c r="D77" s="318"/>
      <c r="E77" s="318"/>
      <c r="F77" s="318"/>
      <c r="G77" s="318"/>
      <c r="H77" s="337"/>
      <c r="I77" s="335"/>
      <c r="J77" s="335"/>
      <c r="K77" s="335"/>
      <c r="L77" s="335"/>
      <c r="M77" s="335"/>
      <c r="N77" s="336"/>
      <c r="O77" s="337"/>
      <c r="P77" s="335"/>
      <c r="Q77" s="335"/>
      <c r="R77" s="335"/>
      <c r="S77" s="335"/>
      <c r="T77" s="335"/>
      <c r="U77" s="336"/>
      <c r="V77" s="337"/>
      <c r="W77" s="335"/>
      <c r="X77" s="335"/>
      <c r="Y77" s="335"/>
      <c r="Z77" s="335"/>
      <c r="AA77" s="335"/>
      <c r="AB77" s="336"/>
      <c r="AC77" s="337"/>
      <c r="AD77" s="335"/>
      <c r="AE77" s="335"/>
      <c r="AF77" s="335"/>
      <c r="AG77" s="335"/>
      <c r="AH77" s="335"/>
      <c r="AI77" s="336"/>
      <c r="AJ77" s="341"/>
      <c r="AK77" s="342"/>
      <c r="AL77" s="342"/>
      <c r="AM77" s="342"/>
      <c r="AN77" s="342"/>
      <c r="AO77" s="343"/>
      <c r="AP77" s="351"/>
      <c r="AQ77" s="351"/>
      <c r="AR77" s="351"/>
      <c r="AS77" s="351"/>
      <c r="AT77" s="351"/>
      <c r="AU77" s="351"/>
      <c r="AV77" s="351"/>
      <c r="AW77" s="351"/>
      <c r="AX77" s="351"/>
      <c r="AY77" s="9"/>
    </row>
    <row r="78" spans="2:51" ht="11.45" customHeight="1" x14ac:dyDescent="0.2">
      <c r="B78" s="7"/>
      <c r="C78" s="318"/>
      <c r="D78" s="318"/>
      <c r="E78" s="318"/>
      <c r="F78" s="318"/>
      <c r="G78" s="318"/>
      <c r="H78" s="337"/>
      <c r="I78" s="335"/>
      <c r="J78" s="335"/>
      <c r="K78" s="335"/>
      <c r="L78" s="335"/>
      <c r="M78" s="335"/>
      <c r="N78" s="336"/>
      <c r="O78" s="337"/>
      <c r="P78" s="335"/>
      <c r="Q78" s="335"/>
      <c r="R78" s="335"/>
      <c r="S78" s="335"/>
      <c r="T78" s="335"/>
      <c r="U78" s="336"/>
      <c r="V78" s="337"/>
      <c r="W78" s="335"/>
      <c r="X78" s="335"/>
      <c r="Y78" s="335"/>
      <c r="Z78" s="335"/>
      <c r="AA78" s="335"/>
      <c r="AB78" s="336"/>
      <c r="AC78" s="337"/>
      <c r="AD78" s="335"/>
      <c r="AE78" s="335"/>
      <c r="AF78" s="335"/>
      <c r="AG78" s="335"/>
      <c r="AH78" s="335"/>
      <c r="AI78" s="336"/>
      <c r="AJ78" s="341"/>
      <c r="AK78" s="342"/>
      <c r="AL78" s="342"/>
      <c r="AM78" s="342"/>
      <c r="AN78" s="342"/>
      <c r="AO78" s="343"/>
      <c r="AP78" s="351"/>
      <c r="AQ78" s="351"/>
      <c r="AR78" s="351"/>
      <c r="AS78" s="351"/>
      <c r="AT78" s="351"/>
      <c r="AU78" s="351"/>
      <c r="AV78" s="351"/>
      <c r="AW78" s="351"/>
      <c r="AX78" s="351"/>
      <c r="AY78" s="9"/>
    </row>
    <row r="79" spans="2:51" ht="11.45" customHeight="1" x14ac:dyDescent="0.2">
      <c r="B79" s="7"/>
      <c r="C79" s="318"/>
      <c r="D79" s="318"/>
      <c r="E79" s="318"/>
      <c r="F79" s="318"/>
      <c r="G79" s="318"/>
      <c r="H79" s="337"/>
      <c r="I79" s="335"/>
      <c r="J79" s="335"/>
      <c r="K79" s="335"/>
      <c r="L79" s="335"/>
      <c r="M79" s="335"/>
      <c r="N79" s="336"/>
      <c r="O79" s="337"/>
      <c r="P79" s="335"/>
      <c r="Q79" s="335"/>
      <c r="R79" s="335"/>
      <c r="S79" s="335"/>
      <c r="T79" s="335"/>
      <c r="U79" s="336"/>
      <c r="V79" s="337"/>
      <c r="W79" s="335"/>
      <c r="X79" s="335"/>
      <c r="Y79" s="335"/>
      <c r="Z79" s="335"/>
      <c r="AA79" s="335"/>
      <c r="AB79" s="336"/>
      <c r="AC79" s="337"/>
      <c r="AD79" s="335"/>
      <c r="AE79" s="335"/>
      <c r="AF79" s="335"/>
      <c r="AG79" s="335"/>
      <c r="AH79" s="335"/>
      <c r="AI79" s="336"/>
      <c r="AJ79" s="341"/>
      <c r="AK79" s="342"/>
      <c r="AL79" s="342"/>
      <c r="AM79" s="342"/>
      <c r="AN79" s="342"/>
      <c r="AO79" s="343"/>
      <c r="AP79" s="351"/>
      <c r="AQ79" s="351"/>
      <c r="AR79" s="351"/>
      <c r="AS79" s="351"/>
      <c r="AT79" s="351"/>
      <c r="AU79" s="351"/>
      <c r="AV79" s="351"/>
      <c r="AW79" s="351"/>
      <c r="AX79" s="351"/>
      <c r="AY79" s="9"/>
    </row>
    <row r="80" spans="2:51" ht="42" customHeight="1" x14ac:dyDescent="0.2">
      <c r="B80" s="7"/>
      <c r="C80" s="318"/>
      <c r="D80" s="318"/>
      <c r="E80" s="318"/>
      <c r="F80" s="318"/>
      <c r="G80" s="318"/>
      <c r="H80" s="337"/>
      <c r="I80" s="335"/>
      <c r="J80" s="335"/>
      <c r="K80" s="335"/>
      <c r="L80" s="335"/>
      <c r="M80" s="335"/>
      <c r="N80" s="336"/>
      <c r="O80" s="337"/>
      <c r="P80" s="335"/>
      <c r="Q80" s="335"/>
      <c r="R80" s="335"/>
      <c r="S80" s="335"/>
      <c r="T80" s="335"/>
      <c r="U80" s="336"/>
      <c r="V80" s="337"/>
      <c r="W80" s="335"/>
      <c r="X80" s="335"/>
      <c r="Y80" s="335"/>
      <c r="Z80" s="335"/>
      <c r="AA80" s="335"/>
      <c r="AB80" s="336"/>
      <c r="AC80" s="337"/>
      <c r="AD80" s="335"/>
      <c r="AE80" s="335"/>
      <c r="AF80" s="335"/>
      <c r="AG80" s="335"/>
      <c r="AH80" s="335"/>
      <c r="AI80" s="336"/>
      <c r="AJ80" s="341"/>
      <c r="AK80" s="342"/>
      <c r="AL80" s="342"/>
      <c r="AM80" s="342"/>
      <c r="AN80" s="342"/>
      <c r="AO80" s="343"/>
      <c r="AP80" s="351"/>
      <c r="AQ80" s="351"/>
      <c r="AR80" s="351"/>
      <c r="AS80" s="351"/>
      <c r="AT80" s="351"/>
      <c r="AU80" s="351"/>
      <c r="AV80" s="351"/>
      <c r="AW80" s="351"/>
      <c r="AX80" s="351"/>
      <c r="AY80" s="9"/>
    </row>
    <row r="81" spans="2:51" ht="6.95" customHeight="1" x14ac:dyDescent="0.2">
      <c r="B81" s="7"/>
      <c r="C81" s="318"/>
      <c r="D81" s="318"/>
      <c r="E81" s="318"/>
      <c r="F81" s="318"/>
      <c r="G81" s="318"/>
      <c r="H81" s="325"/>
      <c r="I81" s="326"/>
      <c r="J81" s="326"/>
      <c r="K81" s="326"/>
      <c r="L81" s="326"/>
      <c r="M81" s="326"/>
      <c r="N81" s="327"/>
      <c r="O81" s="325"/>
      <c r="P81" s="326"/>
      <c r="Q81" s="326"/>
      <c r="R81" s="326"/>
      <c r="S81" s="326"/>
      <c r="T81" s="326"/>
      <c r="U81" s="327"/>
      <c r="V81" s="325"/>
      <c r="W81" s="326"/>
      <c r="X81" s="326"/>
      <c r="Y81" s="326"/>
      <c r="Z81" s="326"/>
      <c r="AA81" s="326"/>
      <c r="AB81" s="327"/>
      <c r="AC81" s="325"/>
      <c r="AD81" s="326"/>
      <c r="AE81" s="326"/>
      <c r="AF81" s="326"/>
      <c r="AG81" s="326"/>
      <c r="AH81" s="326"/>
      <c r="AI81" s="327"/>
      <c r="AJ81" s="341"/>
      <c r="AK81" s="342"/>
      <c r="AL81" s="342"/>
      <c r="AM81" s="342"/>
      <c r="AN81" s="342"/>
      <c r="AO81" s="343"/>
      <c r="AP81" s="351"/>
      <c r="AQ81" s="351"/>
      <c r="AR81" s="351"/>
      <c r="AS81" s="351"/>
      <c r="AT81" s="351"/>
      <c r="AU81" s="351"/>
      <c r="AV81" s="351"/>
      <c r="AW81" s="351"/>
      <c r="AX81" s="351"/>
      <c r="AY81" s="9"/>
    </row>
    <row r="82" spans="2:51" ht="6.95" customHeight="1" x14ac:dyDescent="0.2">
      <c r="B82" s="7"/>
      <c r="C82" s="318"/>
      <c r="D82" s="318"/>
      <c r="E82" s="318"/>
      <c r="F82" s="318"/>
      <c r="G82" s="318"/>
      <c r="H82" s="328"/>
      <c r="I82" s="326"/>
      <c r="J82" s="326"/>
      <c r="K82" s="326"/>
      <c r="L82" s="326"/>
      <c r="M82" s="326"/>
      <c r="N82" s="327"/>
      <c r="O82" s="328"/>
      <c r="P82" s="326"/>
      <c r="Q82" s="326"/>
      <c r="R82" s="326"/>
      <c r="S82" s="326"/>
      <c r="T82" s="326"/>
      <c r="U82" s="327"/>
      <c r="V82" s="328"/>
      <c r="W82" s="326"/>
      <c r="X82" s="326"/>
      <c r="Y82" s="326"/>
      <c r="Z82" s="326"/>
      <c r="AA82" s="326"/>
      <c r="AB82" s="327"/>
      <c r="AC82" s="328"/>
      <c r="AD82" s="326"/>
      <c r="AE82" s="326"/>
      <c r="AF82" s="326"/>
      <c r="AG82" s="326"/>
      <c r="AH82" s="326"/>
      <c r="AI82" s="327"/>
      <c r="AJ82" s="341"/>
      <c r="AK82" s="342"/>
      <c r="AL82" s="342"/>
      <c r="AM82" s="342"/>
      <c r="AN82" s="342"/>
      <c r="AO82" s="343"/>
      <c r="AP82" s="351"/>
      <c r="AQ82" s="351"/>
      <c r="AR82" s="351"/>
      <c r="AS82" s="351"/>
      <c r="AT82" s="351"/>
      <c r="AU82" s="351"/>
      <c r="AV82" s="351"/>
      <c r="AW82" s="351"/>
      <c r="AX82" s="351"/>
      <c r="AY82" s="9"/>
    </row>
    <row r="83" spans="2:51" ht="11.45" customHeight="1" x14ac:dyDescent="0.2">
      <c r="B83" s="7"/>
      <c r="C83" s="360" t="str">
        <f>IF($C$28="","","Medios de verificación")</f>
        <v>Medios de verificación</v>
      </c>
      <c r="D83" s="360"/>
      <c r="E83" s="360"/>
      <c r="F83" s="360"/>
      <c r="G83" s="360"/>
      <c r="H83" s="329" t="str">
        <f>LISTAS!AP14</f>
        <v>PAT.</v>
      </c>
      <c r="I83" s="330"/>
      <c r="J83" s="330"/>
      <c r="K83" s="330"/>
      <c r="L83" s="330"/>
      <c r="M83" s="330"/>
      <c r="N83" s="330"/>
      <c r="O83" s="329" t="str">
        <f>LISTAS!AQ14</f>
        <v>PCI. PAT.</v>
      </c>
      <c r="P83" s="330"/>
      <c r="Q83" s="330"/>
      <c r="R83" s="330"/>
      <c r="S83" s="330"/>
      <c r="T83" s="330"/>
      <c r="U83" s="330"/>
      <c r="V83" s="329" t="str">
        <f>LISTAS!AR14</f>
        <v>PCI. PAT.</v>
      </c>
      <c r="W83" s="330"/>
      <c r="X83" s="330"/>
      <c r="Y83" s="330"/>
      <c r="Z83" s="330"/>
      <c r="AA83" s="330"/>
      <c r="AB83" s="330"/>
      <c r="AC83" s="329" t="str">
        <f>LISTAS!AS14</f>
        <v>PAT. Documentos administrativos: Cartas, Oficios, Memo. Lista de Asistencia. Fotografías.</v>
      </c>
      <c r="AD83" s="330"/>
      <c r="AE83" s="330"/>
      <c r="AF83" s="330"/>
      <c r="AG83" s="330"/>
      <c r="AH83" s="330"/>
      <c r="AI83" s="330"/>
      <c r="AJ83" s="344"/>
      <c r="AK83" s="345"/>
      <c r="AL83" s="345"/>
      <c r="AM83" s="345"/>
      <c r="AN83" s="345"/>
      <c r="AO83" s="346"/>
      <c r="AP83" s="329"/>
      <c r="AQ83" s="329"/>
      <c r="AR83" s="329"/>
      <c r="AS83" s="329"/>
      <c r="AT83" s="329"/>
      <c r="AU83" s="329"/>
      <c r="AV83" s="329"/>
      <c r="AW83" s="329"/>
      <c r="AX83" s="329"/>
      <c r="AY83" s="9"/>
    </row>
    <row r="84" spans="2:51" ht="11.45" customHeight="1" x14ac:dyDescent="0.2">
      <c r="B84" s="7"/>
      <c r="C84" s="361"/>
      <c r="D84" s="361"/>
      <c r="E84" s="361"/>
      <c r="F84" s="361"/>
      <c r="G84" s="361"/>
      <c r="H84" s="331"/>
      <c r="I84" s="332"/>
      <c r="J84" s="332"/>
      <c r="K84" s="332"/>
      <c r="L84" s="332"/>
      <c r="M84" s="332"/>
      <c r="N84" s="332"/>
      <c r="O84" s="331"/>
      <c r="P84" s="332"/>
      <c r="Q84" s="332"/>
      <c r="R84" s="332"/>
      <c r="S84" s="332"/>
      <c r="T84" s="332"/>
      <c r="U84" s="332"/>
      <c r="V84" s="331"/>
      <c r="W84" s="332"/>
      <c r="X84" s="332"/>
      <c r="Y84" s="332"/>
      <c r="Z84" s="332"/>
      <c r="AA84" s="332"/>
      <c r="AB84" s="332"/>
      <c r="AC84" s="331"/>
      <c r="AD84" s="332"/>
      <c r="AE84" s="332"/>
      <c r="AF84" s="332"/>
      <c r="AG84" s="332"/>
      <c r="AH84" s="332"/>
      <c r="AI84" s="332"/>
      <c r="AJ84" s="344"/>
      <c r="AK84" s="345"/>
      <c r="AL84" s="345"/>
      <c r="AM84" s="345"/>
      <c r="AN84" s="345"/>
      <c r="AO84" s="346"/>
      <c r="AP84" s="331"/>
      <c r="AQ84" s="331"/>
      <c r="AR84" s="331"/>
      <c r="AS84" s="331"/>
      <c r="AT84" s="331"/>
      <c r="AU84" s="331"/>
      <c r="AV84" s="331"/>
      <c r="AW84" s="331"/>
      <c r="AX84" s="331"/>
      <c r="AY84" s="9"/>
    </row>
    <row r="85" spans="2:51" ht="11.45" customHeight="1" x14ac:dyDescent="0.2">
      <c r="B85" s="7"/>
      <c r="C85" s="361"/>
      <c r="D85" s="361"/>
      <c r="E85" s="361"/>
      <c r="F85" s="361"/>
      <c r="G85" s="361"/>
      <c r="H85" s="331"/>
      <c r="I85" s="332"/>
      <c r="J85" s="332"/>
      <c r="K85" s="332"/>
      <c r="L85" s="332"/>
      <c r="M85" s="332"/>
      <c r="N85" s="332"/>
      <c r="O85" s="331"/>
      <c r="P85" s="332"/>
      <c r="Q85" s="332"/>
      <c r="R85" s="332"/>
      <c r="S85" s="332"/>
      <c r="T85" s="332"/>
      <c r="U85" s="332"/>
      <c r="V85" s="331"/>
      <c r="W85" s="332"/>
      <c r="X85" s="332"/>
      <c r="Y85" s="332"/>
      <c r="Z85" s="332"/>
      <c r="AA85" s="332"/>
      <c r="AB85" s="332"/>
      <c r="AC85" s="331"/>
      <c r="AD85" s="332"/>
      <c r="AE85" s="332"/>
      <c r="AF85" s="332"/>
      <c r="AG85" s="332"/>
      <c r="AH85" s="332"/>
      <c r="AI85" s="332"/>
      <c r="AJ85" s="344"/>
      <c r="AK85" s="345"/>
      <c r="AL85" s="345"/>
      <c r="AM85" s="345"/>
      <c r="AN85" s="345"/>
      <c r="AO85" s="346"/>
      <c r="AP85" s="331"/>
      <c r="AQ85" s="331"/>
      <c r="AR85" s="331"/>
      <c r="AS85" s="331"/>
      <c r="AT85" s="331"/>
      <c r="AU85" s="331"/>
      <c r="AV85" s="331"/>
      <c r="AW85" s="331"/>
      <c r="AX85" s="331"/>
      <c r="AY85" s="9"/>
    </row>
    <row r="86" spans="2:51" ht="11.45" customHeight="1" x14ac:dyDescent="0.2">
      <c r="B86" s="7"/>
      <c r="C86" s="362"/>
      <c r="D86" s="362"/>
      <c r="E86" s="362"/>
      <c r="F86" s="362"/>
      <c r="G86" s="362"/>
      <c r="H86" s="333"/>
      <c r="I86" s="333"/>
      <c r="J86" s="333"/>
      <c r="K86" s="333"/>
      <c r="L86" s="333"/>
      <c r="M86" s="333"/>
      <c r="N86" s="333"/>
      <c r="O86" s="333"/>
      <c r="P86" s="333"/>
      <c r="Q86" s="333"/>
      <c r="R86" s="333"/>
      <c r="S86" s="333"/>
      <c r="T86" s="333"/>
      <c r="U86" s="333"/>
      <c r="V86" s="333"/>
      <c r="W86" s="333"/>
      <c r="X86" s="333"/>
      <c r="Y86" s="333"/>
      <c r="Z86" s="333"/>
      <c r="AA86" s="333"/>
      <c r="AB86" s="333"/>
      <c r="AC86" s="333"/>
      <c r="AD86" s="333"/>
      <c r="AE86" s="333"/>
      <c r="AF86" s="333"/>
      <c r="AG86" s="333"/>
      <c r="AH86" s="333"/>
      <c r="AI86" s="333"/>
      <c r="AJ86" s="347"/>
      <c r="AK86" s="348"/>
      <c r="AL86" s="348"/>
      <c r="AM86" s="348"/>
      <c r="AN86" s="348"/>
      <c r="AO86" s="349"/>
      <c r="AP86" s="352"/>
      <c r="AQ86" s="352"/>
      <c r="AR86" s="352"/>
      <c r="AS86" s="352"/>
      <c r="AT86" s="352"/>
      <c r="AU86" s="352"/>
      <c r="AV86" s="352"/>
      <c r="AW86" s="352"/>
      <c r="AX86" s="352"/>
      <c r="AY86" s="9"/>
    </row>
    <row r="87" spans="2:51" ht="7.5" customHeight="1" x14ac:dyDescent="0.2">
      <c r="B87" s="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9"/>
    </row>
    <row r="88" spans="2:51" ht="11.45" customHeight="1" x14ac:dyDescent="0.2">
      <c r="B88" s="7"/>
      <c r="C88" s="317" t="str">
        <f>LISTAS!AJ15</f>
        <v>14. La I.E. adoptó medidas de protección frente a los efectos nocivos por la exposición a la radiación ultravioleta.</v>
      </c>
      <c r="D88" s="318"/>
      <c r="E88" s="318"/>
      <c r="F88" s="318"/>
      <c r="G88" s="318"/>
      <c r="H88" s="334" t="str">
        <f>LISTAS!AK15</f>
        <v>La I.E. cuenta con una planificación de actividades para la implementación de acciones de protección y prevención de los efectos nocivos de la radiación solar (el uso del gorro/sombrero, gafas, uso permanente de bloqueadores solares, mallas raschel, tiempos para la formación de acuerdo a la normativa vigente, etc.) incluidos en el PAT.</v>
      </c>
      <c r="I88" s="335"/>
      <c r="J88" s="335"/>
      <c r="K88" s="335"/>
      <c r="L88" s="335"/>
      <c r="M88" s="335"/>
      <c r="N88" s="336"/>
      <c r="O88" s="334" t="str">
        <f>LISTAS!AL15</f>
        <v xml:space="preserve">La I.E. implementó actividades pedagógicas para promover la prevención de los efectos nocivos de la radiación solar. </v>
      </c>
      <c r="P88" s="335"/>
      <c r="Q88" s="335"/>
      <c r="R88" s="335"/>
      <c r="S88" s="335"/>
      <c r="T88" s="335"/>
      <c r="U88" s="336"/>
      <c r="V88" s="334" t="str">
        <f>LISTAS!AM15</f>
        <v>La I.E. implementó medidas y actividades institucionales para la prevención y protección de los efectos nocivos de la radiación solar (por ejemplo la instalación de techos y/o toldos con mallas de tipo raschel en patios, jardines u otros espacios; la dimsinución de los tiempos de las dinámicas de formación escolar al aire libre; entre otros).</v>
      </c>
      <c r="W88" s="335"/>
      <c r="X88" s="335"/>
      <c r="Y88" s="335"/>
      <c r="Z88" s="335"/>
      <c r="AA88" s="335"/>
      <c r="AB88" s="336"/>
      <c r="AC88" s="334" t="str">
        <f>LISTAS!AN15</f>
        <v>La I.E. sensibilizó a las familias de la comunidad educativa y/o comunidad local sobre las medidas de protección a implementar durante todos el año frente a los efectos nocivos por la exposición a la radiación ultravioleta.</v>
      </c>
      <c r="AD88" s="335"/>
      <c r="AE88" s="335"/>
      <c r="AF88" s="335"/>
      <c r="AG88" s="335"/>
      <c r="AH88" s="335"/>
      <c r="AI88" s="336"/>
      <c r="AJ88" s="338" t="str">
        <f>LISTAS!AO15</f>
        <v>N° de hitos de aplicación del enfoque ambiental puestos en práctica en la promoción de protección de la radiación solar.</v>
      </c>
      <c r="AK88" s="339"/>
      <c r="AL88" s="339"/>
      <c r="AM88" s="339"/>
      <c r="AN88" s="339"/>
      <c r="AO88" s="340"/>
      <c r="AP88" s="350"/>
      <c r="AQ88" s="351"/>
      <c r="AR88" s="351"/>
      <c r="AS88" s="351"/>
      <c r="AT88" s="351"/>
      <c r="AU88" s="351"/>
      <c r="AV88" s="351"/>
      <c r="AW88" s="351"/>
      <c r="AX88" s="351"/>
      <c r="AY88" s="9"/>
    </row>
    <row r="89" spans="2:51" ht="11.45" customHeight="1" x14ac:dyDescent="0.2">
      <c r="B89" s="7"/>
      <c r="C89" s="318"/>
      <c r="D89" s="318"/>
      <c r="E89" s="318"/>
      <c r="F89" s="318"/>
      <c r="G89" s="318"/>
      <c r="H89" s="337"/>
      <c r="I89" s="335"/>
      <c r="J89" s="335"/>
      <c r="K89" s="335"/>
      <c r="L89" s="335"/>
      <c r="M89" s="335"/>
      <c r="N89" s="336"/>
      <c r="O89" s="337"/>
      <c r="P89" s="335"/>
      <c r="Q89" s="335"/>
      <c r="R89" s="335"/>
      <c r="S89" s="335"/>
      <c r="T89" s="335"/>
      <c r="U89" s="336"/>
      <c r="V89" s="337"/>
      <c r="W89" s="335"/>
      <c r="X89" s="335"/>
      <c r="Y89" s="335"/>
      <c r="Z89" s="335"/>
      <c r="AA89" s="335"/>
      <c r="AB89" s="336"/>
      <c r="AC89" s="337"/>
      <c r="AD89" s="335"/>
      <c r="AE89" s="335"/>
      <c r="AF89" s="335"/>
      <c r="AG89" s="335"/>
      <c r="AH89" s="335"/>
      <c r="AI89" s="336"/>
      <c r="AJ89" s="341"/>
      <c r="AK89" s="342"/>
      <c r="AL89" s="342"/>
      <c r="AM89" s="342"/>
      <c r="AN89" s="342"/>
      <c r="AO89" s="343"/>
      <c r="AP89" s="351"/>
      <c r="AQ89" s="351"/>
      <c r="AR89" s="351"/>
      <c r="AS89" s="351"/>
      <c r="AT89" s="351"/>
      <c r="AU89" s="351"/>
      <c r="AV89" s="351"/>
      <c r="AW89" s="351"/>
      <c r="AX89" s="351"/>
      <c r="AY89" s="9"/>
    </row>
    <row r="90" spans="2:51" ht="11.45" customHeight="1" x14ac:dyDescent="0.2">
      <c r="B90" s="7"/>
      <c r="C90" s="318"/>
      <c r="D90" s="318"/>
      <c r="E90" s="318"/>
      <c r="F90" s="318"/>
      <c r="G90" s="318"/>
      <c r="H90" s="337"/>
      <c r="I90" s="335"/>
      <c r="J90" s="335"/>
      <c r="K90" s="335"/>
      <c r="L90" s="335"/>
      <c r="M90" s="335"/>
      <c r="N90" s="336"/>
      <c r="O90" s="337"/>
      <c r="P90" s="335"/>
      <c r="Q90" s="335"/>
      <c r="R90" s="335"/>
      <c r="S90" s="335"/>
      <c r="T90" s="335"/>
      <c r="U90" s="336"/>
      <c r="V90" s="337"/>
      <c r="W90" s="335"/>
      <c r="X90" s="335"/>
      <c r="Y90" s="335"/>
      <c r="Z90" s="335"/>
      <c r="AA90" s="335"/>
      <c r="AB90" s="336"/>
      <c r="AC90" s="337"/>
      <c r="AD90" s="335"/>
      <c r="AE90" s="335"/>
      <c r="AF90" s="335"/>
      <c r="AG90" s="335"/>
      <c r="AH90" s="335"/>
      <c r="AI90" s="336"/>
      <c r="AJ90" s="341"/>
      <c r="AK90" s="342"/>
      <c r="AL90" s="342"/>
      <c r="AM90" s="342"/>
      <c r="AN90" s="342"/>
      <c r="AO90" s="343"/>
      <c r="AP90" s="351"/>
      <c r="AQ90" s="351"/>
      <c r="AR90" s="351"/>
      <c r="AS90" s="351"/>
      <c r="AT90" s="351"/>
      <c r="AU90" s="351"/>
      <c r="AV90" s="351"/>
      <c r="AW90" s="351"/>
      <c r="AX90" s="351"/>
      <c r="AY90" s="9"/>
    </row>
    <row r="91" spans="2:51" ht="11.45" customHeight="1" x14ac:dyDescent="0.2">
      <c r="B91" s="7"/>
      <c r="C91" s="318"/>
      <c r="D91" s="318"/>
      <c r="E91" s="318"/>
      <c r="F91" s="318"/>
      <c r="G91" s="318"/>
      <c r="H91" s="337"/>
      <c r="I91" s="335"/>
      <c r="J91" s="335"/>
      <c r="K91" s="335"/>
      <c r="L91" s="335"/>
      <c r="M91" s="335"/>
      <c r="N91" s="336"/>
      <c r="O91" s="337"/>
      <c r="P91" s="335"/>
      <c r="Q91" s="335"/>
      <c r="R91" s="335"/>
      <c r="S91" s="335"/>
      <c r="T91" s="335"/>
      <c r="U91" s="336"/>
      <c r="V91" s="337"/>
      <c r="W91" s="335"/>
      <c r="X91" s="335"/>
      <c r="Y91" s="335"/>
      <c r="Z91" s="335"/>
      <c r="AA91" s="335"/>
      <c r="AB91" s="336"/>
      <c r="AC91" s="337"/>
      <c r="AD91" s="335"/>
      <c r="AE91" s="335"/>
      <c r="AF91" s="335"/>
      <c r="AG91" s="335"/>
      <c r="AH91" s="335"/>
      <c r="AI91" s="336"/>
      <c r="AJ91" s="341"/>
      <c r="AK91" s="342"/>
      <c r="AL91" s="342"/>
      <c r="AM91" s="342"/>
      <c r="AN91" s="342"/>
      <c r="AO91" s="343"/>
      <c r="AP91" s="351"/>
      <c r="AQ91" s="351"/>
      <c r="AR91" s="351"/>
      <c r="AS91" s="351"/>
      <c r="AT91" s="351"/>
      <c r="AU91" s="351"/>
      <c r="AV91" s="351"/>
      <c r="AW91" s="351"/>
      <c r="AX91" s="351"/>
      <c r="AY91" s="9"/>
    </row>
    <row r="92" spans="2:51" ht="11.45" customHeight="1" x14ac:dyDescent="0.2">
      <c r="B92" s="7"/>
      <c r="C92" s="318"/>
      <c r="D92" s="318"/>
      <c r="E92" s="318"/>
      <c r="F92" s="318"/>
      <c r="G92" s="318"/>
      <c r="H92" s="337"/>
      <c r="I92" s="335"/>
      <c r="J92" s="335"/>
      <c r="K92" s="335"/>
      <c r="L92" s="335"/>
      <c r="M92" s="335"/>
      <c r="N92" s="336"/>
      <c r="O92" s="337"/>
      <c r="P92" s="335"/>
      <c r="Q92" s="335"/>
      <c r="R92" s="335"/>
      <c r="S92" s="335"/>
      <c r="T92" s="335"/>
      <c r="U92" s="336"/>
      <c r="V92" s="337"/>
      <c r="W92" s="335"/>
      <c r="X92" s="335"/>
      <c r="Y92" s="335"/>
      <c r="Z92" s="335"/>
      <c r="AA92" s="335"/>
      <c r="AB92" s="336"/>
      <c r="AC92" s="337"/>
      <c r="AD92" s="335"/>
      <c r="AE92" s="335"/>
      <c r="AF92" s="335"/>
      <c r="AG92" s="335"/>
      <c r="AH92" s="335"/>
      <c r="AI92" s="336"/>
      <c r="AJ92" s="341"/>
      <c r="AK92" s="342"/>
      <c r="AL92" s="342"/>
      <c r="AM92" s="342"/>
      <c r="AN92" s="342"/>
      <c r="AO92" s="343"/>
      <c r="AP92" s="351"/>
      <c r="AQ92" s="351"/>
      <c r="AR92" s="351"/>
      <c r="AS92" s="351"/>
      <c r="AT92" s="351"/>
      <c r="AU92" s="351"/>
      <c r="AV92" s="351"/>
      <c r="AW92" s="351"/>
      <c r="AX92" s="351"/>
      <c r="AY92" s="9"/>
    </row>
    <row r="93" spans="2:51" ht="11.45" customHeight="1" x14ac:dyDescent="0.2">
      <c r="B93" s="7"/>
      <c r="C93" s="318"/>
      <c r="D93" s="318"/>
      <c r="E93" s="318"/>
      <c r="F93" s="318"/>
      <c r="G93" s="318"/>
      <c r="H93" s="337"/>
      <c r="I93" s="335"/>
      <c r="J93" s="335"/>
      <c r="K93" s="335"/>
      <c r="L93" s="335"/>
      <c r="M93" s="335"/>
      <c r="N93" s="336"/>
      <c r="O93" s="337"/>
      <c r="P93" s="335"/>
      <c r="Q93" s="335"/>
      <c r="R93" s="335"/>
      <c r="S93" s="335"/>
      <c r="T93" s="335"/>
      <c r="U93" s="336"/>
      <c r="V93" s="337"/>
      <c r="W93" s="335"/>
      <c r="X93" s="335"/>
      <c r="Y93" s="335"/>
      <c r="Z93" s="335"/>
      <c r="AA93" s="335"/>
      <c r="AB93" s="336"/>
      <c r="AC93" s="337"/>
      <c r="AD93" s="335"/>
      <c r="AE93" s="335"/>
      <c r="AF93" s="335"/>
      <c r="AG93" s="335"/>
      <c r="AH93" s="335"/>
      <c r="AI93" s="336"/>
      <c r="AJ93" s="341"/>
      <c r="AK93" s="342"/>
      <c r="AL93" s="342"/>
      <c r="AM93" s="342"/>
      <c r="AN93" s="342"/>
      <c r="AO93" s="343"/>
      <c r="AP93" s="351"/>
      <c r="AQ93" s="351"/>
      <c r="AR93" s="351"/>
      <c r="AS93" s="351"/>
      <c r="AT93" s="351"/>
      <c r="AU93" s="351"/>
      <c r="AV93" s="351"/>
      <c r="AW93" s="351"/>
      <c r="AX93" s="351"/>
      <c r="AY93" s="9"/>
    </row>
    <row r="94" spans="2:51" ht="11.45" customHeight="1" x14ac:dyDescent="0.2">
      <c r="B94" s="7"/>
      <c r="C94" s="318"/>
      <c r="D94" s="318"/>
      <c r="E94" s="318"/>
      <c r="F94" s="318"/>
      <c r="G94" s="318"/>
      <c r="H94" s="337"/>
      <c r="I94" s="335"/>
      <c r="J94" s="335"/>
      <c r="K94" s="335"/>
      <c r="L94" s="335"/>
      <c r="M94" s="335"/>
      <c r="N94" s="336"/>
      <c r="O94" s="337"/>
      <c r="P94" s="335"/>
      <c r="Q94" s="335"/>
      <c r="R94" s="335"/>
      <c r="S94" s="335"/>
      <c r="T94" s="335"/>
      <c r="U94" s="336"/>
      <c r="V94" s="337"/>
      <c r="W94" s="335"/>
      <c r="X94" s="335"/>
      <c r="Y94" s="335"/>
      <c r="Z94" s="335"/>
      <c r="AA94" s="335"/>
      <c r="AB94" s="336"/>
      <c r="AC94" s="337"/>
      <c r="AD94" s="335"/>
      <c r="AE94" s="335"/>
      <c r="AF94" s="335"/>
      <c r="AG94" s="335"/>
      <c r="AH94" s="335"/>
      <c r="AI94" s="336"/>
      <c r="AJ94" s="341"/>
      <c r="AK94" s="342"/>
      <c r="AL94" s="342"/>
      <c r="AM94" s="342"/>
      <c r="AN94" s="342"/>
      <c r="AO94" s="343"/>
      <c r="AP94" s="351"/>
      <c r="AQ94" s="351"/>
      <c r="AR94" s="351"/>
      <c r="AS94" s="351"/>
      <c r="AT94" s="351"/>
      <c r="AU94" s="351"/>
      <c r="AV94" s="351"/>
      <c r="AW94" s="351"/>
      <c r="AX94" s="351"/>
      <c r="AY94" s="9"/>
    </row>
    <row r="95" spans="2:51" ht="39" customHeight="1" x14ac:dyDescent="0.2">
      <c r="B95" s="7"/>
      <c r="C95" s="318"/>
      <c r="D95" s="318"/>
      <c r="E95" s="318"/>
      <c r="F95" s="318"/>
      <c r="G95" s="318"/>
      <c r="H95" s="337"/>
      <c r="I95" s="335"/>
      <c r="J95" s="335"/>
      <c r="K95" s="335"/>
      <c r="L95" s="335"/>
      <c r="M95" s="335"/>
      <c r="N95" s="336"/>
      <c r="O95" s="337"/>
      <c r="P95" s="335"/>
      <c r="Q95" s="335"/>
      <c r="R95" s="335"/>
      <c r="S95" s="335"/>
      <c r="T95" s="335"/>
      <c r="U95" s="336"/>
      <c r="V95" s="337"/>
      <c r="W95" s="335"/>
      <c r="X95" s="335"/>
      <c r="Y95" s="335"/>
      <c r="Z95" s="335"/>
      <c r="AA95" s="335"/>
      <c r="AB95" s="336"/>
      <c r="AC95" s="337"/>
      <c r="AD95" s="335"/>
      <c r="AE95" s="335"/>
      <c r="AF95" s="335"/>
      <c r="AG95" s="335"/>
      <c r="AH95" s="335"/>
      <c r="AI95" s="336"/>
      <c r="AJ95" s="341"/>
      <c r="AK95" s="342"/>
      <c r="AL95" s="342"/>
      <c r="AM95" s="342"/>
      <c r="AN95" s="342"/>
      <c r="AO95" s="343"/>
      <c r="AP95" s="351"/>
      <c r="AQ95" s="351"/>
      <c r="AR95" s="351"/>
      <c r="AS95" s="351"/>
      <c r="AT95" s="351"/>
      <c r="AU95" s="351"/>
      <c r="AV95" s="351"/>
      <c r="AW95" s="351"/>
      <c r="AX95" s="351"/>
      <c r="AY95" s="9"/>
    </row>
    <row r="96" spans="2:51" ht="6.95" customHeight="1" x14ac:dyDescent="0.2">
      <c r="B96" s="7"/>
      <c r="C96" s="318"/>
      <c r="D96" s="318"/>
      <c r="E96" s="318"/>
      <c r="F96" s="318"/>
      <c r="G96" s="318"/>
      <c r="H96" s="325"/>
      <c r="I96" s="326"/>
      <c r="J96" s="326"/>
      <c r="K96" s="326"/>
      <c r="L96" s="326"/>
      <c r="M96" s="326"/>
      <c r="N96" s="327"/>
      <c r="O96" s="325"/>
      <c r="P96" s="326"/>
      <c r="Q96" s="326"/>
      <c r="R96" s="326"/>
      <c r="S96" s="326"/>
      <c r="T96" s="326"/>
      <c r="U96" s="327"/>
      <c r="V96" s="325"/>
      <c r="W96" s="326"/>
      <c r="X96" s="326"/>
      <c r="Y96" s="326"/>
      <c r="Z96" s="326"/>
      <c r="AA96" s="326"/>
      <c r="AB96" s="327"/>
      <c r="AC96" s="325"/>
      <c r="AD96" s="326"/>
      <c r="AE96" s="326"/>
      <c r="AF96" s="326"/>
      <c r="AG96" s="326"/>
      <c r="AH96" s="326"/>
      <c r="AI96" s="327"/>
      <c r="AJ96" s="341"/>
      <c r="AK96" s="342"/>
      <c r="AL96" s="342"/>
      <c r="AM96" s="342"/>
      <c r="AN96" s="342"/>
      <c r="AO96" s="343"/>
      <c r="AP96" s="351"/>
      <c r="AQ96" s="351"/>
      <c r="AR96" s="351"/>
      <c r="AS96" s="351"/>
      <c r="AT96" s="351"/>
      <c r="AU96" s="351"/>
      <c r="AV96" s="351"/>
      <c r="AW96" s="351"/>
      <c r="AX96" s="351"/>
      <c r="AY96" s="9"/>
    </row>
    <row r="97" spans="2:51" ht="6.95" customHeight="1" x14ac:dyDescent="0.2">
      <c r="B97" s="7"/>
      <c r="C97" s="318"/>
      <c r="D97" s="318"/>
      <c r="E97" s="318"/>
      <c r="F97" s="318"/>
      <c r="G97" s="318"/>
      <c r="H97" s="328"/>
      <c r="I97" s="326"/>
      <c r="J97" s="326"/>
      <c r="K97" s="326"/>
      <c r="L97" s="326"/>
      <c r="M97" s="326"/>
      <c r="N97" s="327"/>
      <c r="O97" s="328"/>
      <c r="P97" s="326"/>
      <c r="Q97" s="326"/>
      <c r="R97" s="326"/>
      <c r="S97" s="326"/>
      <c r="T97" s="326"/>
      <c r="U97" s="327"/>
      <c r="V97" s="328"/>
      <c r="W97" s="326"/>
      <c r="X97" s="326"/>
      <c r="Y97" s="326"/>
      <c r="Z97" s="326"/>
      <c r="AA97" s="326"/>
      <c r="AB97" s="327"/>
      <c r="AC97" s="328"/>
      <c r="AD97" s="326"/>
      <c r="AE97" s="326"/>
      <c r="AF97" s="326"/>
      <c r="AG97" s="326"/>
      <c r="AH97" s="326"/>
      <c r="AI97" s="327"/>
      <c r="AJ97" s="341"/>
      <c r="AK97" s="342"/>
      <c r="AL97" s="342"/>
      <c r="AM97" s="342"/>
      <c r="AN97" s="342"/>
      <c r="AO97" s="343"/>
      <c r="AP97" s="351"/>
      <c r="AQ97" s="351"/>
      <c r="AR97" s="351"/>
      <c r="AS97" s="351"/>
      <c r="AT97" s="351"/>
      <c r="AU97" s="351"/>
      <c r="AV97" s="351"/>
      <c r="AW97" s="351"/>
      <c r="AX97" s="351"/>
      <c r="AY97" s="9"/>
    </row>
    <row r="98" spans="2:51" ht="11.45" customHeight="1" x14ac:dyDescent="0.2">
      <c r="B98" s="7"/>
      <c r="C98" s="360" t="str">
        <f>IF($C$28="","","Medios de verificación")</f>
        <v>Medios de verificación</v>
      </c>
      <c r="D98" s="360"/>
      <c r="E98" s="360"/>
      <c r="F98" s="360"/>
      <c r="G98" s="360"/>
      <c r="H98" s="329" t="str">
        <f>LISTAS!AP15</f>
        <v>PAT.</v>
      </c>
      <c r="I98" s="330"/>
      <c r="J98" s="330"/>
      <c r="K98" s="330"/>
      <c r="L98" s="330"/>
      <c r="M98" s="330"/>
      <c r="N98" s="330"/>
      <c r="O98" s="329" t="str">
        <f>LISTAS!AQ15</f>
        <v>PCI.</v>
      </c>
      <c r="P98" s="330"/>
      <c r="Q98" s="330"/>
      <c r="R98" s="330"/>
      <c r="S98" s="330"/>
      <c r="T98" s="330"/>
      <c r="U98" s="330"/>
      <c r="V98" s="329" t="str">
        <f>LISTAS!AR15</f>
        <v>PAT.</v>
      </c>
      <c r="W98" s="330"/>
      <c r="X98" s="330"/>
      <c r="Y98" s="330"/>
      <c r="Z98" s="330"/>
      <c r="AA98" s="330"/>
      <c r="AB98" s="330"/>
      <c r="AC98" s="329" t="str">
        <f>LISTAS!AS15</f>
        <v>PAT. Documentos administrativos: Cartas, Oficios, Memo. Lista de Asistencia. Fotografías.</v>
      </c>
      <c r="AD98" s="330"/>
      <c r="AE98" s="330"/>
      <c r="AF98" s="330"/>
      <c r="AG98" s="330"/>
      <c r="AH98" s="330"/>
      <c r="AI98" s="330"/>
      <c r="AJ98" s="344"/>
      <c r="AK98" s="345"/>
      <c r="AL98" s="345"/>
      <c r="AM98" s="345"/>
      <c r="AN98" s="345"/>
      <c r="AO98" s="346"/>
      <c r="AP98" s="329"/>
      <c r="AQ98" s="329"/>
      <c r="AR98" s="329"/>
      <c r="AS98" s="329"/>
      <c r="AT98" s="329"/>
      <c r="AU98" s="329"/>
      <c r="AV98" s="329"/>
      <c r="AW98" s="329"/>
      <c r="AX98" s="329"/>
      <c r="AY98" s="9"/>
    </row>
    <row r="99" spans="2:51" ht="11.45" customHeight="1" x14ac:dyDescent="0.2">
      <c r="B99" s="7"/>
      <c r="C99" s="361"/>
      <c r="D99" s="361"/>
      <c r="E99" s="361"/>
      <c r="F99" s="361"/>
      <c r="G99" s="361"/>
      <c r="H99" s="331"/>
      <c r="I99" s="332"/>
      <c r="J99" s="332"/>
      <c r="K99" s="332"/>
      <c r="L99" s="332"/>
      <c r="M99" s="332"/>
      <c r="N99" s="332"/>
      <c r="O99" s="331"/>
      <c r="P99" s="332"/>
      <c r="Q99" s="332"/>
      <c r="R99" s="332"/>
      <c r="S99" s="332"/>
      <c r="T99" s="332"/>
      <c r="U99" s="332"/>
      <c r="V99" s="331"/>
      <c r="W99" s="332"/>
      <c r="X99" s="332"/>
      <c r="Y99" s="332"/>
      <c r="Z99" s="332"/>
      <c r="AA99" s="332"/>
      <c r="AB99" s="332"/>
      <c r="AC99" s="331"/>
      <c r="AD99" s="332"/>
      <c r="AE99" s="332"/>
      <c r="AF99" s="332"/>
      <c r="AG99" s="332"/>
      <c r="AH99" s="332"/>
      <c r="AI99" s="332"/>
      <c r="AJ99" s="344"/>
      <c r="AK99" s="345"/>
      <c r="AL99" s="345"/>
      <c r="AM99" s="345"/>
      <c r="AN99" s="345"/>
      <c r="AO99" s="346"/>
      <c r="AP99" s="331"/>
      <c r="AQ99" s="331"/>
      <c r="AR99" s="331"/>
      <c r="AS99" s="331"/>
      <c r="AT99" s="331"/>
      <c r="AU99" s="331"/>
      <c r="AV99" s="331"/>
      <c r="AW99" s="331"/>
      <c r="AX99" s="331"/>
      <c r="AY99" s="9"/>
    </row>
    <row r="100" spans="2:51" ht="11.45" customHeight="1" x14ac:dyDescent="0.2">
      <c r="B100" s="7"/>
      <c r="C100" s="361"/>
      <c r="D100" s="361"/>
      <c r="E100" s="361"/>
      <c r="F100" s="361"/>
      <c r="G100" s="361"/>
      <c r="H100" s="331"/>
      <c r="I100" s="332"/>
      <c r="J100" s="332"/>
      <c r="K100" s="332"/>
      <c r="L100" s="332"/>
      <c r="M100" s="332"/>
      <c r="N100" s="332"/>
      <c r="O100" s="331"/>
      <c r="P100" s="332"/>
      <c r="Q100" s="332"/>
      <c r="R100" s="332"/>
      <c r="S100" s="332"/>
      <c r="T100" s="332"/>
      <c r="U100" s="332"/>
      <c r="V100" s="331"/>
      <c r="W100" s="332"/>
      <c r="X100" s="332"/>
      <c r="Y100" s="332"/>
      <c r="Z100" s="332"/>
      <c r="AA100" s="332"/>
      <c r="AB100" s="332"/>
      <c r="AC100" s="331"/>
      <c r="AD100" s="332"/>
      <c r="AE100" s="332"/>
      <c r="AF100" s="332"/>
      <c r="AG100" s="332"/>
      <c r="AH100" s="332"/>
      <c r="AI100" s="332"/>
      <c r="AJ100" s="344"/>
      <c r="AK100" s="345"/>
      <c r="AL100" s="345"/>
      <c r="AM100" s="345"/>
      <c r="AN100" s="345"/>
      <c r="AO100" s="346"/>
      <c r="AP100" s="331"/>
      <c r="AQ100" s="331"/>
      <c r="AR100" s="331"/>
      <c r="AS100" s="331"/>
      <c r="AT100" s="331"/>
      <c r="AU100" s="331"/>
      <c r="AV100" s="331"/>
      <c r="AW100" s="331"/>
      <c r="AX100" s="331"/>
      <c r="AY100" s="9"/>
    </row>
    <row r="101" spans="2:51" ht="11.45" customHeight="1" x14ac:dyDescent="0.2">
      <c r="B101" s="7"/>
      <c r="C101" s="362"/>
      <c r="D101" s="362"/>
      <c r="E101" s="362"/>
      <c r="F101" s="362"/>
      <c r="G101" s="362"/>
      <c r="H101" s="333"/>
      <c r="I101" s="333"/>
      <c r="J101" s="333"/>
      <c r="K101" s="333"/>
      <c r="L101" s="333"/>
      <c r="M101" s="333"/>
      <c r="N101" s="333"/>
      <c r="O101" s="333"/>
      <c r="P101" s="333"/>
      <c r="Q101" s="333"/>
      <c r="R101" s="333"/>
      <c r="S101" s="333"/>
      <c r="T101" s="333"/>
      <c r="U101" s="333"/>
      <c r="V101" s="333"/>
      <c r="W101" s="333"/>
      <c r="X101" s="333"/>
      <c r="Y101" s="333"/>
      <c r="Z101" s="333"/>
      <c r="AA101" s="333"/>
      <c r="AB101" s="333"/>
      <c r="AC101" s="333"/>
      <c r="AD101" s="333"/>
      <c r="AE101" s="333"/>
      <c r="AF101" s="333"/>
      <c r="AG101" s="333"/>
      <c r="AH101" s="333"/>
      <c r="AI101" s="333"/>
      <c r="AJ101" s="347"/>
      <c r="AK101" s="348"/>
      <c r="AL101" s="348"/>
      <c r="AM101" s="348"/>
      <c r="AN101" s="348"/>
      <c r="AO101" s="349"/>
      <c r="AP101" s="352"/>
      <c r="AQ101" s="352"/>
      <c r="AR101" s="352"/>
      <c r="AS101" s="352"/>
      <c r="AT101" s="352"/>
      <c r="AU101" s="352"/>
      <c r="AV101" s="352"/>
      <c r="AW101" s="352"/>
      <c r="AX101" s="352"/>
      <c r="AY101" s="9"/>
    </row>
    <row r="102" spans="2:51" ht="7.5" customHeight="1" x14ac:dyDescent="0.2">
      <c r="B102" s="7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108"/>
      <c r="AE102" s="10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9"/>
    </row>
    <row r="103" spans="2:51" ht="10.5" customHeight="1" x14ac:dyDescent="0.2">
      <c r="B103" s="7"/>
      <c r="C103" s="8"/>
      <c r="D103" s="358" t="str">
        <f>REPT(CHAR(73),7*(COUNTIF(H21:AI22,"*")+COUNTIF(H36:AI37,"*")+COUNTIF(H51:AI52,"*")+COUNTIF(H66:AI67,"*")+COUNTIF(H81:AI82,"*")+COUNTIF(H96:AI97,"*")))</f>
        <v/>
      </c>
      <c r="E103" s="359"/>
      <c r="F103" s="359"/>
      <c r="G103" s="359"/>
      <c r="H103" s="359"/>
      <c r="I103" s="359"/>
      <c r="J103" s="359"/>
      <c r="K103" s="359"/>
      <c r="L103" s="359"/>
      <c r="M103" s="359"/>
      <c r="N103" s="359"/>
      <c r="O103" s="359"/>
      <c r="P103" s="359"/>
      <c r="Q103" s="359"/>
      <c r="R103" s="359"/>
      <c r="S103" s="359"/>
      <c r="T103" s="359"/>
      <c r="U103" s="359"/>
      <c r="V103" s="359"/>
      <c r="W103" s="359"/>
      <c r="X103" s="359"/>
      <c r="Y103" s="359"/>
      <c r="Z103" s="359"/>
      <c r="AA103" s="359"/>
      <c r="AB103" s="359"/>
      <c r="AC103" s="359"/>
      <c r="AD103" s="155" t="str">
        <f>IF(LISTAS!D103=TRUE,"a","")</f>
        <v/>
      </c>
      <c r="AE103" s="155"/>
      <c r="AF103" s="8"/>
      <c r="AG103" s="370" t="str">
        <f>IF(LISTAS!D103=TRUE,"Anterior","")</f>
        <v/>
      </c>
      <c r="AH103" s="371"/>
      <c r="AI103" s="372"/>
      <c r="AJ103" s="372"/>
      <c r="AK103" s="373"/>
      <c r="AL103" s="8"/>
      <c r="AM103" s="363" t="str">
        <f>"Matriz"</f>
        <v>Matriz</v>
      </c>
      <c r="AN103" s="364"/>
      <c r="AO103" s="365"/>
      <c r="AP103" s="365"/>
      <c r="AQ103" s="366"/>
      <c r="AR103" s="8"/>
      <c r="AS103" s="370" t="str">
        <f>IF(LISTAS!D103=TRUE,"Siguiente","")</f>
        <v/>
      </c>
      <c r="AT103" s="371"/>
      <c r="AU103" s="372"/>
      <c r="AV103" s="372"/>
      <c r="AW103" s="373"/>
      <c r="AX103" s="8"/>
      <c r="AY103" s="9"/>
    </row>
    <row r="104" spans="2:51" ht="10.5" customHeight="1" x14ac:dyDescent="0.2">
      <c r="B104" s="7"/>
      <c r="C104" s="8"/>
      <c r="D104" s="359"/>
      <c r="E104" s="359"/>
      <c r="F104" s="359"/>
      <c r="G104" s="359"/>
      <c r="H104" s="359"/>
      <c r="I104" s="359"/>
      <c r="J104" s="359"/>
      <c r="K104" s="359"/>
      <c r="L104" s="359"/>
      <c r="M104" s="359"/>
      <c r="N104" s="359"/>
      <c r="O104" s="359"/>
      <c r="P104" s="359"/>
      <c r="Q104" s="359"/>
      <c r="R104" s="359"/>
      <c r="S104" s="359"/>
      <c r="T104" s="359"/>
      <c r="U104" s="359"/>
      <c r="V104" s="359"/>
      <c r="W104" s="359"/>
      <c r="X104" s="359"/>
      <c r="Y104" s="359"/>
      <c r="Z104" s="359"/>
      <c r="AA104" s="359"/>
      <c r="AB104" s="359"/>
      <c r="AC104" s="359"/>
      <c r="AD104" s="353"/>
      <c r="AE104" s="353"/>
      <c r="AF104" s="8"/>
      <c r="AG104" s="374"/>
      <c r="AH104" s="375"/>
      <c r="AI104" s="375"/>
      <c r="AJ104" s="375"/>
      <c r="AK104" s="376"/>
      <c r="AL104" s="8"/>
      <c r="AM104" s="367"/>
      <c r="AN104" s="368"/>
      <c r="AO104" s="368"/>
      <c r="AP104" s="368"/>
      <c r="AQ104" s="369"/>
      <c r="AR104" s="8"/>
      <c r="AS104" s="374"/>
      <c r="AT104" s="375"/>
      <c r="AU104" s="375"/>
      <c r="AV104" s="375"/>
      <c r="AW104" s="376"/>
      <c r="AX104" s="8"/>
      <c r="AY104" s="9"/>
    </row>
    <row r="105" spans="2:51" ht="3.95" customHeight="1" x14ac:dyDescent="0.2">
      <c r="B105" s="7"/>
      <c r="C105" s="8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9"/>
    </row>
    <row r="106" spans="2:51" ht="12" customHeight="1" x14ac:dyDescent="0.2">
      <c r="B106" s="7"/>
      <c r="C106" s="139" t="s">
        <v>4176</v>
      </c>
      <c r="D106" s="139"/>
      <c r="E106" s="139" t="s">
        <v>4177</v>
      </c>
      <c r="F106" s="139"/>
      <c r="G106" s="139" t="s">
        <v>4126</v>
      </c>
      <c r="H106" s="139"/>
      <c r="I106" s="139" t="s">
        <v>4178</v>
      </c>
      <c r="J106" s="139"/>
      <c r="K106" s="139" t="s">
        <v>4179</v>
      </c>
      <c r="L106" s="139"/>
      <c r="M106" s="139" t="s">
        <v>4180</v>
      </c>
      <c r="N106" s="139"/>
      <c r="O106" s="139" t="s">
        <v>4181</v>
      </c>
      <c r="P106" s="139"/>
      <c r="Q106" s="139" t="s">
        <v>4182</v>
      </c>
      <c r="R106" s="139"/>
      <c r="S106" s="139" t="s">
        <v>4183</v>
      </c>
      <c r="T106" s="139"/>
      <c r="U106" s="139" t="s">
        <v>4184</v>
      </c>
      <c r="V106" s="139"/>
      <c r="W106" s="139" t="s">
        <v>4185</v>
      </c>
      <c r="X106" s="139"/>
      <c r="Y106" s="139" t="s">
        <v>4186</v>
      </c>
      <c r="Z106" s="139"/>
      <c r="AA106" s="139" t="s">
        <v>1780</v>
      </c>
      <c r="AB106" s="139"/>
      <c r="AC106" s="139" t="s">
        <v>4187</v>
      </c>
      <c r="AD106" s="139"/>
      <c r="AE106" s="139" t="s">
        <v>1781</v>
      </c>
      <c r="AF106" s="139"/>
      <c r="AG106" s="139" t="s">
        <v>4188</v>
      </c>
      <c r="AH106" s="139"/>
      <c r="AI106" s="139" t="s">
        <v>4189</v>
      </c>
      <c r="AJ106" s="139"/>
      <c r="AK106" s="139" t="s">
        <v>4190</v>
      </c>
      <c r="AL106" s="139"/>
      <c r="AM106" s="139" t="s">
        <v>4191</v>
      </c>
      <c r="AN106" s="139"/>
      <c r="AO106" s="139" t="s">
        <v>4192</v>
      </c>
      <c r="AP106" s="139"/>
      <c r="AQ106" s="139" t="s">
        <v>4176</v>
      </c>
      <c r="AR106" s="139"/>
      <c r="AS106" s="139" t="s">
        <v>4177</v>
      </c>
      <c r="AT106" s="139"/>
      <c r="AU106" s="139" t="s">
        <v>4126</v>
      </c>
      <c r="AV106" s="139"/>
      <c r="AW106" s="139" t="s">
        <v>4178</v>
      </c>
      <c r="AX106" s="139"/>
      <c r="AY106" s="9"/>
    </row>
    <row r="107" spans="2:51" ht="12" customHeight="1" x14ac:dyDescent="0.2">
      <c r="B107" s="7"/>
      <c r="C107" s="139"/>
      <c r="D107" s="139"/>
      <c r="E107" s="139"/>
      <c r="F107" s="139"/>
      <c r="G107" s="139"/>
      <c r="H107" s="139"/>
      <c r="I107" s="139"/>
      <c r="J107" s="139"/>
      <c r="K107" s="139"/>
      <c r="L107" s="139"/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39"/>
      <c r="AA107" s="139"/>
      <c r="AB107" s="139"/>
      <c r="AC107" s="139"/>
      <c r="AD107" s="139"/>
      <c r="AE107" s="139"/>
      <c r="AF107" s="139"/>
      <c r="AG107" s="139"/>
      <c r="AH107" s="139"/>
      <c r="AI107" s="139"/>
      <c r="AJ107" s="139"/>
      <c r="AK107" s="139"/>
      <c r="AL107" s="139"/>
      <c r="AM107" s="139"/>
      <c r="AN107" s="139"/>
      <c r="AO107" s="139"/>
      <c r="AP107" s="139"/>
      <c r="AQ107" s="139"/>
      <c r="AR107" s="139"/>
      <c r="AS107" s="139"/>
      <c r="AT107" s="139"/>
      <c r="AU107" s="139"/>
      <c r="AV107" s="139"/>
      <c r="AW107" s="139"/>
      <c r="AX107" s="139"/>
      <c r="AY107" s="9"/>
    </row>
    <row r="108" spans="2:51" ht="12" customHeight="1" x14ac:dyDescent="0.2">
      <c r="B108" s="7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9"/>
    </row>
    <row r="109" spans="2:51" ht="12" customHeight="1" x14ac:dyDescent="0.2">
      <c r="B10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109" s="11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3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5" t="str">
        <f ca="1">IF('MOD1'!$AY$49="","",'MOD1'!$AY$49)</f>
        <v>*Equipo de Gestión de la Información - EBR - Ministerio de Educación</v>
      </c>
    </row>
  </sheetData>
  <sheetProtection algorithmName="SHA-512" hashValue="Y62WgT2JlE68eeBkIgWx2jxrVm36raCFj8oIClxJqGfdH6Xrjcskm3ilvTl4ufqKo5Cpwwk4kyVouknRMkdp5w==" saltValue="wr4qbQkltWwhBDtNJoVSEw==" spinCount="100000" sheet="1" objects="1" scenarios="1"/>
  <mergeCells count="140">
    <mergeCell ref="AD103:AE104"/>
    <mergeCell ref="AP98:AX101"/>
    <mergeCell ref="V96:AB97"/>
    <mergeCell ref="AC96:AI97"/>
    <mergeCell ref="C98:G101"/>
    <mergeCell ref="H98:N101"/>
    <mergeCell ref="O98:U101"/>
    <mergeCell ref="V98:AB101"/>
    <mergeCell ref="AC98:AI101"/>
    <mergeCell ref="AS103:AW104"/>
    <mergeCell ref="C88:G97"/>
    <mergeCell ref="H88:N95"/>
    <mergeCell ref="O88:U95"/>
    <mergeCell ref="V88:AB95"/>
    <mergeCell ref="AC88:AI95"/>
    <mergeCell ref="AJ88:AO101"/>
    <mergeCell ref="AP88:AX97"/>
    <mergeCell ref="H96:N97"/>
    <mergeCell ref="O96:U97"/>
    <mergeCell ref="AC81:AI82"/>
    <mergeCell ref="C83:G86"/>
    <mergeCell ref="H83:N86"/>
    <mergeCell ref="O83:U86"/>
    <mergeCell ref="V83:AB86"/>
    <mergeCell ref="AC83:AI86"/>
    <mergeCell ref="AP68:AX71"/>
    <mergeCell ref="C73:G82"/>
    <mergeCell ref="H73:N80"/>
    <mergeCell ref="O73:U80"/>
    <mergeCell ref="V73:AB80"/>
    <mergeCell ref="AC73:AI80"/>
    <mergeCell ref="AJ73:AO86"/>
    <mergeCell ref="AP73:AX82"/>
    <mergeCell ref="H81:N82"/>
    <mergeCell ref="O81:U82"/>
    <mergeCell ref="C68:G71"/>
    <mergeCell ref="H68:N71"/>
    <mergeCell ref="O68:U71"/>
    <mergeCell ref="AP83:AX86"/>
    <mergeCell ref="V68:AB71"/>
    <mergeCell ref="AC68:AI71"/>
    <mergeCell ref="C58:G67"/>
    <mergeCell ref="H58:N65"/>
    <mergeCell ref="O58:U65"/>
    <mergeCell ref="V58:AB65"/>
    <mergeCell ref="AC58:AI65"/>
    <mergeCell ref="AM106:AN107"/>
    <mergeCell ref="AO106:AP107"/>
    <mergeCell ref="O106:P107"/>
    <mergeCell ref="Q106:R107"/>
    <mergeCell ref="S106:T107"/>
    <mergeCell ref="U106:V107"/>
    <mergeCell ref="W106:X107"/>
    <mergeCell ref="Y106:Z107"/>
    <mergeCell ref="C106:D107"/>
    <mergeCell ref="E106:F107"/>
    <mergeCell ref="G106:H107"/>
    <mergeCell ref="I106:J107"/>
    <mergeCell ref="K106:L107"/>
    <mergeCell ref="M106:N107"/>
    <mergeCell ref="D103:AC104"/>
    <mergeCell ref="AG103:AK104"/>
    <mergeCell ref="AM103:AQ104"/>
    <mergeCell ref="AQ106:AR107"/>
    <mergeCell ref="V81:AB82"/>
    <mergeCell ref="AS106:AT107"/>
    <mergeCell ref="AU106:AV107"/>
    <mergeCell ref="AW106:AX107"/>
    <mergeCell ref="AA106:AB107"/>
    <mergeCell ref="AC106:AD107"/>
    <mergeCell ref="AE106:AF107"/>
    <mergeCell ref="AG106:AH107"/>
    <mergeCell ref="AI106:AJ107"/>
    <mergeCell ref="AK106:AL107"/>
    <mergeCell ref="C43:G52"/>
    <mergeCell ref="H43:N50"/>
    <mergeCell ref="O43:U50"/>
    <mergeCell ref="V43:AB50"/>
    <mergeCell ref="C53:G56"/>
    <mergeCell ref="H53:N56"/>
    <mergeCell ref="O53:U56"/>
    <mergeCell ref="V53:AB56"/>
    <mergeCell ref="AC53:AI56"/>
    <mergeCell ref="AP53:AX56"/>
    <mergeCell ref="AC43:AI50"/>
    <mergeCell ref="AJ43:AO56"/>
    <mergeCell ref="AP43:AX52"/>
    <mergeCell ref="H51:N52"/>
    <mergeCell ref="O51:U52"/>
    <mergeCell ref="V51:AB52"/>
    <mergeCell ref="AC51:AI52"/>
    <mergeCell ref="AP58:AX67"/>
    <mergeCell ref="H66:N67"/>
    <mergeCell ref="AJ58:AO71"/>
    <mergeCell ref="O66:U67"/>
    <mergeCell ref="V66:AB67"/>
    <mergeCell ref="AC66:AI67"/>
    <mergeCell ref="V36:AB37"/>
    <mergeCell ref="AC36:AI37"/>
    <mergeCell ref="C38:G41"/>
    <mergeCell ref="H38:N41"/>
    <mergeCell ref="O38:U41"/>
    <mergeCell ref="V38:AB41"/>
    <mergeCell ref="AC38:AI41"/>
    <mergeCell ref="AP23:AX26"/>
    <mergeCell ref="C28:G37"/>
    <mergeCell ref="H28:N35"/>
    <mergeCell ref="O28:U35"/>
    <mergeCell ref="V28:AB35"/>
    <mergeCell ref="AC28:AI35"/>
    <mergeCell ref="AJ28:AO41"/>
    <mergeCell ref="AP28:AX37"/>
    <mergeCell ref="H36:N37"/>
    <mergeCell ref="O36:U37"/>
    <mergeCell ref="AP38:AX41"/>
    <mergeCell ref="AP13:AX22"/>
    <mergeCell ref="H21:N22"/>
    <mergeCell ref="O21:U22"/>
    <mergeCell ref="V21:AB22"/>
    <mergeCell ref="AC21:AI22"/>
    <mergeCell ref="C23:G26"/>
    <mergeCell ref="H23:N26"/>
    <mergeCell ref="O23:U26"/>
    <mergeCell ref="V23:AB26"/>
    <mergeCell ref="AC23:AI26"/>
    <mergeCell ref="C13:G22"/>
    <mergeCell ref="H13:N20"/>
    <mergeCell ref="O13:U20"/>
    <mergeCell ref="V13:AB20"/>
    <mergeCell ref="AC13:AI20"/>
    <mergeCell ref="AJ13:AO26"/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</mergeCells>
  <conditionalFormatting sqref="AG103:AK104">
    <cfRule type="cellIs" dxfId="162" priority="41" operator="equal">
      <formula>""</formula>
    </cfRule>
  </conditionalFormatting>
  <conditionalFormatting sqref="AS103:AW104">
    <cfRule type="cellIs" dxfId="161" priority="40" operator="equal">
      <formula>""</formula>
    </cfRule>
  </conditionalFormatting>
  <conditionalFormatting sqref="C38:G41 H36:AI37 AP28:AX41">
    <cfRule type="expression" dxfId="160" priority="39">
      <formula>$C$38=""</formula>
    </cfRule>
  </conditionalFormatting>
  <conditionalFormatting sqref="C23:G26 H21:AI22 AP13:AX26">
    <cfRule type="expression" dxfId="159" priority="38">
      <formula>$C$13=""</formula>
    </cfRule>
  </conditionalFormatting>
  <conditionalFormatting sqref="C53:G56 H51:AI52 AP43:AX56">
    <cfRule type="expression" dxfId="158" priority="33">
      <formula>$C$38=""</formula>
    </cfRule>
  </conditionalFormatting>
  <conditionalFormatting sqref="C68:G71 H66:AI67 AP58:AX71">
    <cfRule type="expression" dxfId="157" priority="32">
      <formula>$C$38=""</formula>
    </cfRule>
  </conditionalFormatting>
  <conditionalFormatting sqref="C83:G86 H81:AI82 AP73:AX86">
    <cfRule type="expression" dxfId="156" priority="31">
      <formula>$C$38=""</formula>
    </cfRule>
  </conditionalFormatting>
  <conditionalFormatting sqref="C98:G101 H96:AI97 AP88:AX101">
    <cfRule type="expression" dxfId="155" priority="30">
      <formula>$C$38=""</formula>
    </cfRule>
  </conditionalFormatting>
  <conditionalFormatting sqref="C13:G22">
    <cfRule type="expression" dxfId="154" priority="29">
      <formula>$C$13=""</formula>
    </cfRule>
  </conditionalFormatting>
  <conditionalFormatting sqref="C28:G37">
    <cfRule type="expression" dxfId="153" priority="28">
      <formula>$C$13=""</formula>
    </cfRule>
  </conditionalFormatting>
  <conditionalFormatting sqref="C43:G52">
    <cfRule type="expression" dxfId="152" priority="27">
      <formula>$C$13=""</formula>
    </cfRule>
  </conditionalFormatting>
  <conditionalFormatting sqref="C58:G67">
    <cfRule type="expression" dxfId="151" priority="26">
      <formula>$C$13=""</formula>
    </cfRule>
  </conditionalFormatting>
  <conditionalFormatting sqref="C73:G82">
    <cfRule type="expression" dxfId="150" priority="25">
      <formula>$C$13=""</formula>
    </cfRule>
  </conditionalFormatting>
  <conditionalFormatting sqref="C88:G97">
    <cfRule type="expression" dxfId="149" priority="24">
      <formula>$C$13=""</formula>
    </cfRule>
  </conditionalFormatting>
  <conditionalFormatting sqref="H13:AI20">
    <cfRule type="expression" dxfId="148" priority="23">
      <formula>$C$13=""</formula>
    </cfRule>
  </conditionalFormatting>
  <conditionalFormatting sqref="H28:AI35">
    <cfRule type="expression" dxfId="147" priority="22">
      <formula>$C$13=""</formula>
    </cfRule>
  </conditionalFormatting>
  <conditionalFormatting sqref="H43:AI50">
    <cfRule type="expression" dxfId="146" priority="21">
      <formula>$C$13=""</formula>
    </cfRule>
  </conditionalFormatting>
  <conditionalFormatting sqref="H58:AI65">
    <cfRule type="expression" dxfId="145" priority="20">
      <formula>$C$13=""</formula>
    </cfRule>
  </conditionalFormatting>
  <conditionalFormatting sqref="H73:AI80">
    <cfRule type="expression" dxfId="144" priority="19">
      <formula>$C$13=""</formula>
    </cfRule>
  </conditionalFormatting>
  <conditionalFormatting sqref="H88:AI95">
    <cfRule type="expression" dxfId="143" priority="18">
      <formula>$C$13=""</formula>
    </cfRule>
  </conditionalFormatting>
  <conditionalFormatting sqref="H23:AI26">
    <cfRule type="expression" dxfId="142" priority="17">
      <formula>$C$13=""</formula>
    </cfRule>
  </conditionalFormatting>
  <conditionalFormatting sqref="H38:AI41">
    <cfRule type="expression" dxfId="141" priority="16">
      <formula>$C$13=""</formula>
    </cfRule>
  </conditionalFormatting>
  <conditionalFormatting sqref="H53:AI56">
    <cfRule type="expression" dxfId="140" priority="15">
      <formula>$C$13=""</formula>
    </cfRule>
  </conditionalFormatting>
  <conditionalFormatting sqref="H68:AI71">
    <cfRule type="expression" dxfId="139" priority="14">
      <formula>$C$13=""</formula>
    </cfRule>
  </conditionalFormatting>
  <conditionalFormatting sqref="H83:AI86">
    <cfRule type="expression" dxfId="138" priority="13">
      <formula>$C$13=""</formula>
    </cfRule>
  </conditionalFormatting>
  <conditionalFormatting sqref="H98:AI101">
    <cfRule type="expression" dxfId="137" priority="12">
      <formula>$C$13=""</formula>
    </cfRule>
  </conditionalFormatting>
  <conditionalFormatting sqref="AJ13:AO26">
    <cfRule type="expression" dxfId="136" priority="11">
      <formula>$C$13=""</formula>
    </cfRule>
  </conditionalFormatting>
  <conditionalFormatting sqref="AJ28:AO41">
    <cfRule type="expression" dxfId="135" priority="10">
      <formula>$C$13=""</formula>
    </cfRule>
  </conditionalFormatting>
  <conditionalFormatting sqref="AJ43:AO56">
    <cfRule type="expression" dxfId="134" priority="9">
      <formula>$C$13=""</formula>
    </cfRule>
  </conditionalFormatting>
  <conditionalFormatting sqref="AJ58:AO71">
    <cfRule type="expression" dxfId="133" priority="8">
      <formula>$C$13=""</formula>
    </cfRule>
  </conditionalFormatting>
  <conditionalFormatting sqref="AJ73:AO86">
    <cfRule type="expression" dxfId="132" priority="7">
      <formula>$C$13=""</formula>
    </cfRule>
  </conditionalFormatting>
  <conditionalFormatting sqref="AJ88:AO101">
    <cfRule type="expression" dxfId="131" priority="6">
      <formula>$C$13=""</formula>
    </cfRule>
  </conditionalFormatting>
  <conditionalFormatting sqref="AM103:AQ104">
    <cfRule type="cellIs" dxfId="130" priority="4" operator="equal">
      <formula>"PEAI"</formula>
    </cfRule>
  </conditionalFormatting>
  <conditionalFormatting sqref="C106:AX107">
    <cfRule type="expression" dxfId="129" priority="1">
      <formula>IF(CODE(C106)=38,1,0)</formula>
    </cfRule>
    <cfRule type="expression" dxfId="128" priority="2">
      <formula>IF(CODE(C106)=37,1,0)</formula>
    </cfRule>
    <cfRule type="expression" dxfId="127" priority="3">
      <formula>IF(OR(CODE(C106)=143,CODE(C106)=167,CODE(C106)=168,CODE(C106)=254),1,0)</formula>
    </cfRule>
  </conditionalFormatting>
  <dataValidations count="10">
    <dataValidation allowBlank="1" showInputMessage="1" showErrorMessage="1" promptTitle="Ingrese" prompt="Describir principales aspectos que facilitaron que la IIEE llegara a este logro, así como dificultades." sqref="AP13:AX22 AP28:AX37 AP43:AX52 AP58:AX67 AP73:AX82 AP88:AX97"/>
    <dataValidation allowBlank="1" showInputMessage="1" showErrorMessage="1" promptTitle="Información" prompt="Actividad ambiental" sqref="C73:G82 C13:G22 C28:G37 C43:G52 C58:G67 C88:G97"/>
    <dataValidation allowBlank="1" showInputMessage="1" showErrorMessage="1" promptTitle="Información" prompt="Indicador de la actividad" sqref="AJ73:AO86 AJ13:AO26 AJ28:AO41 AJ43:AO56 AJ58:AO71 AJ88:AO101"/>
    <dataValidation allowBlank="1" showInputMessage="1" showErrorMessage="1" promptTitle="Información" prompt="Hitos de aplicación" sqref="H73:AI80 H13:AI20 H28:AI35 H43:AI50 H58:AI65 H88:AI95"/>
    <dataValidation allowBlank="1" showInputMessage="1" showErrorMessage="1" promptTitle="Información" prompt="Medios de verificación" sqref="AP98:AX101 AP23:AX26 AP38:AX41 C23:AI26 C38:AI41 AP53:AX56 AP68:AX71 C53:AI56 C68:AI71 AP83:AX86 C83:AI86 C98:AI101"/>
    <dataValidation type="list" allowBlank="1" showInputMessage="1" showErrorMessage="1" errorTitle="Mensaje de validación" error="Solo se permite datos de la lista desplegable._x000a__x000a_Intente de nuevo." promptTitle="Seleccionar" prompt="SI o NO" sqref="H21:AI22 H36:AI37 H51:AI52 H66:AI67 H81:AI82 H96:AI97">
      <formula1>"SI, NO"</formula1>
    </dataValidation>
    <dataValidation allowBlank="1" showInputMessage="1" showErrorMessage="1" promptTitle="Mensaje" prompt="Hitos de aplicación del enfoque ambiental" sqref="H11:AE11 H12:M12 O12:T12 V12:AA12 AC12:AH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Indicador" sqref="AJ11:AO1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00FF"/>
    <pageSetUpPr fitToPage="1"/>
  </sheetPr>
  <dimension ref="A1:AY49"/>
  <sheetViews>
    <sheetView showGridLines="0" topLeftCell="A7" zoomScaleNormal="100" zoomScaleSheetLayoutView="100" workbookViewId="0">
      <selection activeCell="AP23" sqref="AP23:AX26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15" t="s">
        <v>3663</v>
      </c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  <c r="W9" s="316"/>
      <c r="X9" s="316"/>
      <c r="Y9" s="316"/>
      <c r="Z9" s="316"/>
      <c r="AA9" s="316"/>
      <c r="AB9" s="316"/>
      <c r="AC9" s="316"/>
      <c r="AD9" s="316"/>
      <c r="AE9" s="316"/>
      <c r="AF9" s="316"/>
      <c r="AG9" s="316"/>
      <c r="AH9" s="316"/>
      <c r="AI9" s="316"/>
      <c r="AJ9" s="316"/>
      <c r="AK9" s="316"/>
      <c r="AL9" s="316"/>
      <c r="AM9" s="316"/>
      <c r="AN9" s="316"/>
      <c r="AO9" s="316"/>
      <c r="AP9" s="316"/>
      <c r="AQ9" s="316"/>
      <c r="AR9" s="316"/>
      <c r="AS9" s="316"/>
      <c r="AT9" s="316"/>
      <c r="AU9" s="316"/>
      <c r="AV9" s="316"/>
      <c r="AW9" s="316"/>
      <c r="AX9" s="316"/>
      <c r="AY9" s="9"/>
    </row>
    <row r="10" spans="1:51" ht="9" customHeight="1" x14ac:dyDescent="0.2">
      <c r="B10" s="7"/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9"/>
    </row>
    <row r="11" spans="1:51" ht="12" customHeight="1" x14ac:dyDescent="0.2">
      <c r="B11" s="7"/>
      <c r="C11" s="319" t="s">
        <v>1793</v>
      </c>
      <c r="D11" s="320"/>
      <c r="E11" s="320"/>
      <c r="F11" s="320"/>
      <c r="G11" s="320"/>
      <c r="H11" s="321" t="s">
        <v>1794</v>
      </c>
      <c r="I11" s="322"/>
      <c r="J11" s="322"/>
      <c r="K11" s="322"/>
      <c r="L11" s="322"/>
      <c r="M11" s="322"/>
      <c r="N11" s="322"/>
      <c r="O11" s="322"/>
      <c r="P11" s="322"/>
      <c r="Q11" s="322"/>
      <c r="R11" s="322"/>
      <c r="S11" s="322"/>
      <c r="T11" s="322"/>
      <c r="U11" s="322"/>
      <c r="V11" s="322"/>
      <c r="W11" s="322"/>
      <c r="X11" s="322"/>
      <c r="Y11" s="322"/>
      <c r="Z11" s="322"/>
      <c r="AA11" s="322"/>
      <c r="AB11" s="322"/>
      <c r="AC11" s="322"/>
      <c r="AD11" s="322"/>
      <c r="AE11" s="322"/>
      <c r="AF11" s="324"/>
      <c r="AG11" s="324"/>
      <c r="AH11" s="324"/>
      <c r="AI11" s="323"/>
      <c r="AJ11" s="319" t="s">
        <v>1800</v>
      </c>
      <c r="AK11" s="320"/>
      <c r="AL11" s="320"/>
      <c r="AM11" s="320"/>
      <c r="AN11" s="320"/>
      <c r="AO11" s="320"/>
      <c r="AP11" s="319" t="s">
        <v>1801</v>
      </c>
      <c r="AQ11" s="320"/>
      <c r="AR11" s="320"/>
      <c r="AS11" s="320"/>
      <c r="AT11" s="320"/>
      <c r="AU11" s="320"/>
      <c r="AV11" s="320"/>
      <c r="AW11" s="320"/>
      <c r="AX11" s="320"/>
      <c r="AY11" s="9"/>
    </row>
    <row r="12" spans="1:51" ht="9.9499999999999993" customHeight="1" x14ac:dyDescent="0.2">
      <c r="B12" s="7"/>
      <c r="C12" s="320"/>
      <c r="D12" s="320"/>
      <c r="E12" s="320"/>
      <c r="F12" s="320"/>
      <c r="G12" s="320"/>
      <c r="H12" s="321" t="s">
        <v>1795</v>
      </c>
      <c r="I12" s="322"/>
      <c r="J12" s="322"/>
      <c r="K12" s="322"/>
      <c r="L12" s="322"/>
      <c r="M12" s="322"/>
      <c r="N12" s="323"/>
      <c r="O12" s="321" t="s">
        <v>1796</v>
      </c>
      <c r="P12" s="322"/>
      <c r="Q12" s="322"/>
      <c r="R12" s="322"/>
      <c r="S12" s="322"/>
      <c r="T12" s="322"/>
      <c r="U12" s="323"/>
      <c r="V12" s="321" t="s">
        <v>1797</v>
      </c>
      <c r="W12" s="322"/>
      <c r="X12" s="322"/>
      <c r="Y12" s="322"/>
      <c r="Z12" s="322"/>
      <c r="AA12" s="322"/>
      <c r="AB12" s="323"/>
      <c r="AC12" s="321" t="s">
        <v>1798</v>
      </c>
      <c r="AD12" s="322"/>
      <c r="AE12" s="322"/>
      <c r="AF12" s="322"/>
      <c r="AG12" s="322"/>
      <c r="AH12" s="322"/>
      <c r="AI12" s="323"/>
      <c r="AJ12" s="320"/>
      <c r="AK12" s="320"/>
      <c r="AL12" s="320"/>
      <c r="AM12" s="320"/>
      <c r="AN12" s="320"/>
      <c r="AO12" s="320"/>
      <c r="AP12" s="320"/>
      <c r="AQ12" s="320"/>
      <c r="AR12" s="320"/>
      <c r="AS12" s="320"/>
      <c r="AT12" s="320"/>
      <c r="AU12" s="320"/>
      <c r="AV12" s="320"/>
      <c r="AW12" s="320"/>
      <c r="AX12" s="320"/>
      <c r="AY12" s="9"/>
    </row>
    <row r="13" spans="1:51" ht="11.45" customHeight="1" x14ac:dyDescent="0.2">
      <c r="B13" s="7"/>
      <c r="C13" s="317" t="str">
        <f>LISTAS!AJ16</f>
        <v>15. La IE adoptó medidas para la Gestión del Riesgo de Desastres.</v>
      </c>
      <c r="D13" s="318"/>
      <c r="E13" s="318"/>
      <c r="F13" s="318"/>
      <c r="G13" s="318"/>
      <c r="H13" s="334" t="str">
        <f>LISTAS!AK16</f>
        <v>La I.E. cuenta con una planificación de la gestión del Riesgo de Desastres  incluidos en el PAT.</v>
      </c>
      <c r="I13" s="335"/>
      <c r="J13" s="335"/>
      <c r="K13" s="335"/>
      <c r="L13" s="335"/>
      <c r="M13" s="335"/>
      <c r="N13" s="336"/>
      <c r="O13" s="334" t="str">
        <f>LISTAS!AL16</f>
        <v xml:space="preserve">La I.E. implementó actividades pedagógicas sobre la gestión del riesgo de desastres, en el marco del enfoque ambiental. </v>
      </c>
      <c r="P13" s="335"/>
      <c r="Q13" s="335"/>
      <c r="R13" s="335"/>
      <c r="S13" s="335"/>
      <c r="T13" s="335"/>
      <c r="U13" s="336"/>
      <c r="V13" s="334" t="str">
        <f>LISTAS!AM16</f>
        <v xml:space="preserve">La I.E. implementó actividades institucionales, incluyendo simulacros, para hacer frente a los desastres, en el marco del enfoque ambiental. </v>
      </c>
      <c r="W13" s="335"/>
      <c r="X13" s="335"/>
      <c r="Y13" s="335"/>
      <c r="Z13" s="335"/>
      <c r="AA13" s="335"/>
      <c r="AB13" s="336"/>
      <c r="AC13" s="334" t="str">
        <f>LISTAS!AN16</f>
        <v xml:space="preserve">La I.E. sensibilizó  a las familias de la comunidad educativa y/o comunidad local en la gestión del riesgo frente a los desastres (sismos, friajes, inundaciones, y otros producto del cambio climático, según el contexto). </v>
      </c>
      <c r="AD13" s="335"/>
      <c r="AE13" s="335"/>
      <c r="AF13" s="335"/>
      <c r="AG13" s="335"/>
      <c r="AH13" s="335"/>
      <c r="AI13" s="336"/>
      <c r="AJ13" s="338" t="str">
        <f>LISTAS!AO16</f>
        <v>N° de hitos de aplicación del enfoque ambiental puestos en práctica en la gestión de riesgos de desastres.</v>
      </c>
      <c r="AK13" s="339"/>
      <c r="AL13" s="339"/>
      <c r="AM13" s="339"/>
      <c r="AN13" s="339"/>
      <c r="AO13" s="340"/>
      <c r="AP13" s="350"/>
      <c r="AQ13" s="351"/>
      <c r="AR13" s="351"/>
      <c r="AS13" s="351"/>
      <c r="AT13" s="351"/>
      <c r="AU13" s="351"/>
      <c r="AV13" s="351"/>
      <c r="AW13" s="351"/>
      <c r="AX13" s="351"/>
      <c r="AY13" s="9"/>
    </row>
    <row r="14" spans="1:51" ht="11.45" customHeight="1" x14ac:dyDescent="0.2">
      <c r="B14" s="7"/>
      <c r="C14" s="318"/>
      <c r="D14" s="318"/>
      <c r="E14" s="318"/>
      <c r="F14" s="318"/>
      <c r="G14" s="318"/>
      <c r="H14" s="337"/>
      <c r="I14" s="335"/>
      <c r="J14" s="335"/>
      <c r="K14" s="335"/>
      <c r="L14" s="335"/>
      <c r="M14" s="335"/>
      <c r="N14" s="336"/>
      <c r="O14" s="337"/>
      <c r="P14" s="335"/>
      <c r="Q14" s="335"/>
      <c r="R14" s="335"/>
      <c r="S14" s="335"/>
      <c r="T14" s="335"/>
      <c r="U14" s="336"/>
      <c r="V14" s="337"/>
      <c r="W14" s="335"/>
      <c r="X14" s="335"/>
      <c r="Y14" s="335"/>
      <c r="Z14" s="335"/>
      <c r="AA14" s="335"/>
      <c r="AB14" s="336"/>
      <c r="AC14" s="337"/>
      <c r="AD14" s="335"/>
      <c r="AE14" s="335"/>
      <c r="AF14" s="335"/>
      <c r="AG14" s="335"/>
      <c r="AH14" s="335"/>
      <c r="AI14" s="336"/>
      <c r="AJ14" s="341"/>
      <c r="AK14" s="342"/>
      <c r="AL14" s="342"/>
      <c r="AM14" s="342"/>
      <c r="AN14" s="342"/>
      <c r="AO14" s="343"/>
      <c r="AP14" s="351"/>
      <c r="AQ14" s="351"/>
      <c r="AR14" s="351"/>
      <c r="AS14" s="351"/>
      <c r="AT14" s="351"/>
      <c r="AU14" s="351"/>
      <c r="AV14" s="351"/>
      <c r="AW14" s="351"/>
      <c r="AX14" s="351"/>
      <c r="AY14" s="9"/>
    </row>
    <row r="15" spans="1:51" ht="11.45" customHeight="1" x14ac:dyDescent="0.2">
      <c r="B15" s="7"/>
      <c r="C15" s="318"/>
      <c r="D15" s="318"/>
      <c r="E15" s="318"/>
      <c r="F15" s="318"/>
      <c r="G15" s="318"/>
      <c r="H15" s="337"/>
      <c r="I15" s="335"/>
      <c r="J15" s="335"/>
      <c r="K15" s="335"/>
      <c r="L15" s="335"/>
      <c r="M15" s="335"/>
      <c r="N15" s="336"/>
      <c r="O15" s="337"/>
      <c r="P15" s="335"/>
      <c r="Q15" s="335"/>
      <c r="R15" s="335"/>
      <c r="S15" s="335"/>
      <c r="T15" s="335"/>
      <c r="U15" s="336"/>
      <c r="V15" s="337"/>
      <c r="W15" s="335"/>
      <c r="X15" s="335"/>
      <c r="Y15" s="335"/>
      <c r="Z15" s="335"/>
      <c r="AA15" s="335"/>
      <c r="AB15" s="336"/>
      <c r="AC15" s="337"/>
      <c r="AD15" s="335"/>
      <c r="AE15" s="335"/>
      <c r="AF15" s="335"/>
      <c r="AG15" s="335"/>
      <c r="AH15" s="335"/>
      <c r="AI15" s="336"/>
      <c r="AJ15" s="341"/>
      <c r="AK15" s="342"/>
      <c r="AL15" s="342"/>
      <c r="AM15" s="342"/>
      <c r="AN15" s="342"/>
      <c r="AO15" s="343"/>
      <c r="AP15" s="351"/>
      <c r="AQ15" s="351"/>
      <c r="AR15" s="351"/>
      <c r="AS15" s="351"/>
      <c r="AT15" s="351"/>
      <c r="AU15" s="351"/>
      <c r="AV15" s="351"/>
      <c r="AW15" s="351"/>
      <c r="AX15" s="351"/>
      <c r="AY15" s="9"/>
    </row>
    <row r="16" spans="1:51" ht="11.45" customHeight="1" x14ac:dyDescent="0.2">
      <c r="B16" s="7"/>
      <c r="C16" s="318"/>
      <c r="D16" s="318"/>
      <c r="E16" s="318"/>
      <c r="F16" s="318"/>
      <c r="G16" s="318"/>
      <c r="H16" s="337"/>
      <c r="I16" s="335"/>
      <c r="J16" s="335"/>
      <c r="K16" s="335"/>
      <c r="L16" s="335"/>
      <c r="M16" s="335"/>
      <c r="N16" s="336"/>
      <c r="O16" s="337"/>
      <c r="P16" s="335"/>
      <c r="Q16" s="335"/>
      <c r="R16" s="335"/>
      <c r="S16" s="335"/>
      <c r="T16" s="335"/>
      <c r="U16" s="336"/>
      <c r="V16" s="337"/>
      <c r="W16" s="335"/>
      <c r="X16" s="335"/>
      <c r="Y16" s="335"/>
      <c r="Z16" s="335"/>
      <c r="AA16" s="335"/>
      <c r="AB16" s="336"/>
      <c r="AC16" s="337"/>
      <c r="AD16" s="335"/>
      <c r="AE16" s="335"/>
      <c r="AF16" s="335"/>
      <c r="AG16" s="335"/>
      <c r="AH16" s="335"/>
      <c r="AI16" s="336"/>
      <c r="AJ16" s="341"/>
      <c r="AK16" s="342"/>
      <c r="AL16" s="342"/>
      <c r="AM16" s="342"/>
      <c r="AN16" s="342"/>
      <c r="AO16" s="343"/>
      <c r="AP16" s="351"/>
      <c r="AQ16" s="351"/>
      <c r="AR16" s="351"/>
      <c r="AS16" s="351"/>
      <c r="AT16" s="351"/>
      <c r="AU16" s="351"/>
      <c r="AV16" s="351"/>
      <c r="AW16" s="351"/>
      <c r="AX16" s="351"/>
      <c r="AY16" s="9"/>
    </row>
    <row r="17" spans="2:51" ht="11.45" customHeight="1" x14ac:dyDescent="0.2">
      <c r="B17" s="7"/>
      <c r="C17" s="318"/>
      <c r="D17" s="318"/>
      <c r="E17" s="318"/>
      <c r="F17" s="318"/>
      <c r="G17" s="318"/>
      <c r="H17" s="337"/>
      <c r="I17" s="335"/>
      <c r="J17" s="335"/>
      <c r="K17" s="335"/>
      <c r="L17" s="335"/>
      <c r="M17" s="335"/>
      <c r="N17" s="336"/>
      <c r="O17" s="337"/>
      <c r="P17" s="335"/>
      <c r="Q17" s="335"/>
      <c r="R17" s="335"/>
      <c r="S17" s="335"/>
      <c r="T17" s="335"/>
      <c r="U17" s="336"/>
      <c r="V17" s="337"/>
      <c r="W17" s="335"/>
      <c r="X17" s="335"/>
      <c r="Y17" s="335"/>
      <c r="Z17" s="335"/>
      <c r="AA17" s="335"/>
      <c r="AB17" s="336"/>
      <c r="AC17" s="337"/>
      <c r="AD17" s="335"/>
      <c r="AE17" s="335"/>
      <c r="AF17" s="335"/>
      <c r="AG17" s="335"/>
      <c r="AH17" s="335"/>
      <c r="AI17" s="336"/>
      <c r="AJ17" s="341"/>
      <c r="AK17" s="342"/>
      <c r="AL17" s="342"/>
      <c r="AM17" s="342"/>
      <c r="AN17" s="342"/>
      <c r="AO17" s="343"/>
      <c r="AP17" s="351"/>
      <c r="AQ17" s="351"/>
      <c r="AR17" s="351"/>
      <c r="AS17" s="351"/>
      <c r="AT17" s="351"/>
      <c r="AU17" s="351"/>
      <c r="AV17" s="351"/>
      <c r="AW17" s="351"/>
      <c r="AX17" s="351"/>
      <c r="AY17" s="9"/>
    </row>
    <row r="18" spans="2:51" ht="11.45" customHeight="1" x14ac:dyDescent="0.2">
      <c r="B18" s="7"/>
      <c r="C18" s="318"/>
      <c r="D18" s="318"/>
      <c r="E18" s="318"/>
      <c r="F18" s="318"/>
      <c r="G18" s="318"/>
      <c r="H18" s="337"/>
      <c r="I18" s="335"/>
      <c r="J18" s="335"/>
      <c r="K18" s="335"/>
      <c r="L18" s="335"/>
      <c r="M18" s="335"/>
      <c r="N18" s="336"/>
      <c r="O18" s="337"/>
      <c r="P18" s="335"/>
      <c r="Q18" s="335"/>
      <c r="R18" s="335"/>
      <c r="S18" s="335"/>
      <c r="T18" s="335"/>
      <c r="U18" s="336"/>
      <c r="V18" s="337"/>
      <c r="W18" s="335"/>
      <c r="X18" s="335"/>
      <c r="Y18" s="335"/>
      <c r="Z18" s="335"/>
      <c r="AA18" s="335"/>
      <c r="AB18" s="336"/>
      <c r="AC18" s="337"/>
      <c r="AD18" s="335"/>
      <c r="AE18" s="335"/>
      <c r="AF18" s="335"/>
      <c r="AG18" s="335"/>
      <c r="AH18" s="335"/>
      <c r="AI18" s="336"/>
      <c r="AJ18" s="341"/>
      <c r="AK18" s="342"/>
      <c r="AL18" s="342"/>
      <c r="AM18" s="342"/>
      <c r="AN18" s="342"/>
      <c r="AO18" s="343"/>
      <c r="AP18" s="351"/>
      <c r="AQ18" s="351"/>
      <c r="AR18" s="351"/>
      <c r="AS18" s="351"/>
      <c r="AT18" s="351"/>
      <c r="AU18" s="351"/>
      <c r="AV18" s="351"/>
      <c r="AW18" s="351"/>
      <c r="AX18" s="351"/>
      <c r="AY18" s="9"/>
    </row>
    <row r="19" spans="2:51" ht="11.45" customHeight="1" x14ac:dyDescent="0.2">
      <c r="B19" s="7"/>
      <c r="C19" s="318"/>
      <c r="D19" s="318"/>
      <c r="E19" s="318"/>
      <c r="F19" s="318"/>
      <c r="G19" s="318"/>
      <c r="H19" s="337"/>
      <c r="I19" s="335"/>
      <c r="J19" s="335"/>
      <c r="K19" s="335"/>
      <c r="L19" s="335"/>
      <c r="M19" s="335"/>
      <c r="N19" s="336"/>
      <c r="O19" s="337"/>
      <c r="P19" s="335"/>
      <c r="Q19" s="335"/>
      <c r="R19" s="335"/>
      <c r="S19" s="335"/>
      <c r="T19" s="335"/>
      <c r="U19" s="336"/>
      <c r="V19" s="337"/>
      <c r="W19" s="335"/>
      <c r="X19" s="335"/>
      <c r="Y19" s="335"/>
      <c r="Z19" s="335"/>
      <c r="AA19" s="335"/>
      <c r="AB19" s="336"/>
      <c r="AC19" s="337"/>
      <c r="AD19" s="335"/>
      <c r="AE19" s="335"/>
      <c r="AF19" s="335"/>
      <c r="AG19" s="335"/>
      <c r="AH19" s="335"/>
      <c r="AI19" s="336"/>
      <c r="AJ19" s="341"/>
      <c r="AK19" s="342"/>
      <c r="AL19" s="342"/>
      <c r="AM19" s="342"/>
      <c r="AN19" s="342"/>
      <c r="AO19" s="343"/>
      <c r="AP19" s="351"/>
      <c r="AQ19" s="351"/>
      <c r="AR19" s="351"/>
      <c r="AS19" s="351"/>
      <c r="AT19" s="351"/>
      <c r="AU19" s="351"/>
      <c r="AV19" s="351"/>
      <c r="AW19" s="351"/>
      <c r="AX19" s="351"/>
      <c r="AY19" s="9"/>
    </row>
    <row r="20" spans="2:51" ht="25.5" customHeight="1" x14ac:dyDescent="0.2">
      <c r="B20" s="7"/>
      <c r="C20" s="318"/>
      <c r="D20" s="318"/>
      <c r="E20" s="318"/>
      <c r="F20" s="318"/>
      <c r="G20" s="318"/>
      <c r="H20" s="337"/>
      <c r="I20" s="335"/>
      <c r="J20" s="335"/>
      <c r="K20" s="335"/>
      <c r="L20" s="335"/>
      <c r="M20" s="335"/>
      <c r="N20" s="336"/>
      <c r="O20" s="337"/>
      <c r="P20" s="335"/>
      <c r="Q20" s="335"/>
      <c r="R20" s="335"/>
      <c r="S20" s="335"/>
      <c r="T20" s="335"/>
      <c r="U20" s="336"/>
      <c r="V20" s="337"/>
      <c r="W20" s="335"/>
      <c r="X20" s="335"/>
      <c r="Y20" s="335"/>
      <c r="Z20" s="335"/>
      <c r="AA20" s="335"/>
      <c r="AB20" s="336"/>
      <c r="AC20" s="337"/>
      <c r="AD20" s="335"/>
      <c r="AE20" s="335"/>
      <c r="AF20" s="335"/>
      <c r="AG20" s="335"/>
      <c r="AH20" s="335"/>
      <c r="AI20" s="336"/>
      <c r="AJ20" s="341"/>
      <c r="AK20" s="342"/>
      <c r="AL20" s="342"/>
      <c r="AM20" s="342"/>
      <c r="AN20" s="342"/>
      <c r="AO20" s="343"/>
      <c r="AP20" s="351"/>
      <c r="AQ20" s="351"/>
      <c r="AR20" s="351"/>
      <c r="AS20" s="351"/>
      <c r="AT20" s="351"/>
      <c r="AU20" s="351"/>
      <c r="AV20" s="351"/>
      <c r="AW20" s="351"/>
      <c r="AX20" s="351"/>
      <c r="AY20" s="9"/>
    </row>
    <row r="21" spans="2:51" ht="6.95" customHeight="1" x14ac:dyDescent="0.2">
      <c r="B21" s="7"/>
      <c r="C21" s="318"/>
      <c r="D21" s="318"/>
      <c r="E21" s="318"/>
      <c r="F21" s="318"/>
      <c r="G21" s="318"/>
      <c r="H21" s="325"/>
      <c r="I21" s="326"/>
      <c r="J21" s="326"/>
      <c r="K21" s="326"/>
      <c r="L21" s="326"/>
      <c r="M21" s="326"/>
      <c r="N21" s="327"/>
      <c r="O21" s="325"/>
      <c r="P21" s="326"/>
      <c r="Q21" s="326"/>
      <c r="R21" s="326"/>
      <c r="S21" s="326"/>
      <c r="T21" s="326"/>
      <c r="U21" s="327"/>
      <c r="V21" s="325"/>
      <c r="W21" s="326"/>
      <c r="X21" s="326"/>
      <c r="Y21" s="326"/>
      <c r="Z21" s="326"/>
      <c r="AA21" s="326"/>
      <c r="AB21" s="327"/>
      <c r="AC21" s="325"/>
      <c r="AD21" s="326"/>
      <c r="AE21" s="326"/>
      <c r="AF21" s="326"/>
      <c r="AG21" s="326"/>
      <c r="AH21" s="326"/>
      <c r="AI21" s="327"/>
      <c r="AJ21" s="341"/>
      <c r="AK21" s="342"/>
      <c r="AL21" s="342"/>
      <c r="AM21" s="342"/>
      <c r="AN21" s="342"/>
      <c r="AO21" s="343"/>
      <c r="AP21" s="351"/>
      <c r="AQ21" s="351"/>
      <c r="AR21" s="351"/>
      <c r="AS21" s="351"/>
      <c r="AT21" s="351"/>
      <c r="AU21" s="351"/>
      <c r="AV21" s="351"/>
      <c r="AW21" s="351"/>
      <c r="AX21" s="351"/>
      <c r="AY21" s="9"/>
    </row>
    <row r="22" spans="2:51" ht="6.95" customHeight="1" x14ac:dyDescent="0.2">
      <c r="B22" s="7"/>
      <c r="C22" s="318"/>
      <c r="D22" s="318"/>
      <c r="E22" s="318"/>
      <c r="F22" s="318"/>
      <c r="G22" s="318"/>
      <c r="H22" s="328"/>
      <c r="I22" s="326"/>
      <c r="J22" s="326"/>
      <c r="K22" s="326"/>
      <c r="L22" s="326"/>
      <c r="M22" s="326"/>
      <c r="N22" s="327"/>
      <c r="O22" s="328"/>
      <c r="P22" s="326"/>
      <c r="Q22" s="326"/>
      <c r="R22" s="326"/>
      <c r="S22" s="326"/>
      <c r="T22" s="326"/>
      <c r="U22" s="327"/>
      <c r="V22" s="328"/>
      <c r="W22" s="326"/>
      <c r="X22" s="326"/>
      <c r="Y22" s="326"/>
      <c r="Z22" s="326"/>
      <c r="AA22" s="326"/>
      <c r="AB22" s="327"/>
      <c r="AC22" s="328"/>
      <c r="AD22" s="326"/>
      <c r="AE22" s="326"/>
      <c r="AF22" s="326"/>
      <c r="AG22" s="326"/>
      <c r="AH22" s="326"/>
      <c r="AI22" s="327"/>
      <c r="AJ22" s="341"/>
      <c r="AK22" s="342"/>
      <c r="AL22" s="342"/>
      <c r="AM22" s="342"/>
      <c r="AN22" s="342"/>
      <c r="AO22" s="343"/>
      <c r="AP22" s="351"/>
      <c r="AQ22" s="351"/>
      <c r="AR22" s="351"/>
      <c r="AS22" s="351"/>
      <c r="AT22" s="351"/>
      <c r="AU22" s="351"/>
      <c r="AV22" s="351"/>
      <c r="AW22" s="351"/>
      <c r="AX22" s="351"/>
      <c r="AY22" s="9"/>
    </row>
    <row r="23" spans="2:51" ht="11.45" customHeight="1" x14ac:dyDescent="0.2">
      <c r="B23" s="7"/>
      <c r="C23" s="360" t="str">
        <f>IF($C$13="","","Medios de verificación")</f>
        <v>Medios de verificación</v>
      </c>
      <c r="D23" s="360"/>
      <c r="E23" s="360"/>
      <c r="F23" s="360"/>
      <c r="G23" s="360"/>
      <c r="H23" s="329" t="str">
        <f>LISTAS!AP16</f>
        <v>PAT.</v>
      </c>
      <c r="I23" s="330"/>
      <c r="J23" s="330"/>
      <c r="K23" s="330"/>
      <c r="L23" s="330"/>
      <c r="M23" s="330"/>
      <c r="N23" s="330"/>
      <c r="O23" s="329" t="str">
        <f>LISTAS!AQ16</f>
        <v>PCI.</v>
      </c>
      <c r="P23" s="330"/>
      <c r="Q23" s="330"/>
      <c r="R23" s="330"/>
      <c r="S23" s="330"/>
      <c r="T23" s="330"/>
      <c r="U23" s="330"/>
      <c r="V23" s="329" t="str">
        <f>LISTAS!AR16</f>
        <v>PAT.</v>
      </c>
      <c r="W23" s="330"/>
      <c r="X23" s="330"/>
      <c r="Y23" s="330"/>
      <c r="Z23" s="330"/>
      <c r="AA23" s="330"/>
      <c r="AB23" s="330"/>
      <c r="AC23" s="329" t="str">
        <f>LISTAS!AS16</f>
        <v>PAT. Documentos administrativos: Cartas, Oficios, Memo. Lista de Asistencia. Fotografías.</v>
      </c>
      <c r="AD23" s="330"/>
      <c r="AE23" s="330"/>
      <c r="AF23" s="330"/>
      <c r="AG23" s="330"/>
      <c r="AH23" s="330"/>
      <c r="AI23" s="330"/>
      <c r="AJ23" s="344"/>
      <c r="AK23" s="345"/>
      <c r="AL23" s="345"/>
      <c r="AM23" s="345"/>
      <c r="AN23" s="345"/>
      <c r="AO23" s="346"/>
      <c r="AP23" s="329"/>
      <c r="AQ23" s="329"/>
      <c r="AR23" s="329"/>
      <c r="AS23" s="329"/>
      <c r="AT23" s="329"/>
      <c r="AU23" s="329"/>
      <c r="AV23" s="329"/>
      <c r="AW23" s="329"/>
      <c r="AX23" s="329"/>
      <c r="AY23" s="9"/>
    </row>
    <row r="24" spans="2:51" ht="11.45" customHeight="1" x14ac:dyDescent="0.2">
      <c r="B24" s="7"/>
      <c r="C24" s="361"/>
      <c r="D24" s="361"/>
      <c r="E24" s="361"/>
      <c r="F24" s="361"/>
      <c r="G24" s="361"/>
      <c r="H24" s="331"/>
      <c r="I24" s="332"/>
      <c r="J24" s="332"/>
      <c r="K24" s="332"/>
      <c r="L24" s="332"/>
      <c r="M24" s="332"/>
      <c r="N24" s="332"/>
      <c r="O24" s="331"/>
      <c r="P24" s="332"/>
      <c r="Q24" s="332"/>
      <c r="R24" s="332"/>
      <c r="S24" s="332"/>
      <c r="T24" s="332"/>
      <c r="U24" s="332"/>
      <c r="V24" s="331"/>
      <c r="W24" s="332"/>
      <c r="X24" s="332"/>
      <c r="Y24" s="332"/>
      <c r="Z24" s="332"/>
      <c r="AA24" s="332"/>
      <c r="AB24" s="332"/>
      <c r="AC24" s="331"/>
      <c r="AD24" s="332"/>
      <c r="AE24" s="332"/>
      <c r="AF24" s="332"/>
      <c r="AG24" s="332"/>
      <c r="AH24" s="332"/>
      <c r="AI24" s="332"/>
      <c r="AJ24" s="344"/>
      <c r="AK24" s="345"/>
      <c r="AL24" s="345"/>
      <c r="AM24" s="345"/>
      <c r="AN24" s="345"/>
      <c r="AO24" s="346"/>
      <c r="AP24" s="331"/>
      <c r="AQ24" s="331"/>
      <c r="AR24" s="331"/>
      <c r="AS24" s="331"/>
      <c r="AT24" s="331"/>
      <c r="AU24" s="331"/>
      <c r="AV24" s="331"/>
      <c r="AW24" s="331"/>
      <c r="AX24" s="331"/>
      <c r="AY24" s="9"/>
    </row>
    <row r="25" spans="2:51" ht="11.45" customHeight="1" x14ac:dyDescent="0.2">
      <c r="B25" s="7"/>
      <c r="C25" s="361"/>
      <c r="D25" s="361"/>
      <c r="E25" s="361"/>
      <c r="F25" s="361"/>
      <c r="G25" s="361"/>
      <c r="H25" s="331"/>
      <c r="I25" s="332"/>
      <c r="J25" s="332"/>
      <c r="K25" s="332"/>
      <c r="L25" s="332"/>
      <c r="M25" s="332"/>
      <c r="N25" s="332"/>
      <c r="O25" s="331"/>
      <c r="P25" s="332"/>
      <c r="Q25" s="332"/>
      <c r="R25" s="332"/>
      <c r="S25" s="332"/>
      <c r="T25" s="332"/>
      <c r="U25" s="332"/>
      <c r="V25" s="331"/>
      <c r="W25" s="332"/>
      <c r="X25" s="332"/>
      <c r="Y25" s="332"/>
      <c r="Z25" s="332"/>
      <c r="AA25" s="332"/>
      <c r="AB25" s="332"/>
      <c r="AC25" s="331"/>
      <c r="AD25" s="332"/>
      <c r="AE25" s="332"/>
      <c r="AF25" s="332"/>
      <c r="AG25" s="332"/>
      <c r="AH25" s="332"/>
      <c r="AI25" s="332"/>
      <c r="AJ25" s="344"/>
      <c r="AK25" s="345"/>
      <c r="AL25" s="345"/>
      <c r="AM25" s="345"/>
      <c r="AN25" s="345"/>
      <c r="AO25" s="346"/>
      <c r="AP25" s="331"/>
      <c r="AQ25" s="331"/>
      <c r="AR25" s="331"/>
      <c r="AS25" s="331"/>
      <c r="AT25" s="331"/>
      <c r="AU25" s="331"/>
      <c r="AV25" s="331"/>
      <c r="AW25" s="331"/>
      <c r="AX25" s="331"/>
      <c r="AY25" s="9"/>
    </row>
    <row r="26" spans="2:51" ht="11.45" customHeight="1" x14ac:dyDescent="0.2">
      <c r="B26" s="7"/>
      <c r="C26" s="362"/>
      <c r="D26" s="362"/>
      <c r="E26" s="362"/>
      <c r="F26" s="362"/>
      <c r="G26" s="362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3"/>
      <c r="AC26" s="333"/>
      <c r="AD26" s="333"/>
      <c r="AE26" s="333"/>
      <c r="AF26" s="333"/>
      <c r="AG26" s="333"/>
      <c r="AH26" s="333"/>
      <c r="AI26" s="333"/>
      <c r="AJ26" s="347"/>
      <c r="AK26" s="348"/>
      <c r="AL26" s="348"/>
      <c r="AM26" s="348"/>
      <c r="AN26" s="348"/>
      <c r="AO26" s="349"/>
      <c r="AP26" s="352"/>
      <c r="AQ26" s="352"/>
      <c r="AR26" s="352"/>
      <c r="AS26" s="352"/>
      <c r="AT26" s="352"/>
      <c r="AU26" s="352"/>
      <c r="AV26" s="352"/>
      <c r="AW26" s="352"/>
      <c r="AX26" s="352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55"/>
      <c r="D28" s="56"/>
      <c r="E28" s="56"/>
      <c r="F28" s="56"/>
      <c r="G28" s="56"/>
      <c r="H28" s="57"/>
      <c r="I28" s="58"/>
      <c r="J28" s="58"/>
      <c r="K28" s="58"/>
      <c r="L28" s="58"/>
      <c r="M28" s="58"/>
      <c r="N28" s="43"/>
      <c r="O28" s="57"/>
      <c r="P28" s="58"/>
      <c r="Q28" s="58"/>
      <c r="R28" s="58"/>
      <c r="S28" s="58"/>
      <c r="T28" s="58"/>
      <c r="U28" s="43"/>
      <c r="V28" s="57"/>
      <c r="W28" s="58"/>
      <c r="X28" s="58"/>
      <c r="Y28" s="58"/>
      <c r="Z28" s="58"/>
      <c r="AA28" s="58"/>
      <c r="AB28" s="43"/>
      <c r="AC28" s="57"/>
      <c r="AD28" s="58"/>
      <c r="AE28" s="58"/>
      <c r="AF28" s="58"/>
      <c r="AG28" s="58"/>
      <c r="AH28" s="58"/>
      <c r="AI28" s="43"/>
      <c r="AJ28" s="59"/>
      <c r="AK28" s="60"/>
      <c r="AL28" s="60"/>
      <c r="AM28" s="60"/>
      <c r="AN28" s="60"/>
      <c r="AO28" s="61"/>
      <c r="AP28" s="62"/>
      <c r="AQ28" s="63"/>
      <c r="AR28" s="63"/>
      <c r="AS28" s="63"/>
      <c r="AT28" s="63"/>
      <c r="AU28" s="63"/>
      <c r="AV28" s="63"/>
      <c r="AW28" s="63"/>
      <c r="AX28" s="63"/>
      <c r="AY28" s="9"/>
    </row>
    <row r="29" spans="2:51" ht="11.45" customHeight="1" x14ac:dyDescent="0.2">
      <c r="B29" s="7"/>
      <c r="C29" s="56"/>
      <c r="D29" s="56"/>
      <c r="E29" s="56"/>
      <c r="F29" s="56"/>
      <c r="G29" s="56"/>
      <c r="H29" s="64"/>
      <c r="I29" s="58"/>
      <c r="J29" s="58"/>
      <c r="K29" s="58"/>
      <c r="L29" s="58"/>
      <c r="M29" s="58"/>
      <c r="N29" s="43"/>
      <c r="O29" s="64"/>
      <c r="P29" s="58"/>
      <c r="Q29" s="58"/>
      <c r="R29" s="58"/>
      <c r="S29" s="58"/>
      <c r="T29" s="58"/>
      <c r="U29" s="43"/>
      <c r="V29" s="64"/>
      <c r="W29" s="58"/>
      <c r="X29" s="58"/>
      <c r="Y29" s="58"/>
      <c r="Z29" s="58"/>
      <c r="AA29" s="58"/>
      <c r="AB29" s="43"/>
      <c r="AC29" s="64"/>
      <c r="AD29" s="58"/>
      <c r="AE29" s="58"/>
      <c r="AF29" s="58"/>
      <c r="AG29" s="58"/>
      <c r="AH29" s="58"/>
      <c r="AI29" s="43"/>
      <c r="AJ29" s="65"/>
      <c r="AK29" s="66"/>
      <c r="AL29" s="66"/>
      <c r="AM29" s="66"/>
      <c r="AN29" s="66"/>
      <c r="AO29" s="67"/>
      <c r="AP29" s="63"/>
      <c r="AQ29" s="63"/>
      <c r="AR29" s="63"/>
      <c r="AS29" s="63"/>
      <c r="AT29" s="63"/>
      <c r="AU29" s="63"/>
      <c r="AV29" s="63"/>
      <c r="AW29" s="63"/>
      <c r="AX29" s="63"/>
      <c r="AY29" s="9"/>
    </row>
    <row r="30" spans="2:51" ht="11.45" customHeight="1" x14ac:dyDescent="0.2">
      <c r="B30" s="7"/>
      <c r="C30" s="56"/>
      <c r="D30" s="56"/>
      <c r="E30" s="56"/>
      <c r="F30" s="56"/>
      <c r="G30" s="56"/>
      <c r="H30" s="64"/>
      <c r="I30" s="58"/>
      <c r="J30" s="58"/>
      <c r="K30" s="58"/>
      <c r="L30" s="58"/>
      <c r="M30" s="58"/>
      <c r="N30" s="43"/>
      <c r="O30" s="64"/>
      <c r="P30" s="58"/>
      <c r="Q30" s="58"/>
      <c r="R30" s="58"/>
      <c r="S30" s="58"/>
      <c r="T30" s="58"/>
      <c r="U30" s="43"/>
      <c r="V30" s="64"/>
      <c r="W30" s="58"/>
      <c r="X30" s="58"/>
      <c r="Y30" s="58"/>
      <c r="Z30" s="58"/>
      <c r="AA30" s="58"/>
      <c r="AB30" s="43"/>
      <c r="AC30" s="64"/>
      <c r="AD30" s="58"/>
      <c r="AE30" s="58"/>
      <c r="AF30" s="58"/>
      <c r="AG30" s="58"/>
      <c r="AH30" s="58"/>
      <c r="AI30" s="43"/>
      <c r="AJ30" s="65"/>
      <c r="AK30" s="66"/>
      <c r="AL30" s="66"/>
      <c r="AM30" s="66"/>
      <c r="AN30" s="66"/>
      <c r="AO30" s="67"/>
      <c r="AP30" s="63"/>
      <c r="AQ30" s="63"/>
      <c r="AR30" s="63"/>
      <c r="AS30" s="63"/>
      <c r="AT30" s="63"/>
      <c r="AU30" s="63"/>
      <c r="AV30" s="63"/>
      <c r="AW30" s="63"/>
      <c r="AX30" s="63"/>
      <c r="AY30" s="9"/>
    </row>
    <row r="31" spans="2:51" ht="11.45" customHeight="1" x14ac:dyDescent="0.2">
      <c r="B31" s="7"/>
      <c r="C31" s="56"/>
      <c r="D31" s="56"/>
      <c r="E31" s="56"/>
      <c r="F31" s="56"/>
      <c r="G31" s="56"/>
      <c r="H31" s="64"/>
      <c r="I31" s="58"/>
      <c r="J31" s="58"/>
      <c r="K31" s="58"/>
      <c r="L31" s="58"/>
      <c r="M31" s="58"/>
      <c r="N31" s="43"/>
      <c r="O31" s="64"/>
      <c r="P31" s="58"/>
      <c r="Q31" s="58"/>
      <c r="R31" s="58"/>
      <c r="S31" s="58"/>
      <c r="T31" s="58"/>
      <c r="U31" s="43"/>
      <c r="V31" s="64"/>
      <c r="W31" s="58"/>
      <c r="X31" s="58"/>
      <c r="Y31" s="58"/>
      <c r="Z31" s="58"/>
      <c r="AA31" s="58"/>
      <c r="AB31" s="43"/>
      <c r="AC31" s="64"/>
      <c r="AD31" s="58"/>
      <c r="AE31" s="58"/>
      <c r="AF31" s="58"/>
      <c r="AG31" s="58"/>
      <c r="AH31" s="58"/>
      <c r="AI31" s="43"/>
      <c r="AJ31" s="65"/>
      <c r="AK31" s="66"/>
      <c r="AL31" s="66"/>
      <c r="AM31" s="66"/>
      <c r="AN31" s="66"/>
      <c r="AO31" s="67"/>
      <c r="AP31" s="63"/>
      <c r="AQ31" s="63"/>
      <c r="AR31" s="63"/>
      <c r="AS31" s="63"/>
      <c r="AT31" s="63"/>
      <c r="AU31" s="63"/>
      <c r="AV31" s="63"/>
      <c r="AW31" s="63"/>
      <c r="AX31" s="63"/>
      <c r="AY31" s="9"/>
    </row>
    <row r="32" spans="2:51" ht="11.45" customHeight="1" x14ac:dyDescent="0.2">
      <c r="B32" s="7"/>
      <c r="C32" s="56"/>
      <c r="D32" s="56"/>
      <c r="E32" s="56"/>
      <c r="F32" s="56"/>
      <c r="G32" s="56"/>
      <c r="H32" s="64"/>
      <c r="I32" s="58"/>
      <c r="J32" s="58"/>
      <c r="K32" s="58"/>
      <c r="L32" s="58"/>
      <c r="M32" s="58"/>
      <c r="N32" s="43"/>
      <c r="O32" s="64"/>
      <c r="P32" s="58"/>
      <c r="Q32" s="58"/>
      <c r="R32" s="58"/>
      <c r="S32" s="58"/>
      <c r="T32" s="58"/>
      <c r="U32" s="43"/>
      <c r="V32" s="64"/>
      <c r="W32" s="58"/>
      <c r="X32" s="58"/>
      <c r="Y32" s="58"/>
      <c r="Z32" s="58"/>
      <c r="AA32" s="58"/>
      <c r="AB32" s="43"/>
      <c r="AC32" s="64"/>
      <c r="AD32" s="58"/>
      <c r="AE32" s="58"/>
      <c r="AF32" s="58"/>
      <c r="AG32" s="58"/>
      <c r="AH32" s="58"/>
      <c r="AI32" s="43"/>
      <c r="AJ32" s="65"/>
      <c r="AK32" s="66"/>
      <c r="AL32" s="66"/>
      <c r="AM32" s="66"/>
      <c r="AN32" s="66"/>
      <c r="AO32" s="67"/>
      <c r="AP32" s="63"/>
      <c r="AQ32" s="63"/>
      <c r="AR32" s="63"/>
      <c r="AS32" s="63"/>
      <c r="AT32" s="63"/>
      <c r="AU32" s="63"/>
      <c r="AV32" s="63"/>
      <c r="AW32" s="63"/>
      <c r="AX32" s="63"/>
      <c r="AY32" s="9"/>
    </row>
    <row r="33" spans="2:51" ht="11.45" customHeight="1" x14ac:dyDescent="0.2">
      <c r="B33" s="7"/>
      <c r="C33" s="56"/>
      <c r="D33" s="56"/>
      <c r="E33" s="56"/>
      <c r="F33" s="56"/>
      <c r="G33" s="56"/>
      <c r="H33" s="64"/>
      <c r="I33" s="58"/>
      <c r="J33" s="58"/>
      <c r="K33" s="58"/>
      <c r="L33" s="58"/>
      <c r="M33" s="58"/>
      <c r="N33" s="43"/>
      <c r="O33" s="64"/>
      <c r="P33" s="58"/>
      <c r="Q33" s="58"/>
      <c r="R33" s="58"/>
      <c r="S33" s="58"/>
      <c r="T33" s="58"/>
      <c r="U33" s="43"/>
      <c r="V33" s="64"/>
      <c r="W33" s="58"/>
      <c r="X33" s="58"/>
      <c r="Y33" s="58"/>
      <c r="Z33" s="58"/>
      <c r="AA33" s="58"/>
      <c r="AB33" s="43"/>
      <c r="AC33" s="64"/>
      <c r="AD33" s="58"/>
      <c r="AE33" s="58"/>
      <c r="AF33" s="58"/>
      <c r="AG33" s="58"/>
      <c r="AH33" s="58"/>
      <c r="AI33" s="43"/>
      <c r="AJ33" s="65"/>
      <c r="AK33" s="66"/>
      <c r="AL33" s="66"/>
      <c r="AM33" s="66"/>
      <c r="AN33" s="66"/>
      <c r="AO33" s="67"/>
      <c r="AP33" s="63"/>
      <c r="AQ33" s="63"/>
      <c r="AR33" s="63"/>
      <c r="AS33" s="63"/>
      <c r="AT33" s="63"/>
      <c r="AU33" s="63"/>
      <c r="AV33" s="63"/>
      <c r="AW33" s="63"/>
      <c r="AX33" s="63"/>
      <c r="AY33" s="9"/>
    </row>
    <row r="34" spans="2:51" ht="11.45" customHeight="1" x14ac:dyDescent="0.2">
      <c r="B34" s="7"/>
      <c r="C34" s="56"/>
      <c r="D34" s="56"/>
      <c r="E34" s="56"/>
      <c r="F34" s="56"/>
      <c r="G34" s="56"/>
      <c r="H34" s="64"/>
      <c r="I34" s="58"/>
      <c r="J34" s="58"/>
      <c r="K34" s="58"/>
      <c r="L34" s="58"/>
      <c r="M34" s="58"/>
      <c r="N34" s="43"/>
      <c r="O34" s="64"/>
      <c r="P34" s="58"/>
      <c r="Q34" s="58"/>
      <c r="R34" s="58"/>
      <c r="S34" s="58"/>
      <c r="T34" s="58"/>
      <c r="U34" s="43"/>
      <c r="V34" s="64"/>
      <c r="W34" s="58"/>
      <c r="X34" s="58"/>
      <c r="Y34" s="58"/>
      <c r="Z34" s="58"/>
      <c r="AA34" s="58"/>
      <c r="AB34" s="43"/>
      <c r="AC34" s="64"/>
      <c r="AD34" s="58"/>
      <c r="AE34" s="58"/>
      <c r="AF34" s="58"/>
      <c r="AG34" s="58"/>
      <c r="AH34" s="58"/>
      <c r="AI34" s="43"/>
      <c r="AJ34" s="65"/>
      <c r="AK34" s="66"/>
      <c r="AL34" s="66"/>
      <c r="AM34" s="66"/>
      <c r="AN34" s="66"/>
      <c r="AO34" s="67"/>
      <c r="AP34" s="63"/>
      <c r="AQ34" s="63"/>
      <c r="AR34" s="63"/>
      <c r="AS34" s="63"/>
      <c r="AT34" s="63"/>
      <c r="AU34" s="63"/>
      <c r="AV34" s="63"/>
      <c r="AW34" s="63"/>
      <c r="AX34" s="63"/>
      <c r="AY34" s="9"/>
    </row>
    <row r="35" spans="2:51" ht="25.5" customHeight="1" x14ac:dyDescent="0.2">
      <c r="B35" s="7"/>
      <c r="C35" s="56"/>
      <c r="D35" s="56"/>
      <c r="E35" s="56"/>
      <c r="F35" s="56"/>
      <c r="G35" s="56"/>
      <c r="H35" s="64"/>
      <c r="I35" s="58"/>
      <c r="J35" s="58"/>
      <c r="K35" s="58"/>
      <c r="L35" s="58"/>
      <c r="M35" s="58"/>
      <c r="N35" s="43"/>
      <c r="O35" s="64"/>
      <c r="P35" s="58"/>
      <c r="Q35" s="58"/>
      <c r="R35" s="58"/>
      <c r="S35" s="58"/>
      <c r="T35" s="58"/>
      <c r="U35" s="43"/>
      <c r="V35" s="64"/>
      <c r="W35" s="58"/>
      <c r="X35" s="58"/>
      <c r="Y35" s="58"/>
      <c r="Z35" s="58"/>
      <c r="AA35" s="58"/>
      <c r="AB35" s="43"/>
      <c r="AC35" s="64"/>
      <c r="AD35" s="58"/>
      <c r="AE35" s="58"/>
      <c r="AF35" s="58"/>
      <c r="AG35" s="58"/>
      <c r="AH35" s="58"/>
      <c r="AI35" s="43"/>
      <c r="AJ35" s="65"/>
      <c r="AK35" s="66"/>
      <c r="AL35" s="66"/>
      <c r="AM35" s="66"/>
      <c r="AN35" s="66"/>
      <c r="AO35" s="67"/>
      <c r="AP35" s="63"/>
      <c r="AQ35" s="63"/>
      <c r="AR35" s="63"/>
      <c r="AS35" s="63"/>
      <c r="AT35" s="63"/>
      <c r="AU35" s="63"/>
      <c r="AV35" s="63"/>
      <c r="AW35" s="63"/>
      <c r="AX35" s="63"/>
      <c r="AY35" s="9"/>
    </row>
    <row r="36" spans="2:51" ht="6.95" customHeight="1" x14ac:dyDescent="0.2">
      <c r="B36" s="7"/>
      <c r="C36" s="56"/>
      <c r="D36" s="56"/>
      <c r="E36" s="56"/>
      <c r="F36" s="56"/>
      <c r="G36" s="56"/>
      <c r="H36" s="68"/>
      <c r="I36" s="69"/>
      <c r="J36" s="69"/>
      <c r="K36" s="69"/>
      <c r="L36" s="69"/>
      <c r="M36" s="69"/>
      <c r="N36" s="44"/>
      <c r="O36" s="68"/>
      <c r="P36" s="69"/>
      <c r="Q36" s="69"/>
      <c r="R36" s="69"/>
      <c r="S36" s="69"/>
      <c r="T36" s="69"/>
      <c r="U36" s="44"/>
      <c r="V36" s="68"/>
      <c r="W36" s="69"/>
      <c r="X36" s="69"/>
      <c r="Y36" s="69"/>
      <c r="Z36" s="69"/>
      <c r="AA36" s="69"/>
      <c r="AB36" s="44"/>
      <c r="AC36" s="68"/>
      <c r="AD36" s="69"/>
      <c r="AE36" s="69"/>
      <c r="AF36" s="69"/>
      <c r="AG36" s="69"/>
      <c r="AH36" s="69"/>
      <c r="AI36" s="44"/>
      <c r="AJ36" s="65"/>
      <c r="AK36" s="66"/>
      <c r="AL36" s="66"/>
      <c r="AM36" s="66"/>
      <c r="AN36" s="66"/>
      <c r="AO36" s="67"/>
      <c r="AP36" s="63"/>
      <c r="AQ36" s="63"/>
      <c r="AR36" s="63"/>
      <c r="AS36" s="63"/>
      <c r="AT36" s="63"/>
      <c r="AU36" s="63"/>
      <c r="AV36" s="63"/>
      <c r="AW36" s="63"/>
      <c r="AX36" s="63"/>
      <c r="AY36" s="9"/>
    </row>
    <row r="37" spans="2:51" ht="6.95" customHeight="1" x14ac:dyDescent="0.2">
      <c r="B37" s="7"/>
      <c r="C37" s="56"/>
      <c r="D37" s="56"/>
      <c r="E37" s="56"/>
      <c r="F37" s="56"/>
      <c r="G37" s="56"/>
      <c r="H37" s="70"/>
      <c r="I37" s="69"/>
      <c r="J37" s="69"/>
      <c r="K37" s="69"/>
      <c r="L37" s="69"/>
      <c r="M37" s="69"/>
      <c r="N37" s="44"/>
      <c r="O37" s="70"/>
      <c r="P37" s="69"/>
      <c r="Q37" s="69"/>
      <c r="R37" s="69"/>
      <c r="S37" s="69"/>
      <c r="T37" s="69"/>
      <c r="U37" s="44"/>
      <c r="V37" s="70"/>
      <c r="W37" s="69"/>
      <c r="X37" s="69"/>
      <c r="Y37" s="69"/>
      <c r="Z37" s="69"/>
      <c r="AA37" s="69"/>
      <c r="AB37" s="44"/>
      <c r="AC37" s="70"/>
      <c r="AD37" s="69"/>
      <c r="AE37" s="69"/>
      <c r="AF37" s="69"/>
      <c r="AG37" s="69"/>
      <c r="AH37" s="69"/>
      <c r="AI37" s="44"/>
      <c r="AJ37" s="65"/>
      <c r="AK37" s="66"/>
      <c r="AL37" s="66"/>
      <c r="AM37" s="66"/>
      <c r="AN37" s="66"/>
      <c r="AO37" s="67"/>
      <c r="AP37" s="63"/>
      <c r="AQ37" s="63"/>
      <c r="AR37" s="63"/>
      <c r="AS37" s="63"/>
      <c r="AT37" s="63"/>
      <c r="AU37" s="63"/>
      <c r="AV37" s="63"/>
      <c r="AW37" s="63"/>
      <c r="AX37" s="63"/>
      <c r="AY37" s="9"/>
    </row>
    <row r="38" spans="2:51" ht="11.45" customHeight="1" x14ac:dyDescent="0.2">
      <c r="B38" s="7"/>
      <c r="C38" s="71"/>
      <c r="D38" s="71"/>
      <c r="E38" s="71"/>
      <c r="F38" s="71"/>
      <c r="G38" s="71"/>
      <c r="H38" s="72"/>
      <c r="I38" s="73"/>
      <c r="J38" s="73"/>
      <c r="K38" s="73"/>
      <c r="L38" s="73"/>
      <c r="M38" s="73"/>
      <c r="N38" s="73"/>
      <c r="O38" s="72"/>
      <c r="P38" s="73"/>
      <c r="Q38" s="73"/>
      <c r="R38" s="73"/>
      <c r="S38" s="73"/>
      <c r="T38" s="73"/>
      <c r="U38" s="73"/>
      <c r="V38" s="72"/>
      <c r="W38" s="73"/>
      <c r="X38" s="73"/>
      <c r="Y38" s="73"/>
      <c r="Z38" s="73"/>
      <c r="AA38" s="73"/>
      <c r="AB38" s="73"/>
      <c r="AC38" s="72"/>
      <c r="AD38" s="73"/>
      <c r="AE38" s="73"/>
      <c r="AF38" s="73"/>
      <c r="AG38" s="73"/>
      <c r="AH38" s="73"/>
      <c r="AI38" s="73"/>
      <c r="AJ38" s="74"/>
      <c r="AK38" s="75"/>
      <c r="AL38" s="75"/>
      <c r="AM38" s="75"/>
      <c r="AN38" s="75"/>
      <c r="AO38" s="76"/>
      <c r="AP38" s="72"/>
      <c r="AQ38" s="72"/>
      <c r="AR38" s="72"/>
      <c r="AS38" s="72"/>
      <c r="AT38" s="72"/>
      <c r="AU38" s="72"/>
      <c r="AV38" s="72"/>
      <c r="AW38" s="72"/>
      <c r="AX38" s="72"/>
      <c r="AY38" s="9"/>
    </row>
    <row r="39" spans="2:51" ht="11.45" customHeight="1" x14ac:dyDescent="0.2">
      <c r="B39" s="7"/>
      <c r="C39" s="77"/>
      <c r="D39" s="77"/>
      <c r="E39" s="77"/>
      <c r="F39" s="77"/>
      <c r="G39" s="77"/>
      <c r="H39" s="78"/>
      <c r="I39" s="79"/>
      <c r="J39" s="79"/>
      <c r="K39" s="79"/>
      <c r="L39" s="79"/>
      <c r="M39" s="79"/>
      <c r="N39" s="79"/>
      <c r="O39" s="78"/>
      <c r="P39" s="79"/>
      <c r="Q39" s="79"/>
      <c r="R39" s="79"/>
      <c r="S39" s="79"/>
      <c r="T39" s="79"/>
      <c r="U39" s="79"/>
      <c r="V39" s="78"/>
      <c r="W39" s="79"/>
      <c r="X39" s="79"/>
      <c r="Y39" s="79"/>
      <c r="Z39" s="79"/>
      <c r="AA39" s="79"/>
      <c r="AB39" s="79"/>
      <c r="AC39" s="78"/>
      <c r="AD39" s="79"/>
      <c r="AE39" s="79"/>
      <c r="AF39" s="79"/>
      <c r="AG39" s="79"/>
      <c r="AH39" s="79"/>
      <c r="AI39" s="79"/>
      <c r="AJ39" s="74"/>
      <c r="AK39" s="75"/>
      <c r="AL39" s="75"/>
      <c r="AM39" s="75"/>
      <c r="AN39" s="75"/>
      <c r="AO39" s="76"/>
      <c r="AP39" s="78"/>
      <c r="AQ39" s="78"/>
      <c r="AR39" s="78"/>
      <c r="AS39" s="78"/>
      <c r="AT39" s="78"/>
      <c r="AU39" s="78"/>
      <c r="AV39" s="78"/>
      <c r="AW39" s="78"/>
      <c r="AX39" s="78"/>
      <c r="AY39" s="9"/>
    </row>
    <row r="40" spans="2:51" ht="11.45" customHeight="1" x14ac:dyDescent="0.2">
      <c r="B40" s="7"/>
      <c r="C40" s="77"/>
      <c r="D40" s="77"/>
      <c r="E40" s="77"/>
      <c r="F40" s="77"/>
      <c r="G40" s="77"/>
      <c r="H40" s="78"/>
      <c r="I40" s="79"/>
      <c r="J40" s="79"/>
      <c r="K40" s="79"/>
      <c r="L40" s="79"/>
      <c r="M40" s="79"/>
      <c r="N40" s="79"/>
      <c r="O40" s="78"/>
      <c r="P40" s="79"/>
      <c r="Q40" s="79"/>
      <c r="R40" s="79"/>
      <c r="S40" s="79"/>
      <c r="T40" s="79"/>
      <c r="U40" s="79"/>
      <c r="V40" s="78"/>
      <c r="W40" s="79"/>
      <c r="X40" s="79"/>
      <c r="Y40" s="79"/>
      <c r="Z40" s="79"/>
      <c r="AA40" s="79"/>
      <c r="AB40" s="79"/>
      <c r="AC40" s="78"/>
      <c r="AD40" s="79"/>
      <c r="AE40" s="79"/>
      <c r="AF40" s="79"/>
      <c r="AG40" s="79"/>
      <c r="AH40" s="79"/>
      <c r="AI40" s="79"/>
      <c r="AJ40" s="74"/>
      <c r="AK40" s="75"/>
      <c r="AL40" s="75"/>
      <c r="AM40" s="75"/>
      <c r="AN40" s="75"/>
      <c r="AO40" s="76"/>
      <c r="AP40" s="78"/>
      <c r="AQ40" s="78"/>
      <c r="AR40" s="78"/>
      <c r="AS40" s="78"/>
      <c r="AT40" s="78"/>
      <c r="AU40" s="78"/>
      <c r="AV40" s="78"/>
      <c r="AW40" s="78"/>
      <c r="AX40" s="78"/>
      <c r="AY40" s="9"/>
    </row>
    <row r="41" spans="2:51" ht="11.45" customHeight="1" x14ac:dyDescent="0.2">
      <c r="B41" s="7"/>
      <c r="C41" s="109"/>
      <c r="D41" s="109"/>
      <c r="E41" s="109"/>
      <c r="F41" s="109"/>
      <c r="G41" s="109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81"/>
      <c r="AJ41" s="82"/>
      <c r="AK41" s="83"/>
      <c r="AL41" s="83"/>
      <c r="AM41" s="83"/>
      <c r="AN41" s="83"/>
      <c r="AO41" s="84"/>
      <c r="AP41" s="85"/>
      <c r="AQ41" s="85"/>
      <c r="AR41" s="85"/>
      <c r="AS41" s="85"/>
      <c r="AT41" s="85"/>
      <c r="AU41" s="85"/>
      <c r="AV41" s="85"/>
      <c r="AW41" s="85"/>
      <c r="AX41" s="85"/>
      <c r="AY41" s="9"/>
    </row>
    <row r="42" spans="2:51" ht="7.5" customHeight="1" x14ac:dyDescent="0.2">
      <c r="B42" s="7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108"/>
      <c r="AE42" s="10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9"/>
    </row>
    <row r="43" spans="2:51" ht="10.5" customHeight="1" x14ac:dyDescent="0.2">
      <c r="B43" s="7"/>
      <c r="C43" s="8"/>
      <c r="D43" s="358" t="str">
        <f>REPT(CHAR(73),42*(COUNTIF(H21:AI22,"*")))</f>
        <v/>
      </c>
      <c r="E43" s="359"/>
      <c r="F43" s="359"/>
      <c r="G43" s="359"/>
      <c r="H43" s="359"/>
      <c r="I43" s="359"/>
      <c r="J43" s="359"/>
      <c r="K43" s="359"/>
      <c r="L43" s="359"/>
      <c r="M43" s="359"/>
      <c r="N43" s="359"/>
      <c r="O43" s="359"/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59"/>
      <c r="AC43" s="359"/>
      <c r="AD43" s="155" t="str">
        <f>IF(COUNTIF(H21:AI22,"*")=4,"a","")</f>
        <v/>
      </c>
      <c r="AE43" s="155"/>
      <c r="AF43" s="8"/>
      <c r="AG43" s="370" t="str">
        <f>IF(LISTAS!D109=TRUE,"Anterior","")</f>
        <v/>
      </c>
      <c r="AH43" s="371"/>
      <c r="AI43" s="372"/>
      <c r="AJ43" s="372"/>
      <c r="AK43" s="373"/>
      <c r="AL43" s="8"/>
      <c r="AM43" s="363" t="str">
        <f>"Matriz"</f>
        <v>Matriz</v>
      </c>
      <c r="AN43" s="364"/>
      <c r="AO43" s="365"/>
      <c r="AP43" s="365"/>
      <c r="AQ43" s="366"/>
      <c r="AR43" s="8"/>
      <c r="AS43" s="370" t="str">
        <f>IF(LISTAS!D109=TRUE,"Siguiente","")</f>
        <v/>
      </c>
      <c r="AT43" s="371"/>
      <c r="AU43" s="372"/>
      <c r="AV43" s="372"/>
      <c r="AW43" s="373"/>
      <c r="AX43" s="8"/>
      <c r="AY43" s="9"/>
    </row>
    <row r="44" spans="2:51" ht="10.5" customHeight="1" x14ac:dyDescent="0.2">
      <c r="B44" s="7"/>
      <c r="C44" s="8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59"/>
      <c r="AC44" s="359"/>
      <c r="AD44" s="353"/>
      <c r="AE44" s="353"/>
      <c r="AF44" s="8"/>
      <c r="AG44" s="374"/>
      <c r="AH44" s="375"/>
      <c r="AI44" s="375"/>
      <c r="AJ44" s="375"/>
      <c r="AK44" s="376"/>
      <c r="AL44" s="8"/>
      <c r="AM44" s="367"/>
      <c r="AN44" s="368"/>
      <c r="AO44" s="368"/>
      <c r="AP44" s="368"/>
      <c r="AQ44" s="369"/>
      <c r="AR44" s="8"/>
      <c r="AS44" s="374"/>
      <c r="AT44" s="375"/>
      <c r="AU44" s="375"/>
      <c r="AV44" s="375"/>
      <c r="AW44" s="376"/>
      <c r="AX44" s="8"/>
      <c r="AY44" s="9"/>
    </row>
    <row r="45" spans="2:51" ht="3.95" customHeight="1" x14ac:dyDescent="0.2">
      <c r="B45" s="7"/>
      <c r="C45" s="8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39" t="s">
        <v>4176</v>
      </c>
      <c r="D46" s="139"/>
      <c r="E46" s="139" t="s">
        <v>4177</v>
      </c>
      <c r="F46" s="139"/>
      <c r="G46" s="139" t="s">
        <v>4126</v>
      </c>
      <c r="H46" s="139"/>
      <c r="I46" s="139" t="s">
        <v>4178</v>
      </c>
      <c r="J46" s="139"/>
      <c r="K46" s="139" t="s">
        <v>4179</v>
      </c>
      <c r="L46" s="139"/>
      <c r="M46" s="139" t="s">
        <v>4180</v>
      </c>
      <c r="N46" s="139"/>
      <c r="O46" s="139" t="s">
        <v>4181</v>
      </c>
      <c r="P46" s="139"/>
      <c r="Q46" s="139" t="s">
        <v>4182</v>
      </c>
      <c r="R46" s="139"/>
      <c r="S46" s="139" t="s">
        <v>4183</v>
      </c>
      <c r="T46" s="139"/>
      <c r="U46" s="139" t="s">
        <v>4184</v>
      </c>
      <c r="V46" s="139"/>
      <c r="W46" s="139" t="s">
        <v>4185</v>
      </c>
      <c r="X46" s="139"/>
      <c r="Y46" s="139" t="s">
        <v>4186</v>
      </c>
      <c r="Z46" s="139"/>
      <c r="AA46" s="139" t="s">
        <v>1780</v>
      </c>
      <c r="AB46" s="139"/>
      <c r="AC46" s="139" t="s">
        <v>4187</v>
      </c>
      <c r="AD46" s="139"/>
      <c r="AE46" s="139" t="s">
        <v>1781</v>
      </c>
      <c r="AF46" s="139"/>
      <c r="AG46" s="139" t="s">
        <v>4188</v>
      </c>
      <c r="AH46" s="139"/>
      <c r="AI46" s="139" t="s">
        <v>4189</v>
      </c>
      <c r="AJ46" s="139"/>
      <c r="AK46" s="139" t="s">
        <v>4190</v>
      </c>
      <c r="AL46" s="139"/>
      <c r="AM46" s="139" t="s">
        <v>4191</v>
      </c>
      <c r="AN46" s="139"/>
      <c r="AO46" s="139" t="s">
        <v>4192</v>
      </c>
      <c r="AP46" s="139"/>
      <c r="AQ46" s="139" t="s">
        <v>4176</v>
      </c>
      <c r="AR46" s="139"/>
      <c r="AS46" s="139" t="s">
        <v>4177</v>
      </c>
      <c r="AT46" s="139"/>
      <c r="AU46" s="139" t="s">
        <v>4126</v>
      </c>
      <c r="AV46" s="139"/>
      <c r="AW46" s="139" t="s">
        <v>4178</v>
      </c>
      <c r="AX46" s="139"/>
      <c r="AY46" s="9"/>
    </row>
    <row r="47" spans="2:51" ht="12" customHeight="1" x14ac:dyDescent="0.2">
      <c r="B47" s="7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  <c r="AJ47" s="139"/>
      <c r="AK47" s="139"/>
      <c r="AL47" s="139"/>
      <c r="AM47" s="139"/>
      <c r="AN47" s="139"/>
      <c r="AO47" s="139"/>
      <c r="AP47" s="139"/>
      <c r="AQ47" s="139"/>
      <c r="AR47" s="139"/>
      <c r="AS47" s="139"/>
      <c r="AT47" s="139"/>
      <c r="AU47" s="139"/>
      <c r="AV47" s="139"/>
      <c r="AW47" s="139"/>
      <c r="AX47" s="139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IF('MOD1'!$AY$49="","",'MOD1'!$AY$49)</f>
        <v>*Equipo de Gestión de la Información - EBR - Ministerio de Educación</v>
      </c>
    </row>
  </sheetData>
  <sheetProtection algorithmName="SHA-512" hashValue="ZVehvJC/MeDcd/QDFngvdz815Qggkr9Ee5xFo7lYm3Rrsc1M4pyZOJoJ+3+3HpEOcRYKOI3If8RBghu7GEy6PQ==" saltValue="VzJfBhKCVOoRa6eH12EIbA==" spinCount="100000" sheet="1" objects="1" scenarios="1"/>
  <mergeCells count="55">
    <mergeCell ref="AW46:AX47"/>
    <mergeCell ref="AA46:AB47"/>
    <mergeCell ref="AC46:AD47"/>
    <mergeCell ref="AE46:AF47"/>
    <mergeCell ref="AG46:AH47"/>
    <mergeCell ref="AI46:AJ47"/>
    <mergeCell ref="AK46:AL47"/>
    <mergeCell ref="AM46:AN47"/>
    <mergeCell ref="AO46:AP47"/>
    <mergeCell ref="AQ46:AR47"/>
    <mergeCell ref="AS46:AT47"/>
    <mergeCell ref="AU46:AV47"/>
    <mergeCell ref="Y46:Z47"/>
    <mergeCell ref="C46:D47"/>
    <mergeCell ref="E46:F47"/>
    <mergeCell ref="G46:H47"/>
    <mergeCell ref="I46:J47"/>
    <mergeCell ref="K46:L47"/>
    <mergeCell ref="M46:N47"/>
    <mergeCell ref="O46:P47"/>
    <mergeCell ref="Q46:R47"/>
    <mergeCell ref="S46:T47"/>
    <mergeCell ref="U46:V47"/>
    <mergeCell ref="W46:X47"/>
    <mergeCell ref="D43:AC44"/>
    <mergeCell ref="AG43:AK44"/>
    <mergeCell ref="AM43:AQ44"/>
    <mergeCell ref="AS43:AW44"/>
    <mergeCell ref="AD43:AE44"/>
    <mergeCell ref="AP23:AX26"/>
    <mergeCell ref="AP13:AX22"/>
    <mergeCell ref="H21:N22"/>
    <mergeCell ref="O21:U22"/>
    <mergeCell ref="V21:AB22"/>
    <mergeCell ref="AC21:AI22"/>
    <mergeCell ref="AJ13:AO26"/>
    <mergeCell ref="C23:G26"/>
    <mergeCell ref="H23:N26"/>
    <mergeCell ref="O23:U26"/>
    <mergeCell ref="V23:AB26"/>
    <mergeCell ref="AC23:AI26"/>
    <mergeCell ref="C13:G22"/>
    <mergeCell ref="H13:N20"/>
    <mergeCell ref="O13:U20"/>
    <mergeCell ref="V13:AB20"/>
    <mergeCell ref="AC13:AI20"/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</mergeCells>
  <conditionalFormatting sqref="C28:AX41">
    <cfRule type="expression" dxfId="126" priority="17">
      <formula>$C$38=""</formula>
    </cfRule>
  </conditionalFormatting>
  <conditionalFormatting sqref="C23:G26 H21:AI22 AP13:AX26">
    <cfRule type="expression" dxfId="125" priority="16">
      <formula>$C$13=""</formula>
    </cfRule>
  </conditionalFormatting>
  <conditionalFormatting sqref="C13:G22">
    <cfRule type="expression" dxfId="124" priority="11">
      <formula>$C$13=""</formula>
    </cfRule>
  </conditionalFormatting>
  <conditionalFormatting sqref="H13:AI20">
    <cfRule type="expression" dxfId="123" priority="10">
      <formula>$C$13=""</formula>
    </cfRule>
  </conditionalFormatting>
  <conditionalFormatting sqref="H23:AI26">
    <cfRule type="expression" dxfId="122" priority="9">
      <formula>$C$13=""</formula>
    </cfRule>
  </conditionalFormatting>
  <conditionalFormatting sqref="AJ13:AO26">
    <cfRule type="expression" dxfId="121" priority="8">
      <formula>$C$13=""</formula>
    </cfRule>
  </conditionalFormatting>
  <conditionalFormatting sqref="AM43:AQ44">
    <cfRule type="cellIs" dxfId="120" priority="7" operator="equal">
      <formula>"PEAI"</formula>
    </cfRule>
  </conditionalFormatting>
  <conditionalFormatting sqref="AS43:AW44">
    <cfRule type="cellIs" dxfId="119" priority="6" operator="equal">
      <formula>""</formula>
    </cfRule>
  </conditionalFormatting>
  <conditionalFormatting sqref="AG43:AK44">
    <cfRule type="cellIs" dxfId="118" priority="4" operator="equal">
      <formula>""</formula>
    </cfRule>
  </conditionalFormatting>
  <conditionalFormatting sqref="C46:AX47">
    <cfRule type="expression" dxfId="117" priority="1">
      <formula>IF(CODE(C46)=38,1,0)</formula>
    </cfRule>
    <cfRule type="expression" dxfId="116" priority="2">
      <formula>IF(CODE(C46)=37,1,0)</formula>
    </cfRule>
    <cfRule type="expression" dxfId="115" priority="3">
      <formula>IF(OR(CODE(C46)=143,CODE(C46)=167,CODE(C46)=168,CODE(C46)=254),1,0)</formula>
    </cfRule>
  </conditionalFormatting>
  <dataValidations count="10">
    <dataValidation allowBlank="1" showInputMessage="1" showErrorMessage="1" promptTitle="Mensaje" prompt="Indicador" sqref="AJ11:AO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Hitos de aplicación del enfoque ambiental" sqref="H11:AE11 H12:M12 O12:T12 V12:AA12 AC12:AH12"/>
    <dataValidation type="list" allowBlank="1" showInputMessage="1" showErrorMessage="1" errorTitle="Mensaje de validación" error="Solo se permite datos de la lista desplegable._x000a__x000a_Intente de nuevo." promptTitle="Seleccionar" prompt="SI o NO" sqref="H21:AI22">
      <formula1>"SI, NO"</formula1>
    </dataValidation>
    <dataValidation allowBlank="1" showInputMessage="1" showErrorMessage="1" promptTitle="Información" prompt="Medios de verificación" sqref="AP23:AX26 C23:AI26"/>
    <dataValidation allowBlank="1" showInputMessage="1" showErrorMessage="1" promptTitle="Información" prompt="Hitos de aplicación" sqref="H13:AI20"/>
    <dataValidation allowBlank="1" showInputMessage="1" showErrorMessage="1" promptTitle="Información" prompt="Indicador de la actividad" sqref="AJ13:AO26"/>
    <dataValidation allowBlank="1" showInputMessage="1" showErrorMessage="1" promptTitle="Información" prompt="Actividad ambiental" sqref="C13:G22"/>
    <dataValidation allowBlank="1" showInputMessage="1" showErrorMessage="1" promptTitle="Ingrese" prompt="Describir principales aspectos que facilitaron que la IIEE llegara a este logro, así como dificultades." sqref="AP13:AX2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00FF"/>
    <pageSetUpPr fitToPage="1"/>
  </sheetPr>
  <dimension ref="A1:AY51"/>
  <sheetViews>
    <sheetView showGridLines="0" zoomScaleNormal="100" workbookViewId="0">
      <selection activeCell="W32" sqref="W32:Z34"/>
    </sheetView>
  </sheetViews>
  <sheetFormatPr baseColWidth="10" defaultColWidth="2.7109375" defaultRowHeight="12" customHeight="1" x14ac:dyDescent="0.2"/>
  <cols>
    <col min="1" max="1" width="2.7109375" style="36" customWidth="1"/>
    <col min="2" max="2" width="2.7109375" style="36"/>
    <col min="3" max="3" width="2.7109375" style="36" customWidth="1"/>
    <col min="4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12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14.1" customHeight="1" x14ac:dyDescent="0.2">
      <c r="B9" s="7"/>
      <c r="C9" s="450" t="s">
        <v>3801</v>
      </c>
      <c r="D9" s="451"/>
      <c r="E9" s="451"/>
      <c r="F9" s="451"/>
      <c r="G9" s="451"/>
      <c r="H9" s="451"/>
      <c r="I9" s="451"/>
      <c r="J9" s="451"/>
      <c r="K9" s="451"/>
      <c r="L9" s="451"/>
      <c r="M9" s="451"/>
      <c r="N9" s="451"/>
      <c r="O9" s="451"/>
      <c r="P9" s="451"/>
      <c r="Q9" s="451"/>
      <c r="R9" s="451"/>
      <c r="S9" s="451"/>
      <c r="T9" s="451"/>
      <c r="U9" s="451"/>
      <c r="V9" s="451"/>
      <c r="W9" s="451"/>
      <c r="X9" s="451"/>
      <c r="Y9" s="451"/>
      <c r="Z9" s="451"/>
      <c r="AA9" s="451"/>
      <c r="AB9" s="451"/>
      <c r="AC9" s="451"/>
      <c r="AD9" s="451"/>
      <c r="AE9" s="451"/>
      <c r="AF9" s="451"/>
      <c r="AG9" s="451"/>
      <c r="AH9" s="451"/>
      <c r="AI9" s="451"/>
      <c r="AJ9" s="451"/>
      <c r="AK9" s="451"/>
      <c r="AL9" s="451"/>
      <c r="AM9" s="451"/>
      <c r="AN9" s="451"/>
      <c r="AO9" s="451"/>
      <c r="AP9" s="451"/>
      <c r="AQ9" s="451"/>
      <c r="AR9" s="451"/>
      <c r="AS9" s="451"/>
      <c r="AT9" s="451"/>
      <c r="AU9" s="451"/>
      <c r="AV9" s="451"/>
      <c r="AW9" s="451"/>
      <c r="AX9" s="451"/>
      <c r="AY9" s="9"/>
    </row>
    <row r="10" spans="1:51" ht="14.1" customHeight="1" x14ac:dyDescent="0.2">
      <c r="B10" s="7"/>
      <c r="C10" s="451"/>
      <c r="D10" s="451"/>
      <c r="E10" s="451"/>
      <c r="F10" s="451"/>
      <c r="G10" s="451"/>
      <c r="H10" s="451"/>
      <c r="I10" s="451"/>
      <c r="J10" s="451"/>
      <c r="K10" s="451"/>
      <c r="L10" s="451"/>
      <c r="M10" s="451"/>
      <c r="N10" s="451"/>
      <c r="O10" s="451"/>
      <c r="P10" s="451"/>
      <c r="Q10" s="451"/>
      <c r="R10" s="451"/>
      <c r="S10" s="451"/>
      <c r="T10" s="451"/>
      <c r="U10" s="451"/>
      <c r="V10" s="451"/>
      <c r="W10" s="451"/>
      <c r="X10" s="451"/>
      <c r="Y10" s="451"/>
      <c r="Z10" s="451"/>
      <c r="AA10" s="451"/>
      <c r="AB10" s="451"/>
      <c r="AC10" s="451"/>
      <c r="AD10" s="451"/>
      <c r="AE10" s="451"/>
      <c r="AF10" s="451"/>
      <c r="AG10" s="451"/>
      <c r="AH10" s="451"/>
      <c r="AI10" s="451"/>
      <c r="AJ10" s="451"/>
      <c r="AK10" s="451"/>
      <c r="AL10" s="451"/>
      <c r="AM10" s="451"/>
      <c r="AN10" s="451"/>
      <c r="AO10" s="451"/>
      <c r="AP10" s="451"/>
      <c r="AQ10" s="451"/>
      <c r="AR10" s="451"/>
      <c r="AS10" s="451"/>
      <c r="AT10" s="451"/>
      <c r="AU10" s="451"/>
      <c r="AV10" s="451"/>
      <c r="AW10" s="451"/>
      <c r="AX10" s="451"/>
      <c r="AY10" s="9"/>
    </row>
    <row r="11" spans="1:51" ht="9.1999999999999993" customHeight="1" x14ac:dyDescent="0.2">
      <c r="B11" s="7"/>
      <c r="C11" s="8"/>
      <c r="D11" s="287" t="s">
        <v>3806</v>
      </c>
      <c r="E11" s="288"/>
      <c r="F11" s="288"/>
      <c r="G11" s="288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288"/>
      <c r="U11" s="288"/>
      <c r="V11" s="288"/>
      <c r="W11" s="288"/>
      <c r="X11" s="288"/>
      <c r="Y11" s="288"/>
      <c r="Z11" s="288"/>
      <c r="AA11" s="288"/>
      <c r="AB11" s="288"/>
      <c r="AC11" s="288"/>
      <c r="AD11" s="288"/>
      <c r="AE11" s="288"/>
      <c r="AF11" s="288"/>
      <c r="AG11" s="288"/>
      <c r="AH11" s="288"/>
      <c r="AI11" s="288"/>
      <c r="AJ11" s="288"/>
      <c r="AK11" s="288"/>
      <c r="AL11" s="288"/>
      <c r="AM11" s="288"/>
      <c r="AN11" s="288"/>
      <c r="AO11" s="288"/>
      <c r="AP11" s="288"/>
      <c r="AQ11" s="288"/>
      <c r="AR11" s="288"/>
      <c r="AS11" s="288"/>
      <c r="AT11" s="288"/>
      <c r="AU11" s="288"/>
      <c r="AV11" s="288"/>
      <c r="AW11" s="288"/>
      <c r="AX11" s="8"/>
      <c r="AY11" s="9"/>
    </row>
    <row r="12" spans="1:51" ht="9.1999999999999993" customHeight="1" x14ac:dyDescent="0.2">
      <c r="B12" s="7"/>
      <c r="C12" s="8"/>
      <c r="D12" s="288"/>
      <c r="E12" s="288"/>
      <c r="F12" s="288"/>
      <c r="G12" s="288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288"/>
      <c r="U12" s="288"/>
      <c r="V12" s="288"/>
      <c r="W12" s="288"/>
      <c r="X12" s="288"/>
      <c r="Y12" s="288"/>
      <c r="Z12" s="288"/>
      <c r="AA12" s="288"/>
      <c r="AB12" s="288"/>
      <c r="AC12" s="288"/>
      <c r="AD12" s="288"/>
      <c r="AE12" s="288"/>
      <c r="AF12" s="288"/>
      <c r="AG12" s="288"/>
      <c r="AH12" s="288"/>
      <c r="AI12" s="288"/>
      <c r="AJ12" s="288"/>
      <c r="AK12" s="288"/>
      <c r="AL12" s="288"/>
      <c r="AM12" s="288"/>
      <c r="AN12" s="288"/>
      <c r="AO12" s="288"/>
      <c r="AP12" s="288"/>
      <c r="AQ12" s="288"/>
      <c r="AR12" s="288"/>
      <c r="AS12" s="288"/>
      <c r="AT12" s="288"/>
      <c r="AU12" s="288"/>
      <c r="AV12" s="288"/>
      <c r="AW12" s="288"/>
      <c r="AX12" s="8"/>
      <c r="AY12" s="9"/>
    </row>
    <row r="13" spans="1:51" ht="9.1999999999999993" customHeight="1" x14ac:dyDescent="0.2">
      <c r="B13" s="7"/>
      <c r="C13" s="8"/>
      <c r="D13" s="288"/>
      <c r="E13" s="288"/>
      <c r="F13" s="288"/>
      <c r="G13" s="288"/>
      <c r="H13" s="288"/>
      <c r="I13" s="288"/>
      <c r="J13" s="288"/>
      <c r="K13" s="288"/>
      <c r="L13" s="288"/>
      <c r="M13" s="288"/>
      <c r="N13" s="288"/>
      <c r="O13" s="288"/>
      <c r="P13" s="288"/>
      <c r="Q13" s="288"/>
      <c r="R13" s="288"/>
      <c r="S13" s="288"/>
      <c r="T13" s="288"/>
      <c r="U13" s="288"/>
      <c r="V13" s="288"/>
      <c r="W13" s="288"/>
      <c r="X13" s="288"/>
      <c r="Y13" s="288"/>
      <c r="Z13" s="288"/>
      <c r="AA13" s="288"/>
      <c r="AB13" s="288"/>
      <c r="AC13" s="288"/>
      <c r="AD13" s="288"/>
      <c r="AE13" s="288"/>
      <c r="AF13" s="288"/>
      <c r="AG13" s="288"/>
      <c r="AH13" s="288"/>
      <c r="AI13" s="288"/>
      <c r="AJ13" s="288"/>
      <c r="AK13" s="288"/>
      <c r="AL13" s="288"/>
      <c r="AM13" s="288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8"/>
      <c r="AY13" s="9"/>
    </row>
    <row r="14" spans="1:51" ht="10.5" customHeight="1" x14ac:dyDescent="0.2">
      <c r="B14" s="7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9"/>
    </row>
    <row r="15" spans="1:51" ht="10.5" customHeight="1" x14ac:dyDescent="0.2">
      <c r="B15" s="7"/>
      <c r="C15" s="22"/>
      <c r="D15" s="22"/>
      <c r="E15" s="22">
        <v>1</v>
      </c>
      <c r="F15" s="22">
        <v>1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22">
        <v>1</v>
      </c>
      <c r="V15" s="22">
        <v>1</v>
      </c>
      <c r="W15" s="22">
        <v>1</v>
      </c>
      <c r="X15" s="22">
        <v>1</v>
      </c>
      <c r="Y15" s="22">
        <v>1</v>
      </c>
      <c r="Z15" s="22">
        <v>1</v>
      </c>
      <c r="AA15" s="22">
        <v>1</v>
      </c>
      <c r="AB15" s="22">
        <v>1</v>
      </c>
      <c r="AC15" s="22">
        <v>1</v>
      </c>
      <c r="AD15" s="22">
        <v>1</v>
      </c>
      <c r="AE15" s="22">
        <v>1</v>
      </c>
      <c r="AF15" s="22">
        <v>1</v>
      </c>
      <c r="AG15" s="22">
        <v>1</v>
      </c>
      <c r="AH15" s="22">
        <v>1</v>
      </c>
      <c r="AI15" s="22">
        <v>1</v>
      </c>
      <c r="AJ15" s="22">
        <v>1</v>
      </c>
      <c r="AK15" s="22">
        <v>1</v>
      </c>
      <c r="AL15" s="22">
        <v>1</v>
      </c>
      <c r="AM15" s="22">
        <v>1</v>
      </c>
      <c r="AN15" s="22">
        <v>1</v>
      </c>
      <c r="AO15" s="22">
        <v>1</v>
      </c>
      <c r="AP15" s="22">
        <v>1</v>
      </c>
      <c r="AQ15" s="22">
        <v>1</v>
      </c>
      <c r="AR15" s="22">
        <v>1</v>
      </c>
      <c r="AS15" s="22">
        <v>1</v>
      </c>
      <c r="AT15" s="22">
        <v>1</v>
      </c>
      <c r="AU15" s="22">
        <v>1</v>
      </c>
      <c r="AV15" s="22">
        <v>1</v>
      </c>
      <c r="AW15" s="22"/>
      <c r="AX15" s="8"/>
      <c r="AY15" s="9"/>
    </row>
    <row r="16" spans="1:51" ht="17.100000000000001" customHeight="1" x14ac:dyDescent="0.2">
      <c r="B16" s="7"/>
      <c r="C16" s="38"/>
      <c r="D16" s="22"/>
      <c r="E16" s="464" t="s">
        <v>3713</v>
      </c>
      <c r="F16" s="465"/>
      <c r="G16" s="465"/>
      <c r="H16" s="465"/>
      <c r="I16" s="465"/>
      <c r="J16" s="465"/>
      <c r="K16" s="465"/>
      <c r="L16" s="465"/>
      <c r="M16" s="465"/>
      <c r="N16" s="465"/>
      <c r="O16" s="465"/>
      <c r="P16" s="465"/>
      <c r="Q16" s="465"/>
      <c r="R16" s="465"/>
      <c r="S16" s="465"/>
      <c r="T16" s="465"/>
      <c r="U16" s="465"/>
      <c r="V16" s="465"/>
      <c r="W16" s="452" t="s">
        <v>4055</v>
      </c>
      <c r="X16" s="453"/>
      <c r="Y16" s="454"/>
      <c r="Z16" s="455"/>
      <c r="AA16" s="487" t="s">
        <v>4174</v>
      </c>
      <c r="AB16" s="488"/>
      <c r="AC16" s="488"/>
      <c r="AD16" s="488"/>
      <c r="AE16" s="488"/>
      <c r="AF16" s="488"/>
      <c r="AG16" s="488"/>
      <c r="AH16" s="488"/>
      <c r="AI16" s="488"/>
      <c r="AJ16" s="488"/>
      <c r="AK16" s="488"/>
      <c r="AL16" s="488"/>
      <c r="AM16" s="488"/>
      <c r="AN16" s="488"/>
      <c r="AO16" s="488"/>
      <c r="AP16" s="489"/>
      <c r="AQ16" s="464" t="s">
        <v>3677</v>
      </c>
      <c r="AR16" s="465"/>
      <c r="AS16" s="465"/>
      <c r="AT16" s="465"/>
      <c r="AU16" s="465"/>
      <c r="AV16" s="483"/>
      <c r="AW16" s="22"/>
      <c r="AX16" s="8"/>
      <c r="AY16" s="9"/>
    </row>
    <row r="17" spans="2:51" ht="9" customHeight="1" x14ac:dyDescent="0.2">
      <c r="B17" s="7"/>
      <c r="C17" s="38"/>
      <c r="D17" s="22"/>
      <c r="E17" s="466"/>
      <c r="F17" s="467"/>
      <c r="G17" s="467"/>
      <c r="H17" s="467"/>
      <c r="I17" s="467"/>
      <c r="J17" s="467"/>
      <c r="K17" s="467"/>
      <c r="L17" s="467"/>
      <c r="M17" s="467"/>
      <c r="N17" s="467"/>
      <c r="O17" s="467"/>
      <c r="P17" s="467"/>
      <c r="Q17" s="467"/>
      <c r="R17" s="467"/>
      <c r="S17" s="467"/>
      <c r="T17" s="467"/>
      <c r="U17" s="467"/>
      <c r="V17" s="467"/>
      <c r="W17" s="456"/>
      <c r="X17" s="457"/>
      <c r="Y17" s="458"/>
      <c r="Z17" s="459"/>
      <c r="AA17" s="470" t="s">
        <v>3669</v>
      </c>
      <c r="AB17" s="471"/>
      <c r="AC17" s="471"/>
      <c r="AD17" s="472"/>
      <c r="AE17" s="470" t="s">
        <v>3657</v>
      </c>
      <c r="AF17" s="471"/>
      <c r="AG17" s="471"/>
      <c r="AH17" s="472"/>
      <c r="AI17" s="470" t="s">
        <v>3658</v>
      </c>
      <c r="AJ17" s="471"/>
      <c r="AK17" s="471"/>
      <c r="AL17" s="472"/>
      <c r="AM17" s="470" t="s">
        <v>3676</v>
      </c>
      <c r="AN17" s="471"/>
      <c r="AO17" s="471"/>
      <c r="AP17" s="472"/>
      <c r="AQ17" s="466"/>
      <c r="AR17" s="484"/>
      <c r="AS17" s="484"/>
      <c r="AT17" s="484"/>
      <c r="AU17" s="484"/>
      <c r="AV17" s="485"/>
      <c r="AW17" s="22"/>
      <c r="AX17" s="8"/>
      <c r="AY17" s="9"/>
    </row>
    <row r="18" spans="2:51" ht="9" customHeight="1" x14ac:dyDescent="0.2">
      <c r="B18" s="7"/>
      <c r="C18" s="38"/>
      <c r="D18" s="22"/>
      <c r="E18" s="466"/>
      <c r="F18" s="467"/>
      <c r="G18" s="467"/>
      <c r="H18" s="467"/>
      <c r="I18" s="467"/>
      <c r="J18" s="467"/>
      <c r="K18" s="467"/>
      <c r="L18" s="467"/>
      <c r="M18" s="467"/>
      <c r="N18" s="467"/>
      <c r="O18" s="467"/>
      <c r="P18" s="467"/>
      <c r="Q18" s="467"/>
      <c r="R18" s="467"/>
      <c r="S18" s="467"/>
      <c r="T18" s="467"/>
      <c r="U18" s="467"/>
      <c r="V18" s="467"/>
      <c r="W18" s="456"/>
      <c r="X18" s="457"/>
      <c r="Y18" s="458"/>
      <c r="Z18" s="459"/>
      <c r="AA18" s="473"/>
      <c r="AB18" s="474"/>
      <c r="AC18" s="475"/>
      <c r="AD18" s="476"/>
      <c r="AE18" s="473"/>
      <c r="AF18" s="474"/>
      <c r="AG18" s="475"/>
      <c r="AH18" s="476"/>
      <c r="AI18" s="473"/>
      <c r="AJ18" s="474"/>
      <c r="AK18" s="475"/>
      <c r="AL18" s="476"/>
      <c r="AM18" s="473"/>
      <c r="AN18" s="474"/>
      <c r="AO18" s="475"/>
      <c r="AP18" s="476"/>
      <c r="AQ18" s="466"/>
      <c r="AR18" s="484"/>
      <c r="AS18" s="484"/>
      <c r="AT18" s="484"/>
      <c r="AU18" s="484"/>
      <c r="AV18" s="485"/>
      <c r="AW18" s="22"/>
      <c r="AX18" s="8"/>
      <c r="AY18" s="9"/>
    </row>
    <row r="19" spans="2:51" ht="9" customHeight="1" x14ac:dyDescent="0.2">
      <c r="B19" s="7"/>
      <c r="C19" s="38"/>
      <c r="D19" s="22"/>
      <c r="E19" s="468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69"/>
      <c r="R19" s="469"/>
      <c r="S19" s="469"/>
      <c r="T19" s="469"/>
      <c r="U19" s="469"/>
      <c r="V19" s="469"/>
      <c r="W19" s="460"/>
      <c r="X19" s="461"/>
      <c r="Y19" s="462"/>
      <c r="Z19" s="463"/>
      <c r="AA19" s="477"/>
      <c r="AB19" s="478"/>
      <c r="AC19" s="478"/>
      <c r="AD19" s="479"/>
      <c r="AE19" s="477"/>
      <c r="AF19" s="478"/>
      <c r="AG19" s="478"/>
      <c r="AH19" s="479"/>
      <c r="AI19" s="477"/>
      <c r="AJ19" s="478"/>
      <c r="AK19" s="478"/>
      <c r="AL19" s="479"/>
      <c r="AM19" s="477"/>
      <c r="AN19" s="478"/>
      <c r="AO19" s="478"/>
      <c r="AP19" s="479"/>
      <c r="AQ19" s="468"/>
      <c r="AR19" s="469"/>
      <c r="AS19" s="469"/>
      <c r="AT19" s="469"/>
      <c r="AU19" s="469"/>
      <c r="AV19" s="486"/>
      <c r="AW19" s="22"/>
      <c r="AX19" s="8"/>
      <c r="AY19" s="9"/>
    </row>
    <row r="20" spans="2:51" ht="9.75" customHeight="1" x14ac:dyDescent="0.2">
      <c r="B20" s="7"/>
      <c r="C20" s="38" t="b">
        <f>AND(W20="SI",OR(COUNTIFS(LISTAS!$C$120:$C$161,E20,LISTAS!$D$120:$D$161,"")&gt;0,COUNTIFS(LISTAS!$B$166:$B$205,E20,LISTAS!$D$166:$D$205,"")&gt;0))</f>
        <v>0</v>
      </c>
      <c r="D20" s="22"/>
      <c r="E20" s="392" t="str">
        <f>LISTAS!AI17</f>
        <v>Espacio de Vida – EsVi</v>
      </c>
      <c r="F20" s="393"/>
      <c r="G20" s="393"/>
      <c r="H20" s="393"/>
      <c r="I20" s="393"/>
      <c r="J20" s="393"/>
      <c r="K20" s="394"/>
      <c r="L20" s="394"/>
      <c r="M20" s="394"/>
      <c r="N20" s="395"/>
      <c r="O20" s="395"/>
      <c r="P20" s="395"/>
      <c r="Q20" s="395"/>
      <c r="R20" s="395"/>
      <c r="S20" s="395"/>
      <c r="T20" s="395"/>
      <c r="U20" s="395"/>
      <c r="V20" s="396"/>
      <c r="W20" s="429"/>
      <c r="X20" s="430"/>
      <c r="Y20" s="431"/>
      <c r="Z20" s="432"/>
      <c r="AA20" s="410"/>
      <c r="AB20" s="411"/>
      <c r="AC20" s="411"/>
      <c r="AD20" s="412"/>
      <c r="AE20" s="410"/>
      <c r="AF20" s="411"/>
      <c r="AG20" s="411"/>
      <c r="AH20" s="412"/>
      <c r="AI20" s="410"/>
      <c r="AJ20" s="411"/>
      <c r="AK20" s="411"/>
      <c r="AL20" s="412"/>
      <c r="AM20" s="410"/>
      <c r="AN20" s="411"/>
      <c r="AO20" s="411"/>
      <c r="AP20" s="412"/>
      <c r="AQ20" s="420" t="str">
        <f>IF(W20="SI","Siguiente","")</f>
        <v/>
      </c>
      <c r="AR20" s="421"/>
      <c r="AS20" s="421"/>
      <c r="AT20" s="421"/>
      <c r="AU20" s="421"/>
      <c r="AV20" s="422"/>
      <c r="AW20" s="480" t="str">
        <f>IF(AQ20="","",IF(COUNTIF(MOD4_6_1!$H$21:$AI$22,"")=0,"a",""))</f>
        <v/>
      </c>
      <c r="AX20" s="481"/>
      <c r="AY20" s="377"/>
    </row>
    <row r="21" spans="2:51" ht="9.75" customHeight="1" x14ac:dyDescent="0.2">
      <c r="B21" s="7"/>
      <c r="C21" s="38"/>
      <c r="D21" s="22"/>
      <c r="E21" s="397"/>
      <c r="F21" s="398"/>
      <c r="G21" s="398"/>
      <c r="H21" s="398"/>
      <c r="I21" s="398"/>
      <c r="J21" s="398"/>
      <c r="K21" s="399"/>
      <c r="L21" s="399"/>
      <c r="M21" s="399"/>
      <c r="N21" s="400"/>
      <c r="O21" s="400"/>
      <c r="P21" s="400"/>
      <c r="Q21" s="400"/>
      <c r="R21" s="400"/>
      <c r="S21" s="400"/>
      <c r="T21" s="400"/>
      <c r="U21" s="400"/>
      <c r="V21" s="401"/>
      <c r="W21" s="433"/>
      <c r="X21" s="434"/>
      <c r="Y21" s="435"/>
      <c r="Z21" s="436"/>
      <c r="AA21" s="413"/>
      <c r="AB21" s="414"/>
      <c r="AC21" s="415"/>
      <c r="AD21" s="416"/>
      <c r="AE21" s="413"/>
      <c r="AF21" s="414"/>
      <c r="AG21" s="415"/>
      <c r="AH21" s="416"/>
      <c r="AI21" s="413"/>
      <c r="AJ21" s="414"/>
      <c r="AK21" s="415"/>
      <c r="AL21" s="416"/>
      <c r="AM21" s="413"/>
      <c r="AN21" s="414"/>
      <c r="AO21" s="415"/>
      <c r="AP21" s="416"/>
      <c r="AQ21" s="423"/>
      <c r="AR21" s="424"/>
      <c r="AS21" s="424"/>
      <c r="AT21" s="424"/>
      <c r="AU21" s="424"/>
      <c r="AV21" s="425"/>
      <c r="AW21" s="482"/>
      <c r="AX21" s="481"/>
      <c r="AY21" s="377"/>
    </row>
    <row r="22" spans="2:51" ht="9.75" customHeight="1" x14ac:dyDescent="0.2">
      <c r="B22" s="7"/>
      <c r="C22" s="38"/>
      <c r="D22" s="22"/>
      <c r="E22" s="402"/>
      <c r="F22" s="403"/>
      <c r="G22" s="403"/>
      <c r="H22" s="403"/>
      <c r="I22" s="403"/>
      <c r="J22" s="403"/>
      <c r="K22" s="404"/>
      <c r="L22" s="404"/>
      <c r="M22" s="404"/>
      <c r="N22" s="405"/>
      <c r="O22" s="405"/>
      <c r="P22" s="405"/>
      <c r="Q22" s="405"/>
      <c r="R22" s="405"/>
      <c r="S22" s="405"/>
      <c r="T22" s="405"/>
      <c r="U22" s="405"/>
      <c r="V22" s="406"/>
      <c r="W22" s="437"/>
      <c r="X22" s="438"/>
      <c r="Y22" s="439"/>
      <c r="Z22" s="440"/>
      <c r="AA22" s="417"/>
      <c r="AB22" s="418"/>
      <c r="AC22" s="418"/>
      <c r="AD22" s="419"/>
      <c r="AE22" s="417"/>
      <c r="AF22" s="418"/>
      <c r="AG22" s="418"/>
      <c r="AH22" s="419"/>
      <c r="AI22" s="417"/>
      <c r="AJ22" s="418"/>
      <c r="AK22" s="418"/>
      <c r="AL22" s="419"/>
      <c r="AM22" s="417"/>
      <c r="AN22" s="418"/>
      <c r="AO22" s="418"/>
      <c r="AP22" s="419"/>
      <c r="AQ22" s="426"/>
      <c r="AR22" s="427"/>
      <c r="AS22" s="427"/>
      <c r="AT22" s="427"/>
      <c r="AU22" s="427"/>
      <c r="AV22" s="428"/>
      <c r="AW22" s="482"/>
      <c r="AX22" s="481"/>
      <c r="AY22" s="377"/>
    </row>
    <row r="23" spans="2:51" ht="9.75" customHeight="1" x14ac:dyDescent="0.2">
      <c r="B23" s="7"/>
      <c r="C23" s="38" t="b">
        <f>AND(W23="SI",OR(COUNTIFS(LISTAS!$C$120:$C$161,E23,LISTAS!$D$120:$D$161,"")&gt;0,COUNTIFS(LISTAS!$B$166:$B$205,E23,LISTAS!$D$166:$D$205,"")&gt;0))</f>
        <v>0</v>
      </c>
      <c r="D23" s="22"/>
      <c r="E23" s="392" t="str">
        <f>LISTAS!AI18</f>
        <v>Manejo de Residuos Sólidos – MARES</v>
      </c>
      <c r="F23" s="393"/>
      <c r="G23" s="393"/>
      <c r="H23" s="393"/>
      <c r="I23" s="393"/>
      <c r="J23" s="393"/>
      <c r="K23" s="394"/>
      <c r="L23" s="394"/>
      <c r="M23" s="394"/>
      <c r="N23" s="395"/>
      <c r="O23" s="395"/>
      <c r="P23" s="395"/>
      <c r="Q23" s="395"/>
      <c r="R23" s="395"/>
      <c r="S23" s="395"/>
      <c r="T23" s="395"/>
      <c r="U23" s="395"/>
      <c r="V23" s="396"/>
      <c r="W23" s="429"/>
      <c r="X23" s="430"/>
      <c r="Y23" s="431"/>
      <c r="Z23" s="432"/>
      <c r="AA23" s="410"/>
      <c r="AB23" s="411"/>
      <c r="AC23" s="411"/>
      <c r="AD23" s="412"/>
      <c r="AE23" s="410"/>
      <c r="AF23" s="411"/>
      <c r="AG23" s="411"/>
      <c r="AH23" s="412"/>
      <c r="AI23" s="410"/>
      <c r="AJ23" s="411"/>
      <c r="AK23" s="411"/>
      <c r="AL23" s="412"/>
      <c r="AM23" s="410"/>
      <c r="AN23" s="411"/>
      <c r="AO23" s="411"/>
      <c r="AP23" s="412"/>
      <c r="AQ23" s="420" t="str">
        <f>IF(W23="SI","Siguiente","")</f>
        <v/>
      </c>
      <c r="AR23" s="421"/>
      <c r="AS23" s="421"/>
      <c r="AT23" s="421"/>
      <c r="AU23" s="421"/>
      <c r="AV23" s="422"/>
      <c r="AW23" s="480" t="str">
        <f>IF(AQ23="","",IF(COUNTIF(MOD4_6_2!$H$21:$AI$22,"")=0,"a",""))</f>
        <v/>
      </c>
      <c r="AX23" s="481"/>
      <c r="AY23" s="377"/>
    </row>
    <row r="24" spans="2:51" ht="9.75" customHeight="1" x14ac:dyDescent="0.2">
      <c r="B24" s="7"/>
      <c r="C24" s="38"/>
      <c r="D24" s="22"/>
      <c r="E24" s="397"/>
      <c r="F24" s="398"/>
      <c r="G24" s="398"/>
      <c r="H24" s="398"/>
      <c r="I24" s="398"/>
      <c r="J24" s="398"/>
      <c r="K24" s="399"/>
      <c r="L24" s="399"/>
      <c r="M24" s="399"/>
      <c r="N24" s="400"/>
      <c r="O24" s="400"/>
      <c r="P24" s="400"/>
      <c r="Q24" s="400"/>
      <c r="R24" s="400"/>
      <c r="S24" s="400"/>
      <c r="T24" s="400"/>
      <c r="U24" s="400"/>
      <c r="V24" s="401"/>
      <c r="W24" s="433"/>
      <c r="X24" s="434"/>
      <c r="Y24" s="435"/>
      <c r="Z24" s="436"/>
      <c r="AA24" s="413"/>
      <c r="AB24" s="414"/>
      <c r="AC24" s="415"/>
      <c r="AD24" s="416"/>
      <c r="AE24" s="413"/>
      <c r="AF24" s="414"/>
      <c r="AG24" s="415"/>
      <c r="AH24" s="416"/>
      <c r="AI24" s="413"/>
      <c r="AJ24" s="414"/>
      <c r="AK24" s="415"/>
      <c r="AL24" s="416"/>
      <c r="AM24" s="413"/>
      <c r="AN24" s="414"/>
      <c r="AO24" s="415"/>
      <c r="AP24" s="416"/>
      <c r="AQ24" s="423"/>
      <c r="AR24" s="424"/>
      <c r="AS24" s="424"/>
      <c r="AT24" s="424"/>
      <c r="AU24" s="424"/>
      <c r="AV24" s="425"/>
      <c r="AW24" s="482"/>
      <c r="AX24" s="481"/>
      <c r="AY24" s="377"/>
    </row>
    <row r="25" spans="2:51" ht="9.75" customHeight="1" x14ac:dyDescent="0.2">
      <c r="B25" s="7"/>
      <c r="C25" s="38"/>
      <c r="D25" s="22"/>
      <c r="E25" s="402"/>
      <c r="F25" s="403"/>
      <c r="G25" s="403"/>
      <c r="H25" s="403"/>
      <c r="I25" s="403"/>
      <c r="J25" s="403"/>
      <c r="K25" s="404"/>
      <c r="L25" s="404"/>
      <c r="M25" s="404"/>
      <c r="N25" s="405"/>
      <c r="O25" s="405"/>
      <c r="P25" s="405"/>
      <c r="Q25" s="405"/>
      <c r="R25" s="405"/>
      <c r="S25" s="405"/>
      <c r="T25" s="405"/>
      <c r="U25" s="405"/>
      <c r="V25" s="406"/>
      <c r="W25" s="437"/>
      <c r="X25" s="438"/>
      <c r="Y25" s="439"/>
      <c r="Z25" s="440"/>
      <c r="AA25" s="417"/>
      <c r="AB25" s="418"/>
      <c r="AC25" s="418"/>
      <c r="AD25" s="419"/>
      <c r="AE25" s="417"/>
      <c r="AF25" s="418"/>
      <c r="AG25" s="418"/>
      <c r="AH25" s="419"/>
      <c r="AI25" s="417"/>
      <c r="AJ25" s="418"/>
      <c r="AK25" s="418"/>
      <c r="AL25" s="419"/>
      <c r="AM25" s="417"/>
      <c r="AN25" s="418"/>
      <c r="AO25" s="418"/>
      <c r="AP25" s="419"/>
      <c r="AQ25" s="426"/>
      <c r="AR25" s="427"/>
      <c r="AS25" s="427"/>
      <c r="AT25" s="427"/>
      <c r="AU25" s="427"/>
      <c r="AV25" s="428"/>
      <c r="AW25" s="482"/>
      <c r="AX25" s="481"/>
      <c r="AY25" s="377"/>
    </row>
    <row r="26" spans="2:51" ht="9.75" customHeight="1" x14ac:dyDescent="0.2">
      <c r="B26" s="7"/>
      <c r="C26" s="38" t="b">
        <f>AND(W26="SI",OR(COUNTIFS(LISTAS!$C$120:$C$161,E26,LISTAS!$D$120:$D$161,"")&gt;0,COUNTIFS(LISTAS!$B$166:$B$205,E26,LISTAS!$D$166:$D$205,"")&gt;0))</f>
        <v>0</v>
      </c>
      <c r="D26" s="22"/>
      <c r="E26" s="392" t="str">
        <f>LISTAS!AI19</f>
        <v>Vida y Verde – VIVE</v>
      </c>
      <c r="F26" s="393"/>
      <c r="G26" s="393"/>
      <c r="H26" s="393"/>
      <c r="I26" s="393"/>
      <c r="J26" s="393"/>
      <c r="K26" s="394"/>
      <c r="L26" s="394"/>
      <c r="M26" s="394"/>
      <c r="N26" s="395"/>
      <c r="O26" s="395"/>
      <c r="P26" s="395"/>
      <c r="Q26" s="395"/>
      <c r="R26" s="395"/>
      <c r="S26" s="395"/>
      <c r="T26" s="395"/>
      <c r="U26" s="395"/>
      <c r="V26" s="396"/>
      <c r="W26" s="429"/>
      <c r="X26" s="430"/>
      <c r="Y26" s="431"/>
      <c r="Z26" s="432"/>
      <c r="AA26" s="410"/>
      <c r="AB26" s="411"/>
      <c r="AC26" s="411"/>
      <c r="AD26" s="412"/>
      <c r="AE26" s="410"/>
      <c r="AF26" s="411"/>
      <c r="AG26" s="411"/>
      <c r="AH26" s="412"/>
      <c r="AI26" s="410"/>
      <c r="AJ26" s="411"/>
      <c r="AK26" s="411"/>
      <c r="AL26" s="412"/>
      <c r="AM26" s="410"/>
      <c r="AN26" s="411"/>
      <c r="AO26" s="411"/>
      <c r="AP26" s="412"/>
      <c r="AQ26" s="420" t="str">
        <f>IF(W26="SI","Siguiente","")</f>
        <v/>
      </c>
      <c r="AR26" s="421"/>
      <c r="AS26" s="421"/>
      <c r="AT26" s="421"/>
      <c r="AU26" s="421"/>
      <c r="AV26" s="422"/>
      <c r="AW26" s="480" t="str">
        <f>IF(AQ26="","",IF(COUNTIF(MOD4_6_3!$H$21:$AI$22,"")=0,"a",""))</f>
        <v/>
      </c>
      <c r="AX26" s="481"/>
      <c r="AY26" s="377"/>
    </row>
    <row r="27" spans="2:51" ht="9.75" customHeight="1" x14ac:dyDescent="0.2">
      <c r="B27" s="7"/>
      <c r="C27" s="38"/>
      <c r="D27" s="22"/>
      <c r="E27" s="397"/>
      <c r="F27" s="398"/>
      <c r="G27" s="398"/>
      <c r="H27" s="398"/>
      <c r="I27" s="398"/>
      <c r="J27" s="398"/>
      <c r="K27" s="399"/>
      <c r="L27" s="399"/>
      <c r="M27" s="399"/>
      <c r="N27" s="400"/>
      <c r="O27" s="400"/>
      <c r="P27" s="400"/>
      <c r="Q27" s="400"/>
      <c r="R27" s="400"/>
      <c r="S27" s="400"/>
      <c r="T27" s="400"/>
      <c r="U27" s="400"/>
      <c r="V27" s="401"/>
      <c r="W27" s="433"/>
      <c r="X27" s="434"/>
      <c r="Y27" s="435"/>
      <c r="Z27" s="436"/>
      <c r="AA27" s="413"/>
      <c r="AB27" s="414"/>
      <c r="AC27" s="415"/>
      <c r="AD27" s="416"/>
      <c r="AE27" s="413"/>
      <c r="AF27" s="414"/>
      <c r="AG27" s="415"/>
      <c r="AH27" s="416"/>
      <c r="AI27" s="413"/>
      <c r="AJ27" s="414"/>
      <c r="AK27" s="415"/>
      <c r="AL27" s="416"/>
      <c r="AM27" s="413"/>
      <c r="AN27" s="414"/>
      <c r="AO27" s="415"/>
      <c r="AP27" s="416"/>
      <c r="AQ27" s="423"/>
      <c r="AR27" s="424"/>
      <c r="AS27" s="424"/>
      <c r="AT27" s="424"/>
      <c r="AU27" s="424"/>
      <c r="AV27" s="425"/>
      <c r="AW27" s="482"/>
      <c r="AX27" s="481"/>
      <c r="AY27" s="377"/>
    </row>
    <row r="28" spans="2:51" ht="9.75" customHeight="1" x14ac:dyDescent="0.2">
      <c r="B28" s="7"/>
      <c r="C28" s="38"/>
      <c r="D28" s="22"/>
      <c r="E28" s="402"/>
      <c r="F28" s="403"/>
      <c r="G28" s="403"/>
      <c r="H28" s="403"/>
      <c r="I28" s="403"/>
      <c r="J28" s="403"/>
      <c r="K28" s="404"/>
      <c r="L28" s="404"/>
      <c r="M28" s="404"/>
      <c r="N28" s="405"/>
      <c r="O28" s="405"/>
      <c r="P28" s="405"/>
      <c r="Q28" s="405"/>
      <c r="R28" s="405"/>
      <c r="S28" s="405"/>
      <c r="T28" s="405"/>
      <c r="U28" s="405"/>
      <c r="V28" s="406"/>
      <c r="W28" s="437"/>
      <c r="X28" s="438"/>
      <c r="Y28" s="439"/>
      <c r="Z28" s="440"/>
      <c r="AA28" s="417"/>
      <c r="AB28" s="418"/>
      <c r="AC28" s="418"/>
      <c r="AD28" s="419"/>
      <c r="AE28" s="417"/>
      <c r="AF28" s="418"/>
      <c r="AG28" s="418"/>
      <c r="AH28" s="419"/>
      <c r="AI28" s="417"/>
      <c r="AJ28" s="418"/>
      <c r="AK28" s="418"/>
      <c r="AL28" s="419"/>
      <c r="AM28" s="417"/>
      <c r="AN28" s="418"/>
      <c r="AO28" s="418"/>
      <c r="AP28" s="419"/>
      <c r="AQ28" s="426"/>
      <c r="AR28" s="427"/>
      <c r="AS28" s="427"/>
      <c r="AT28" s="427"/>
      <c r="AU28" s="427"/>
      <c r="AV28" s="428"/>
      <c r="AW28" s="482"/>
      <c r="AX28" s="481"/>
      <c r="AY28" s="377"/>
    </row>
    <row r="29" spans="2:51" ht="9.75" customHeight="1" x14ac:dyDescent="0.2">
      <c r="B29" s="7"/>
      <c r="C29" s="38" t="b">
        <f>AND(W29="SI",OR(COUNTIFS(LISTAS!$C$120:$C$161,E29,LISTAS!$D$120:$D$161,"")&gt;0,COUNTIFS(LISTAS!$B$166:$B$205,E29,LISTAS!$D$166:$D$205,"")&gt;0))</f>
        <v>0</v>
      </c>
      <c r="D29" s="22"/>
      <c r="E29" s="392" t="str">
        <f>LISTAS!AI20</f>
        <v>GLOBE Perú</v>
      </c>
      <c r="F29" s="393"/>
      <c r="G29" s="393"/>
      <c r="H29" s="393"/>
      <c r="I29" s="393"/>
      <c r="J29" s="393"/>
      <c r="K29" s="394"/>
      <c r="L29" s="394"/>
      <c r="M29" s="394"/>
      <c r="N29" s="395"/>
      <c r="O29" s="395"/>
      <c r="P29" s="395"/>
      <c r="Q29" s="395"/>
      <c r="R29" s="395"/>
      <c r="S29" s="395"/>
      <c r="T29" s="395"/>
      <c r="U29" s="395"/>
      <c r="V29" s="396"/>
      <c r="W29" s="429"/>
      <c r="X29" s="430"/>
      <c r="Y29" s="431"/>
      <c r="Z29" s="432"/>
      <c r="AA29" s="410"/>
      <c r="AB29" s="411"/>
      <c r="AC29" s="411"/>
      <c r="AD29" s="412"/>
      <c r="AE29" s="410"/>
      <c r="AF29" s="411"/>
      <c r="AG29" s="411"/>
      <c r="AH29" s="412"/>
      <c r="AI29" s="410"/>
      <c r="AJ29" s="411"/>
      <c r="AK29" s="411"/>
      <c r="AL29" s="412"/>
      <c r="AM29" s="410"/>
      <c r="AN29" s="411"/>
      <c r="AO29" s="411"/>
      <c r="AP29" s="412"/>
      <c r="AQ29" s="420" t="str">
        <f>IF(W29="SI","Siguiente","")</f>
        <v/>
      </c>
      <c r="AR29" s="421"/>
      <c r="AS29" s="421"/>
      <c r="AT29" s="421"/>
      <c r="AU29" s="421"/>
      <c r="AV29" s="422"/>
      <c r="AW29" s="480" t="str">
        <f>IF(AQ29="","",IF(COUNTIF(MOD4_6_4!$H$21:$AI$22,"")=0,"a",""))</f>
        <v/>
      </c>
      <c r="AX29" s="481"/>
      <c r="AY29" s="377"/>
    </row>
    <row r="30" spans="2:51" ht="9.75" customHeight="1" x14ac:dyDescent="0.2">
      <c r="B30" s="7"/>
      <c r="C30" s="38"/>
      <c r="D30" s="22"/>
      <c r="E30" s="397"/>
      <c r="F30" s="398"/>
      <c r="G30" s="398"/>
      <c r="H30" s="398"/>
      <c r="I30" s="398"/>
      <c r="J30" s="398"/>
      <c r="K30" s="399"/>
      <c r="L30" s="399"/>
      <c r="M30" s="399"/>
      <c r="N30" s="400"/>
      <c r="O30" s="400"/>
      <c r="P30" s="400"/>
      <c r="Q30" s="400"/>
      <c r="R30" s="400"/>
      <c r="S30" s="400"/>
      <c r="T30" s="400"/>
      <c r="U30" s="400"/>
      <c r="V30" s="401"/>
      <c r="W30" s="433"/>
      <c r="X30" s="434"/>
      <c r="Y30" s="435"/>
      <c r="Z30" s="436"/>
      <c r="AA30" s="413"/>
      <c r="AB30" s="414"/>
      <c r="AC30" s="415"/>
      <c r="AD30" s="416"/>
      <c r="AE30" s="413"/>
      <c r="AF30" s="414"/>
      <c r="AG30" s="415"/>
      <c r="AH30" s="416"/>
      <c r="AI30" s="413"/>
      <c r="AJ30" s="414"/>
      <c r="AK30" s="415"/>
      <c r="AL30" s="416"/>
      <c r="AM30" s="413"/>
      <c r="AN30" s="414"/>
      <c r="AO30" s="415"/>
      <c r="AP30" s="416"/>
      <c r="AQ30" s="423"/>
      <c r="AR30" s="424"/>
      <c r="AS30" s="424"/>
      <c r="AT30" s="424"/>
      <c r="AU30" s="424"/>
      <c r="AV30" s="425"/>
      <c r="AW30" s="482"/>
      <c r="AX30" s="481"/>
      <c r="AY30" s="377"/>
    </row>
    <row r="31" spans="2:51" ht="9.75" customHeight="1" x14ac:dyDescent="0.2">
      <c r="B31" s="7"/>
      <c r="C31" s="38"/>
      <c r="D31" s="22"/>
      <c r="E31" s="402"/>
      <c r="F31" s="403"/>
      <c r="G31" s="403"/>
      <c r="H31" s="403"/>
      <c r="I31" s="403"/>
      <c r="J31" s="403"/>
      <c r="K31" s="404"/>
      <c r="L31" s="404"/>
      <c r="M31" s="404"/>
      <c r="N31" s="405"/>
      <c r="O31" s="405"/>
      <c r="P31" s="405"/>
      <c r="Q31" s="405"/>
      <c r="R31" s="405"/>
      <c r="S31" s="405"/>
      <c r="T31" s="405"/>
      <c r="U31" s="405"/>
      <c r="V31" s="406"/>
      <c r="W31" s="437"/>
      <c r="X31" s="438"/>
      <c r="Y31" s="439"/>
      <c r="Z31" s="440"/>
      <c r="AA31" s="417"/>
      <c r="AB31" s="418"/>
      <c r="AC31" s="418"/>
      <c r="AD31" s="419"/>
      <c r="AE31" s="417"/>
      <c r="AF31" s="418"/>
      <c r="AG31" s="418"/>
      <c r="AH31" s="419"/>
      <c r="AI31" s="417"/>
      <c r="AJ31" s="418"/>
      <c r="AK31" s="418"/>
      <c r="AL31" s="419"/>
      <c r="AM31" s="417"/>
      <c r="AN31" s="418"/>
      <c r="AO31" s="418"/>
      <c r="AP31" s="419"/>
      <c r="AQ31" s="426"/>
      <c r="AR31" s="427"/>
      <c r="AS31" s="427"/>
      <c r="AT31" s="427"/>
      <c r="AU31" s="427"/>
      <c r="AV31" s="428"/>
      <c r="AW31" s="482"/>
      <c r="AX31" s="481"/>
      <c r="AY31" s="377"/>
    </row>
    <row r="32" spans="2:51" ht="9.75" customHeight="1" x14ac:dyDescent="0.2">
      <c r="B32" s="7"/>
      <c r="C32" s="38" t="b">
        <f>AND(W32="SI",OR(COUNTIFS(LISTAS!$C$120:$C$161,E32,LISTAS!$D$120:$D$161,"")&gt;0,COUNTIFS(LISTAS!$B$166:$B$205,E32,LISTAS!$D$166:$D$205,"")&gt;0))</f>
        <v>0</v>
      </c>
      <c r="D32" s="22"/>
      <c r="E32" s="392" t="str">
        <f>LISTAS!AI21</f>
        <v>Mi Huella – Mido y reduzco mi huella de carbono</v>
      </c>
      <c r="F32" s="393"/>
      <c r="G32" s="393"/>
      <c r="H32" s="393"/>
      <c r="I32" s="393"/>
      <c r="J32" s="393"/>
      <c r="K32" s="394"/>
      <c r="L32" s="394"/>
      <c r="M32" s="394"/>
      <c r="N32" s="395"/>
      <c r="O32" s="395"/>
      <c r="P32" s="395"/>
      <c r="Q32" s="395"/>
      <c r="R32" s="395"/>
      <c r="S32" s="395"/>
      <c r="T32" s="395"/>
      <c r="U32" s="395"/>
      <c r="V32" s="396"/>
      <c r="W32" s="429"/>
      <c r="X32" s="430"/>
      <c r="Y32" s="431"/>
      <c r="Z32" s="432"/>
      <c r="AA32" s="410"/>
      <c r="AB32" s="411"/>
      <c r="AC32" s="411"/>
      <c r="AD32" s="412"/>
      <c r="AE32" s="410"/>
      <c r="AF32" s="411"/>
      <c r="AG32" s="411"/>
      <c r="AH32" s="412"/>
      <c r="AI32" s="410"/>
      <c r="AJ32" s="411"/>
      <c r="AK32" s="411"/>
      <c r="AL32" s="412"/>
      <c r="AM32" s="410"/>
      <c r="AN32" s="411"/>
      <c r="AO32" s="411"/>
      <c r="AP32" s="412"/>
      <c r="AQ32" s="420" t="str">
        <f>IF(W32="SI","Siguiente","")</f>
        <v/>
      </c>
      <c r="AR32" s="421"/>
      <c r="AS32" s="421"/>
      <c r="AT32" s="421"/>
      <c r="AU32" s="421"/>
      <c r="AV32" s="422"/>
      <c r="AW32" s="480" t="str">
        <f>IF(AQ32="","",IF(COUNTIF(MOD4_6_5!$H$21:$AI$22,"")=0,"a",""))</f>
        <v/>
      </c>
      <c r="AX32" s="481"/>
      <c r="AY32" s="377"/>
    </row>
    <row r="33" spans="2:51" ht="9.75" customHeight="1" x14ac:dyDescent="0.2">
      <c r="B33" s="7"/>
      <c r="C33" s="38"/>
      <c r="D33" s="22"/>
      <c r="E33" s="397"/>
      <c r="F33" s="398"/>
      <c r="G33" s="398"/>
      <c r="H33" s="398"/>
      <c r="I33" s="398"/>
      <c r="J33" s="398"/>
      <c r="K33" s="399"/>
      <c r="L33" s="399"/>
      <c r="M33" s="399"/>
      <c r="N33" s="400"/>
      <c r="O33" s="400"/>
      <c r="P33" s="400"/>
      <c r="Q33" s="400"/>
      <c r="R33" s="400"/>
      <c r="S33" s="400"/>
      <c r="T33" s="400"/>
      <c r="U33" s="400"/>
      <c r="V33" s="401"/>
      <c r="W33" s="433"/>
      <c r="X33" s="434"/>
      <c r="Y33" s="435"/>
      <c r="Z33" s="436"/>
      <c r="AA33" s="413"/>
      <c r="AB33" s="414"/>
      <c r="AC33" s="415"/>
      <c r="AD33" s="416"/>
      <c r="AE33" s="413"/>
      <c r="AF33" s="414"/>
      <c r="AG33" s="415"/>
      <c r="AH33" s="416"/>
      <c r="AI33" s="413"/>
      <c r="AJ33" s="414"/>
      <c r="AK33" s="415"/>
      <c r="AL33" s="416"/>
      <c r="AM33" s="413"/>
      <c r="AN33" s="414"/>
      <c r="AO33" s="415"/>
      <c r="AP33" s="416"/>
      <c r="AQ33" s="423"/>
      <c r="AR33" s="424"/>
      <c r="AS33" s="424"/>
      <c r="AT33" s="424"/>
      <c r="AU33" s="424"/>
      <c r="AV33" s="425"/>
      <c r="AW33" s="482"/>
      <c r="AX33" s="481"/>
      <c r="AY33" s="377"/>
    </row>
    <row r="34" spans="2:51" ht="9.75" customHeight="1" x14ac:dyDescent="0.2">
      <c r="B34" s="7"/>
      <c r="C34" s="38"/>
      <c r="D34" s="22"/>
      <c r="E34" s="397"/>
      <c r="F34" s="407"/>
      <c r="G34" s="407"/>
      <c r="H34" s="407"/>
      <c r="I34" s="407"/>
      <c r="J34" s="407"/>
      <c r="K34" s="408"/>
      <c r="L34" s="408"/>
      <c r="M34" s="408"/>
      <c r="N34" s="409"/>
      <c r="O34" s="409"/>
      <c r="P34" s="409"/>
      <c r="Q34" s="409"/>
      <c r="R34" s="409"/>
      <c r="S34" s="409"/>
      <c r="T34" s="409"/>
      <c r="U34" s="409"/>
      <c r="V34" s="401"/>
      <c r="W34" s="437"/>
      <c r="X34" s="438"/>
      <c r="Y34" s="439"/>
      <c r="Z34" s="440"/>
      <c r="AA34" s="417"/>
      <c r="AB34" s="418"/>
      <c r="AC34" s="418"/>
      <c r="AD34" s="419"/>
      <c r="AE34" s="417"/>
      <c r="AF34" s="418"/>
      <c r="AG34" s="418"/>
      <c r="AH34" s="419"/>
      <c r="AI34" s="417"/>
      <c r="AJ34" s="418"/>
      <c r="AK34" s="418"/>
      <c r="AL34" s="419"/>
      <c r="AM34" s="417"/>
      <c r="AN34" s="418"/>
      <c r="AO34" s="418"/>
      <c r="AP34" s="419"/>
      <c r="AQ34" s="426"/>
      <c r="AR34" s="427"/>
      <c r="AS34" s="427"/>
      <c r="AT34" s="427"/>
      <c r="AU34" s="427"/>
      <c r="AV34" s="428"/>
      <c r="AW34" s="482"/>
      <c r="AX34" s="481"/>
      <c r="AY34" s="377"/>
    </row>
    <row r="35" spans="2:51" ht="9.75" customHeight="1" x14ac:dyDescent="0.2">
      <c r="B35" s="7"/>
      <c r="C35" s="38" t="b">
        <f>AND(W35="SI",OR(COUNTIFS(LISTAS!$C$120:$C$161,"Otro proyecto 1",LISTAS!$D$120:$D$161,"")&gt;0,COUNTIFS(LISTAS!$B$166:$B$205,"Otro proyecto 1",LISTAS!$D$166:$D$205,"")&gt;0))</f>
        <v>0</v>
      </c>
      <c r="D35" s="22"/>
      <c r="E35" s="384" t="s">
        <v>4132</v>
      </c>
      <c r="F35" s="385"/>
      <c r="G35" s="385"/>
      <c r="H35" s="385"/>
      <c r="I35" s="385"/>
      <c r="J35" s="385"/>
      <c r="K35" s="441"/>
      <c r="L35" s="442"/>
      <c r="M35" s="442"/>
      <c r="N35" s="442"/>
      <c r="O35" s="442"/>
      <c r="P35" s="442"/>
      <c r="Q35" s="442"/>
      <c r="R35" s="442"/>
      <c r="S35" s="442"/>
      <c r="T35" s="442"/>
      <c r="U35" s="442"/>
      <c r="V35" s="443"/>
      <c r="W35" s="430"/>
      <c r="X35" s="430"/>
      <c r="Y35" s="431"/>
      <c r="Z35" s="432"/>
      <c r="AA35" s="410"/>
      <c r="AB35" s="411"/>
      <c r="AC35" s="411"/>
      <c r="AD35" s="412"/>
      <c r="AE35" s="410"/>
      <c r="AF35" s="411"/>
      <c r="AG35" s="411"/>
      <c r="AH35" s="412"/>
      <c r="AI35" s="410"/>
      <c r="AJ35" s="411"/>
      <c r="AK35" s="411"/>
      <c r="AL35" s="412"/>
      <c r="AM35" s="410"/>
      <c r="AN35" s="411"/>
      <c r="AO35" s="411"/>
      <c r="AP35" s="412"/>
      <c r="AQ35" s="420" t="str">
        <f>IF(W35="SI","Siguiente","")</f>
        <v/>
      </c>
      <c r="AR35" s="421"/>
      <c r="AS35" s="421"/>
      <c r="AT35" s="421"/>
      <c r="AU35" s="421"/>
      <c r="AV35" s="422"/>
      <c r="AW35" s="480" t="str">
        <f>IF(AQ35="","",IF(COUNTIF(MOD4_6_6!$H$21:$AI$22,"")=0,"a",""))</f>
        <v/>
      </c>
      <c r="AX35" s="481"/>
      <c r="AY35" s="377"/>
    </row>
    <row r="36" spans="2:51" ht="9.75" customHeight="1" x14ac:dyDescent="0.2">
      <c r="B36" s="7"/>
      <c r="C36" s="38"/>
      <c r="D36" s="22"/>
      <c r="E36" s="386"/>
      <c r="F36" s="387"/>
      <c r="G36" s="387"/>
      <c r="H36" s="387"/>
      <c r="I36" s="387"/>
      <c r="J36" s="387"/>
      <c r="K36" s="444"/>
      <c r="L36" s="445"/>
      <c r="M36" s="445"/>
      <c r="N36" s="445"/>
      <c r="O36" s="445"/>
      <c r="P36" s="445"/>
      <c r="Q36" s="445"/>
      <c r="R36" s="445"/>
      <c r="S36" s="445"/>
      <c r="T36" s="445"/>
      <c r="U36" s="445"/>
      <c r="V36" s="446"/>
      <c r="W36" s="434"/>
      <c r="X36" s="434"/>
      <c r="Y36" s="435"/>
      <c r="Z36" s="436"/>
      <c r="AA36" s="413"/>
      <c r="AB36" s="414"/>
      <c r="AC36" s="415"/>
      <c r="AD36" s="416"/>
      <c r="AE36" s="413"/>
      <c r="AF36" s="414"/>
      <c r="AG36" s="415"/>
      <c r="AH36" s="416"/>
      <c r="AI36" s="413"/>
      <c r="AJ36" s="414"/>
      <c r="AK36" s="415"/>
      <c r="AL36" s="416"/>
      <c r="AM36" s="413"/>
      <c r="AN36" s="414"/>
      <c r="AO36" s="415"/>
      <c r="AP36" s="416"/>
      <c r="AQ36" s="423"/>
      <c r="AR36" s="424"/>
      <c r="AS36" s="424"/>
      <c r="AT36" s="424"/>
      <c r="AU36" s="424"/>
      <c r="AV36" s="425"/>
      <c r="AW36" s="482"/>
      <c r="AX36" s="481"/>
      <c r="AY36" s="377"/>
    </row>
    <row r="37" spans="2:51" ht="9.75" customHeight="1" x14ac:dyDescent="0.2">
      <c r="B37" s="7"/>
      <c r="C37" s="38"/>
      <c r="D37" s="22"/>
      <c r="E37" s="388"/>
      <c r="F37" s="389"/>
      <c r="G37" s="389"/>
      <c r="H37" s="389"/>
      <c r="I37" s="389"/>
      <c r="J37" s="389"/>
      <c r="K37" s="447"/>
      <c r="L37" s="448"/>
      <c r="M37" s="448"/>
      <c r="N37" s="448"/>
      <c r="O37" s="448"/>
      <c r="P37" s="448"/>
      <c r="Q37" s="448"/>
      <c r="R37" s="448"/>
      <c r="S37" s="448"/>
      <c r="T37" s="448"/>
      <c r="U37" s="448"/>
      <c r="V37" s="449"/>
      <c r="W37" s="438"/>
      <c r="X37" s="438"/>
      <c r="Y37" s="439"/>
      <c r="Z37" s="440"/>
      <c r="AA37" s="417"/>
      <c r="AB37" s="418"/>
      <c r="AC37" s="418"/>
      <c r="AD37" s="419"/>
      <c r="AE37" s="417"/>
      <c r="AF37" s="418"/>
      <c r="AG37" s="418"/>
      <c r="AH37" s="419"/>
      <c r="AI37" s="417"/>
      <c r="AJ37" s="418"/>
      <c r="AK37" s="418"/>
      <c r="AL37" s="419"/>
      <c r="AM37" s="417"/>
      <c r="AN37" s="418"/>
      <c r="AO37" s="418"/>
      <c r="AP37" s="419"/>
      <c r="AQ37" s="426"/>
      <c r="AR37" s="427"/>
      <c r="AS37" s="427"/>
      <c r="AT37" s="427"/>
      <c r="AU37" s="427"/>
      <c r="AV37" s="428"/>
      <c r="AW37" s="482"/>
      <c r="AX37" s="481"/>
      <c r="AY37" s="377"/>
    </row>
    <row r="38" spans="2:51" ht="9.75" customHeight="1" x14ac:dyDescent="0.2">
      <c r="B38" s="7"/>
      <c r="C38" s="38" t="b">
        <f>AND(W38="SI",OR(COUNTIFS(LISTAS!$C$120:$C$161,"Otro proyecto 2",LISTAS!$D$120:$D$161,"")&gt;0,COUNTIFS(LISTAS!$B$166:$B$205,"Otro proyecto 2",LISTAS!$D$166:$D$205,"")&gt;0))</f>
        <v>0</v>
      </c>
      <c r="D38" s="22"/>
      <c r="E38" s="381"/>
      <c r="F38" s="382"/>
      <c r="G38" s="382"/>
      <c r="H38" s="382"/>
      <c r="I38" s="382"/>
      <c r="J38" s="383"/>
      <c r="K38" s="391"/>
      <c r="L38" s="391"/>
      <c r="M38" s="391"/>
      <c r="N38" s="391"/>
      <c r="O38" s="391"/>
      <c r="P38" s="391"/>
      <c r="Q38" s="391"/>
      <c r="R38" s="391"/>
      <c r="S38" s="391"/>
      <c r="T38" s="391"/>
      <c r="U38" s="391"/>
      <c r="V38" s="391"/>
      <c r="W38" s="429"/>
      <c r="X38" s="430"/>
      <c r="Y38" s="431"/>
      <c r="Z38" s="432"/>
      <c r="AA38" s="410"/>
      <c r="AB38" s="411"/>
      <c r="AC38" s="411"/>
      <c r="AD38" s="412"/>
      <c r="AE38" s="410"/>
      <c r="AF38" s="411"/>
      <c r="AG38" s="411"/>
      <c r="AH38" s="412"/>
      <c r="AI38" s="410"/>
      <c r="AJ38" s="411"/>
      <c r="AK38" s="411"/>
      <c r="AL38" s="412"/>
      <c r="AM38" s="410"/>
      <c r="AN38" s="411"/>
      <c r="AO38" s="411"/>
      <c r="AP38" s="412"/>
      <c r="AQ38" s="420" t="str">
        <f>IF(W38="SI","Siguiente","")</f>
        <v/>
      </c>
      <c r="AR38" s="421"/>
      <c r="AS38" s="421"/>
      <c r="AT38" s="421"/>
      <c r="AU38" s="421"/>
      <c r="AV38" s="422"/>
      <c r="AW38" s="480" t="str">
        <f>IF(AQ38="","",IF(COUNTIF(MOD4_6_7!$H$21:$AI$22,"")=0,"a",""))</f>
        <v/>
      </c>
      <c r="AX38" s="481"/>
      <c r="AY38" s="377"/>
    </row>
    <row r="39" spans="2:51" ht="9.75" customHeight="1" x14ac:dyDescent="0.2">
      <c r="B39" s="7"/>
      <c r="C39" s="38"/>
      <c r="D39" s="22"/>
      <c r="E39" s="379"/>
      <c r="F39" s="379"/>
      <c r="G39" s="379"/>
      <c r="H39" s="379"/>
      <c r="I39" s="379"/>
      <c r="J39" s="380"/>
      <c r="K39" s="390"/>
      <c r="L39" s="390"/>
      <c r="M39" s="390"/>
      <c r="N39" s="390"/>
      <c r="O39" s="390"/>
      <c r="P39" s="390"/>
      <c r="Q39" s="390"/>
      <c r="R39" s="390"/>
      <c r="S39" s="390"/>
      <c r="T39" s="390"/>
      <c r="U39" s="390"/>
      <c r="V39" s="390"/>
      <c r="W39" s="433"/>
      <c r="X39" s="434"/>
      <c r="Y39" s="435"/>
      <c r="Z39" s="436"/>
      <c r="AA39" s="413"/>
      <c r="AB39" s="414"/>
      <c r="AC39" s="415"/>
      <c r="AD39" s="416"/>
      <c r="AE39" s="413"/>
      <c r="AF39" s="414"/>
      <c r="AG39" s="415"/>
      <c r="AH39" s="416"/>
      <c r="AI39" s="413"/>
      <c r="AJ39" s="414"/>
      <c r="AK39" s="415"/>
      <c r="AL39" s="416"/>
      <c r="AM39" s="413"/>
      <c r="AN39" s="414"/>
      <c r="AO39" s="415"/>
      <c r="AP39" s="416"/>
      <c r="AQ39" s="423"/>
      <c r="AR39" s="424"/>
      <c r="AS39" s="424"/>
      <c r="AT39" s="424"/>
      <c r="AU39" s="424"/>
      <c r="AV39" s="425"/>
      <c r="AW39" s="482"/>
      <c r="AX39" s="481"/>
      <c r="AY39" s="377"/>
    </row>
    <row r="40" spans="2:51" ht="9.75" customHeight="1" x14ac:dyDescent="0.2">
      <c r="B40" s="7"/>
      <c r="C40" s="38"/>
      <c r="D40" s="22"/>
      <c r="E40" s="379"/>
      <c r="F40" s="379"/>
      <c r="G40" s="379"/>
      <c r="H40" s="379"/>
      <c r="I40" s="379"/>
      <c r="J40" s="380"/>
      <c r="K40" s="390"/>
      <c r="L40" s="390"/>
      <c r="M40" s="390"/>
      <c r="N40" s="390"/>
      <c r="O40" s="390"/>
      <c r="P40" s="390"/>
      <c r="Q40" s="390"/>
      <c r="R40" s="390"/>
      <c r="S40" s="390"/>
      <c r="T40" s="390"/>
      <c r="U40" s="390"/>
      <c r="V40" s="390"/>
      <c r="W40" s="437"/>
      <c r="X40" s="438"/>
      <c r="Y40" s="439"/>
      <c r="Z40" s="440"/>
      <c r="AA40" s="417"/>
      <c r="AB40" s="418"/>
      <c r="AC40" s="418"/>
      <c r="AD40" s="419"/>
      <c r="AE40" s="417"/>
      <c r="AF40" s="418"/>
      <c r="AG40" s="418"/>
      <c r="AH40" s="419"/>
      <c r="AI40" s="417"/>
      <c r="AJ40" s="418"/>
      <c r="AK40" s="418"/>
      <c r="AL40" s="419"/>
      <c r="AM40" s="417"/>
      <c r="AN40" s="418"/>
      <c r="AO40" s="418"/>
      <c r="AP40" s="419"/>
      <c r="AQ40" s="426"/>
      <c r="AR40" s="427"/>
      <c r="AS40" s="427"/>
      <c r="AT40" s="427"/>
      <c r="AU40" s="427"/>
      <c r="AV40" s="428"/>
      <c r="AW40" s="482"/>
      <c r="AX40" s="481"/>
      <c r="AY40" s="377"/>
    </row>
    <row r="41" spans="2:51" ht="9.75" customHeight="1" x14ac:dyDescent="0.2">
      <c r="B41" s="7"/>
      <c r="C41" s="38" t="b">
        <f>AND(W41="SI",OR(COUNTIFS(LISTAS!$C$120:$C$161,"Otro proyecto 3",LISTAS!$D$120:$D$161,"")&gt;0,COUNTIFS(LISTAS!$B$166:$B$205,"Otro proyecto 3",LISTAS!$D$166:$D$205,"")&gt;0))</f>
        <v>0</v>
      </c>
      <c r="D41" s="22"/>
      <c r="E41" s="378"/>
      <c r="F41" s="379"/>
      <c r="G41" s="379"/>
      <c r="H41" s="379"/>
      <c r="I41" s="379"/>
      <c r="J41" s="380"/>
      <c r="K41" s="390"/>
      <c r="L41" s="390"/>
      <c r="M41" s="390"/>
      <c r="N41" s="390"/>
      <c r="O41" s="390"/>
      <c r="P41" s="390"/>
      <c r="Q41" s="390"/>
      <c r="R41" s="390"/>
      <c r="S41" s="390"/>
      <c r="T41" s="390"/>
      <c r="U41" s="390"/>
      <c r="V41" s="390"/>
      <c r="W41" s="429"/>
      <c r="X41" s="430"/>
      <c r="Y41" s="431"/>
      <c r="Z41" s="432"/>
      <c r="AA41" s="410"/>
      <c r="AB41" s="411"/>
      <c r="AC41" s="411"/>
      <c r="AD41" s="412"/>
      <c r="AE41" s="410"/>
      <c r="AF41" s="411"/>
      <c r="AG41" s="411"/>
      <c r="AH41" s="412"/>
      <c r="AI41" s="410"/>
      <c r="AJ41" s="411"/>
      <c r="AK41" s="411"/>
      <c r="AL41" s="412"/>
      <c r="AM41" s="410"/>
      <c r="AN41" s="411"/>
      <c r="AO41" s="411"/>
      <c r="AP41" s="412"/>
      <c r="AQ41" s="420" t="str">
        <f>IF(W41="SI","Siguiente","")</f>
        <v/>
      </c>
      <c r="AR41" s="421"/>
      <c r="AS41" s="421"/>
      <c r="AT41" s="421"/>
      <c r="AU41" s="421"/>
      <c r="AV41" s="422"/>
      <c r="AW41" s="480" t="str">
        <f>IF(AQ41="","",IF(COUNTIF(MOD4_6_8!$H$21:$AI$22,"")=0,"a",""))</f>
        <v/>
      </c>
      <c r="AX41" s="481"/>
      <c r="AY41" s="377"/>
    </row>
    <row r="42" spans="2:51" ht="9.75" customHeight="1" x14ac:dyDescent="0.2">
      <c r="B42" s="7"/>
      <c r="C42" s="38"/>
      <c r="D42" s="22"/>
      <c r="E42" s="379"/>
      <c r="F42" s="379"/>
      <c r="G42" s="379"/>
      <c r="H42" s="379"/>
      <c r="I42" s="379"/>
      <c r="J42" s="380"/>
      <c r="K42" s="390"/>
      <c r="L42" s="390"/>
      <c r="M42" s="390"/>
      <c r="N42" s="390"/>
      <c r="O42" s="390"/>
      <c r="P42" s="390"/>
      <c r="Q42" s="390"/>
      <c r="R42" s="390"/>
      <c r="S42" s="390"/>
      <c r="T42" s="390"/>
      <c r="U42" s="390"/>
      <c r="V42" s="390"/>
      <c r="W42" s="433"/>
      <c r="X42" s="434"/>
      <c r="Y42" s="435"/>
      <c r="Z42" s="436"/>
      <c r="AA42" s="413"/>
      <c r="AB42" s="414"/>
      <c r="AC42" s="415"/>
      <c r="AD42" s="416"/>
      <c r="AE42" s="413"/>
      <c r="AF42" s="414"/>
      <c r="AG42" s="415"/>
      <c r="AH42" s="416"/>
      <c r="AI42" s="413"/>
      <c r="AJ42" s="414"/>
      <c r="AK42" s="415"/>
      <c r="AL42" s="416"/>
      <c r="AM42" s="413"/>
      <c r="AN42" s="414"/>
      <c r="AO42" s="415"/>
      <c r="AP42" s="416"/>
      <c r="AQ42" s="423"/>
      <c r="AR42" s="424"/>
      <c r="AS42" s="424"/>
      <c r="AT42" s="424"/>
      <c r="AU42" s="424"/>
      <c r="AV42" s="425"/>
      <c r="AW42" s="482"/>
      <c r="AX42" s="481"/>
      <c r="AY42" s="377"/>
    </row>
    <row r="43" spans="2:51" ht="9.75" customHeight="1" x14ac:dyDescent="0.2">
      <c r="B43" s="7"/>
      <c r="C43" s="38"/>
      <c r="D43" s="22"/>
      <c r="E43" s="379"/>
      <c r="F43" s="379"/>
      <c r="G43" s="379"/>
      <c r="H43" s="379"/>
      <c r="I43" s="379"/>
      <c r="J43" s="380"/>
      <c r="K43" s="390"/>
      <c r="L43" s="390"/>
      <c r="M43" s="390"/>
      <c r="N43" s="390"/>
      <c r="O43" s="390"/>
      <c r="P43" s="390"/>
      <c r="Q43" s="390"/>
      <c r="R43" s="390"/>
      <c r="S43" s="390"/>
      <c r="T43" s="390"/>
      <c r="U43" s="390"/>
      <c r="V43" s="390"/>
      <c r="W43" s="437"/>
      <c r="X43" s="438"/>
      <c r="Y43" s="439"/>
      <c r="Z43" s="440"/>
      <c r="AA43" s="417"/>
      <c r="AB43" s="418"/>
      <c r="AC43" s="418"/>
      <c r="AD43" s="419"/>
      <c r="AE43" s="417"/>
      <c r="AF43" s="418"/>
      <c r="AG43" s="418"/>
      <c r="AH43" s="419"/>
      <c r="AI43" s="417"/>
      <c r="AJ43" s="418"/>
      <c r="AK43" s="418"/>
      <c r="AL43" s="419"/>
      <c r="AM43" s="417"/>
      <c r="AN43" s="418"/>
      <c r="AO43" s="418"/>
      <c r="AP43" s="419"/>
      <c r="AQ43" s="426"/>
      <c r="AR43" s="427"/>
      <c r="AS43" s="427"/>
      <c r="AT43" s="427"/>
      <c r="AU43" s="427"/>
      <c r="AV43" s="428"/>
      <c r="AW43" s="482"/>
      <c r="AX43" s="481"/>
      <c r="AY43" s="377"/>
    </row>
    <row r="44" spans="2:51" ht="8.1" customHeight="1" x14ac:dyDescent="0.2">
      <c r="B44" s="7"/>
      <c r="C44" s="38" t="b">
        <f>COUNTIF(C20:C43,TRUE)&gt;0</f>
        <v>0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8"/>
      <c r="AY44" s="9"/>
    </row>
    <row r="45" spans="2:51" ht="10.5" customHeight="1" x14ac:dyDescent="0.2">
      <c r="B45" s="7"/>
      <c r="C45" s="22"/>
      <c r="D45" s="8"/>
      <c r="E45" s="89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363" t="s">
        <v>3818</v>
      </c>
      <c r="AS45" s="364"/>
      <c r="AT45" s="365"/>
      <c r="AU45" s="365"/>
      <c r="AV45" s="366"/>
      <c r="AW45" s="8"/>
      <c r="AX45" s="8"/>
      <c r="AY45" s="9"/>
    </row>
    <row r="46" spans="2:51" ht="10.5" customHeight="1" x14ac:dyDescent="0.2">
      <c r="B46" s="7"/>
      <c r="C46" s="22"/>
      <c r="D46" s="8"/>
      <c r="E46" s="89" t="s">
        <v>1785</v>
      </c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367"/>
      <c r="AS46" s="368"/>
      <c r="AT46" s="368"/>
      <c r="AU46" s="368"/>
      <c r="AV46" s="369"/>
      <c r="AW46" s="8"/>
      <c r="AX46" s="8"/>
      <c r="AY46" s="9"/>
    </row>
    <row r="47" spans="2:51" ht="8.1" customHeight="1" x14ac:dyDescent="0.2"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9"/>
    </row>
    <row r="48" spans="2:51" ht="12" customHeight="1" x14ac:dyDescent="0.2">
      <c r="B48" s="7"/>
      <c r="C48" s="139" t="s">
        <v>4176</v>
      </c>
      <c r="D48" s="139"/>
      <c r="E48" s="139" t="s">
        <v>4177</v>
      </c>
      <c r="F48" s="139"/>
      <c r="G48" s="139" t="s">
        <v>4126</v>
      </c>
      <c r="H48" s="139"/>
      <c r="I48" s="139" t="s">
        <v>4178</v>
      </c>
      <c r="J48" s="139"/>
      <c r="K48" s="139" t="s">
        <v>4179</v>
      </c>
      <c r="L48" s="139"/>
      <c r="M48" s="139" t="s">
        <v>4180</v>
      </c>
      <c r="N48" s="139"/>
      <c r="O48" s="139" t="s">
        <v>4181</v>
      </c>
      <c r="P48" s="139"/>
      <c r="Q48" s="139" t="s">
        <v>4182</v>
      </c>
      <c r="R48" s="139"/>
      <c r="S48" s="139" t="s">
        <v>4183</v>
      </c>
      <c r="T48" s="139"/>
      <c r="U48" s="139" t="s">
        <v>4184</v>
      </c>
      <c r="V48" s="139"/>
      <c r="W48" s="139" t="s">
        <v>4185</v>
      </c>
      <c r="X48" s="139"/>
      <c r="Y48" s="139" t="s">
        <v>4186</v>
      </c>
      <c r="Z48" s="139"/>
      <c r="AA48" s="139" t="s">
        <v>1780</v>
      </c>
      <c r="AB48" s="139"/>
      <c r="AC48" s="139" t="s">
        <v>4187</v>
      </c>
      <c r="AD48" s="139"/>
      <c r="AE48" s="139" t="s">
        <v>1781</v>
      </c>
      <c r="AF48" s="139"/>
      <c r="AG48" s="139" t="s">
        <v>4188</v>
      </c>
      <c r="AH48" s="139"/>
      <c r="AI48" s="139" t="s">
        <v>4189</v>
      </c>
      <c r="AJ48" s="139"/>
      <c r="AK48" s="139" t="s">
        <v>4190</v>
      </c>
      <c r="AL48" s="139"/>
      <c r="AM48" s="139" t="s">
        <v>4191</v>
      </c>
      <c r="AN48" s="139"/>
      <c r="AO48" s="139" t="s">
        <v>4192</v>
      </c>
      <c r="AP48" s="139"/>
      <c r="AQ48" s="139" t="s">
        <v>4176</v>
      </c>
      <c r="AR48" s="139"/>
      <c r="AS48" s="139" t="s">
        <v>4177</v>
      </c>
      <c r="AT48" s="139"/>
      <c r="AU48" s="139" t="s">
        <v>4126</v>
      </c>
      <c r="AV48" s="139"/>
      <c r="AW48" s="139" t="s">
        <v>4178</v>
      </c>
      <c r="AX48" s="139"/>
      <c r="AY48" s="9"/>
    </row>
    <row r="49" spans="2:51" ht="12" customHeight="1" x14ac:dyDescent="0.2">
      <c r="B49" s="7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  <c r="AC49" s="139"/>
      <c r="AD49" s="139"/>
      <c r="AE49" s="139"/>
      <c r="AF49" s="139"/>
      <c r="AG49" s="139"/>
      <c r="AH49" s="139"/>
      <c r="AI49" s="139"/>
      <c r="AJ49" s="139"/>
      <c r="AK49" s="139"/>
      <c r="AL49" s="139"/>
      <c r="AM49" s="139"/>
      <c r="AN49" s="139"/>
      <c r="AO49" s="139"/>
      <c r="AP49" s="139"/>
      <c r="AQ49" s="139"/>
      <c r="AR49" s="139"/>
      <c r="AS49" s="139"/>
      <c r="AT49" s="139"/>
      <c r="AU49" s="139"/>
      <c r="AV49" s="139"/>
      <c r="AW49" s="139"/>
      <c r="AX49" s="139"/>
      <c r="AY49" s="9"/>
    </row>
    <row r="50" spans="2:51" ht="12" customHeight="1" x14ac:dyDescent="0.2"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9"/>
    </row>
    <row r="51" spans="2:51" ht="12" customHeight="1" x14ac:dyDescent="0.2">
      <c r="B51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51" s="11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3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5" t="str">
        <f ca="1">IF('MOD1'!$AY$49="","",'MOD1'!$AY$49)</f>
        <v>*Equipo de Gestión de la Información - EBR - Ministerio de Educación</v>
      </c>
    </row>
  </sheetData>
  <sheetProtection algorithmName="SHA-512" hashValue="v0lRkSWD7dOMY4ZoHE+BISEsFAvehFN2sP8rSWLGVBGPWrdK2VAAu0oz5/77/JfD2Qw/upkrM5p3HBXXDkchVw==" saltValue="R7RSEE37Oo36sIbj7WlHYw==" spinCount="100000" sheet="1" objects="1" scenarios="1"/>
  <mergeCells count="110">
    <mergeCell ref="AQ29:AV31"/>
    <mergeCell ref="W32:Z34"/>
    <mergeCell ref="AW38:AX40"/>
    <mergeCell ref="AW41:AX43"/>
    <mergeCell ref="AW32:AX34"/>
    <mergeCell ref="AW35:AX37"/>
    <mergeCell ref="AQ32:AV34"/>
    <mergeCell ref="AI17:AL19"/>
    <mergeCell ref="AM17:AP19"/>
    <mergeCell ref="AQ16:AV19"/>
    <mergeCell ref="AA16:AP16"/>
    <mergeCell ref="AW20:AX22"/>
    <mergeCell ref="AW23:AX25"/>
    <mergeCell ref="AW26:AX28"/>
    <mergeCell ref="AW29:AX31"/>
    <mergeCell ref="AE26:AH28"/>
    <mergeCell ref="AI26:AL28"/>
    <mergeCell ref="AM26:AP28"/>
    <mergeCell ref="AQ26:AV28"/>
    <mergeCell ref="AE23:AH25"/>
    <mergeCell ref="AI23:AL25"/>
    <mergeCell ref="AM23:AP25"/>
    <mergeCell ref="AE29:AH31"/>
    <mergeCell ref="W35:Z37"/>
    <mergeCell ref="W38:Z40"/>
    <mergeCell ref="AM29:AP31"/>
    <mergeCell ref="AI29:AL31"/>
    <mergeCell ref="W20:Z22"/>
    <mergeCell ref="W16:Z19"/>
    <mergeCell ref="E16:V19"/>
    <mergeCell ref="AA26:AD28"/>
    <mergeCell ref="AA23:AD25"/>
    <mergeCell ref="AA29:AD31"/>
    <mergeCell ref="AA17:AD19"/>
    <mergeCell ref="W23:Z25"/>
    <mergeCell ref="W26:Z28"/>
    <mergeCell ref="W29:Z31"/>
    <mergeCell ref="AE17:AH19"/>
    <mergeCell ref="AI48:AJ49"/>
    <mergeCell ref="AK48:AL49"/>
    <mergeCell ref="AA32:AD34"/>
    <mergeCell ref="AE32:AH34"/>
    <mergeCell ref="AI32:AL34"/>
    <mergeCell ref="AM32:AP34"/>
    <mergeCell ref="AQ23:AV25"/>
    <mergeCell ref="AA20:AD22"/>
    <mergeCell ref="AQ20:AV22"/>
    <mergeCell ref="AE20:AH22"/>
    <mergeCell ref="AI20:AL22"/>
    <mergeCell ref="AM20:AP22"/>
    <mergeCell ref="AR45:AV46"/>
    <mergeCell ref="AE35:AH37"/>
    <mergeCell ref="AI35:AL37"/>
    <mergeCell ref="AM35:AP37"/>
    <mergeCell ref="AQ35:AV37"/>
    <mergeCell ref="AA41:AD43"/>
    <mergeCell ref="AE41:AH43"/>
    <mergeCell ref="AI41:AL43"/>
    <mergeCell ref="AM41:AP43"/>
    <mergeCell ref="AQ41:AV43"/>
    <mergeCell ref="AA38:AD40"/>
    <mergeCell ref="AE38:AH40"/>
    <mergeCell ref="C9:AX10"/>
    <mergeCell ref="D11:AW13"/>
    <mergeCell ref="Y48:Z49"/>
    <mergeCell ref="C48:D49"/>
    <mergeCell ref="E48:F49"/>
    <mergeCell ref="G48:H49"/>
    <mergeCell ref="I48:J49"/>
    <mergeCell ref="K48:L49"/>
    <mergeCell ref="M48:N49"/>
    <mergeCell ref="O48:P49"/>
    <mergeCell ref="Q48:R49"/>
    <mergeCell ref="S48:T49"/>
    <mergeCell ref="U48:V49"/>
    <mergeCell ref="W48:X49"/>
    <mergeCell ref="AW48:AX49"/>
    <mergeCell ref="AA48:AB49"/>
    <mergeCell ref="AM48:AN49"/>
    <mergeCell ref="AO48:AP49"/>
    <mergeCell ref="AQ48:AR49"/>
    <mergeCell ref="AS48:AT49"/>
    <mergeCell ref="AU48:AV49"/>
    <mergeCell ref="AC48:AD49"/>
    <mergeCell ref="AE48:AF49"/>
    <mergeCell ref="AG48:AH49"/>
    <mergeCell ref="AY20:AY22"/>
    <mergeCell ref="AY23:AY25"/>
    <mergeCell ref="AY26:AY28"/>
    <mergeCell ref="AY29:AY31"/>
    <mergeCell ref="AY32:AY34"/>
    <mergeCell ref="AY35:AY37"/>
    <mergeCell ref="AY38:AY40"/>
    <mergeCell ref="AY41:AY43"/>
    <mergeCell ref="E41:J43"/>
    <mergeCell ref="E38:J40"/>
    <mergeCell ref="E35:J37"/>
    <mergeCell ref="K41:V43"/>
    <mergeCell ref="K38:V40"/>
    <mergeCell ref="E20:V22"/>
    <mergeCell ref="E23:V25"/>
    <mergeCell ref="E26:V28"/>
    <mergeCell ref="E29:V31"/>
    <mergeCell ref="E32:V34"/>
    <mergeCell ref="AI38:AL40"/>
    <mergeCell ref="AM38:AP40"/>
    <mergeCell ref="AQ38:AV40"/>
    <mergeCell ref="W41:Z43"/>
    <mergeCell ref="K35:V37"/>
    <mergeCell ref="AA35:AD37"/>
  </mergeCells>
  <conditionalFormatting sqref="AQ20:AV37">
    <cfRule type="expression" dxfId="114" priority="11">
      <formula>AQ20="Ingrese nombre"&amp;CHAR(10)&amp;"del proyecto"</formula>
    </cfRule>
    <cfRule type="cellIs" dxfId="113" priority="24" operator="equal">
      <formula>""</formula>
    </cfRule>
  </conditionalFormatting>
  <conditionalFormatting sqref="AA20:AV37">
    <cfRule type="expression" dxfId="112" priority="44">
      <formula>$W20&lt;&gt;"SI"</formula>
    </cfRule>
  </conditionalFormatting>
  <conditionalFormatting sqref="AE17:AP37">
    <cfRule type="expression" dxfId="111" priority="18">
      <formula>IF(COUNTIF($W$20:$Z$43,"SI")=0,1,0)</formula>
    </cfRule>
  </conditionalFormatting>
  <conditionalFormatting sqref="AQ16:AV37">
    <cfRule type="expression" dxfId="110" priority="17">
      <formula>IF(COUNTIF($W$20:$Z$43,"SI")=0,1,0)</formula>
    </cfRule>
  </conditionalFormatting>
  <conditionalFormatting sqref="AA16:AP16">
    <cfRule type="expression" dxfId="109" priority="16">
      <formula>IF(COUNTIF($W$20:$Z$43,"SI")=0,1,0)</formula>
    </cfRule>
  </conditionalFormatting>
  <conditionalFormatting sqref="AA17:AD37">
    <cfRule type="expression" dxfId="108" priority="15">
      <formula>IF(COUNTIF($W$20:$Z$43,"SI")=0,1,0)</formula>
    </cfRule>
  </conditionalFormatting>
  <conditionalFormatting sqref="AQ38:AV43">
    <cfRule type="expression" dxfId="107" priority="4">
      <formula>AQ38="Ingrese nombre"&amp;CHAR(10)&amp;"del proyecto"</formula>
    </cfRule>
    <cfRule type="cellIs" dxfId="106" priority="8" operator="equal">
      <formula>""</formula>
    </cfRule>
  </conditionalFormatting>
  <conditionalFormatting sqref="AA38:AV43">
    <cfRule type="expression" dxfId="105" priority="9">
      <formula>$W38&lt;&gt;"SI"</formula>
    </cfRule>
  </conditionalFormatting>
  <conditionalFormatting sqref="AE38:AP43">
    <cfRule type="expression" dxfId="104" priority="7">
      <formula>IF(COUNTIF($W$20:$Z$43,"SI")=0,1,0)</formula>
    </cfRule>
  </conditionalFormatting>
  <conditionalFormatting sqref="AQ38:AV43">
    <cfRule type="expression" dxfId="103" priority="6">
      <formula>IF(COUNTIF($W$20:$Z$43,"SI")=0,1,0)</formula>
    </cfRule>
  </conditionalFormatting>
  <conditionalFormatting sqref="AA38:AD43">
    <cfRule type="expression" dxfId="102" priority="5">
      <formula>IF(COUNTIF($W$20:$Z$43,"SI")=0,1,0)</formula>
    </cfRule>
  </conditionalFormatting>
  <conditionalFormatting sqref="C48:AX49">
    <cfRule type="expression" dxfId="101" priority="1">
      <formula>IF(CODE(C48)=38,1,0)</formula>
    </cfRule>
    <cfRule type="expression" dxfId="100" priority="2">
      <formula>IF(CODE(C48)=37,1,0)</formula>
    </cfRule>
    <cfRule type="expression" dxfId="99" priority="3">
      <formula>IF(OR(CODE(C48)=143,CODE(C48)=167,CODE(C48)=168,CODE(C48)=254),1,0)</formula>
    </cfRule>
  </conditionalFormatting>
  <dataValidations xWindow="532" yWindow="565" count="9">
    <dataValidation allowBlank="1" showInputMessage="1" showErrorMessage="1" promptTitle="PEAI" prompt="Se propone la ejecución de PEAI conla participación de directivos, docentes, estudiantes, personal administrativo, padres y madres de familia, y en unión con otras personas y organizaciones de la comunidad." sqref="C9:AX13"/>
    <dataValidation allowBlank="1" showInputMessage="1" showErrorMessage="1" promptTitle="EsVi" prompt="Potencia las áreas verdes creadas y/o espacios naturales recuperados o conservados y su valoración, dentro o fuera de la IE, a través de su uso como recurso pedagógico, con la apropiación y la participación protagónica de niñ@s para afianzar conciencia." sqref="E20:M22"/>
    <dataValidation allowBlank="1" showInputMessage="1" showErrorMessage="1" promptTitle="MARES" prompt="Busca generar en l@s alumn@s una conciencia crítica acerca del impacto que tienen los residuos sólidos, y como aminorar, impulsando 3R (reducir, reusar y reciclar) y la toma de conciencia sobre los patones de producción y consumo de IIEE y de la sociedad." sqref="E23:M25"/>
    <dataValidation allowBlank="1" showInputMessage="1" showErrorMessage="1" promptTitle="VIVE" prompt="Valora la biodiversidad y uso de áreas naturales, así las protegidas, como recursos pedagógico para la mejora del rendimiento académico, las capacidades de creatividad, investigación cientifica y fortalecimiento de vínculos con la comunidad." sqref="E26:M28"/>
    <dataValidation allowBlank="1" showInputMessage="1" showErrorMessage="1" promptTitle="GLOBE Perú" prompt="Promueve la indagación científica y monitoreo en relación al cambio y la variabilidad climática y busca posicionar la perspectiva de &quot;glocalidad&quot; desde la escuela." sqref="E29:M31"/>
    <dataValidation allowBlank="1" showInputMessage="1" showErrorMessage="1" promptTitle="Mi Huella" prompt="Busca que se mida y reduzca la huella de carbono personal y de la IIEE, tomando conciencia del impacto de sus acciones y estilos de vida en el nivel de emisiones de Gases de Efecto Invernadero (GEI) en la atmósfera y las consecuencias del cambio climático" sqref="E32:M34"/>
    <dataValidation allowBlank="1" showInputMessage="1" showErrorMessage="1" promptTitle="Mi proyecto como IIEE" prompt="Otro proyecto." sqref="E35:J43"/>
    <dataValidation allowBlank="1" showInputMessage="1" showErrorMessage="1" promptTitle="Ingrese" prompt="De ser el caso coloque el nombre del proyecto." sqref="K35:V43"/>
    <dataValidation type="list" allowBlank="1" showInputMessage="1" showErrorMessage="1" errorTitle="Mensaje de validación" error="Solo se permite datos de la lista desplegable._x000a__x000a_Intente de nuevo." promptTitle="Seleccionar" prompt="SI o NO" sqref="W20:AP43">
      <formula1>"SI, NO"</formula1>
    </dataValidation>
  </dataValidations>
  <printOptions horizontalCentered="1" verticalCentered="1"/>
  <pageMargins left="0" right="0" top="0.39370078740157483" bottom="0.39370078740157483" header="0.19685039370078741" footer="0.19685039370078741"/>
  <pageSetup paperSize="9" scale="98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00FF"/>
    <pageSetUpPr fitToPage="1"/>
  </sheetPr>
  <dimension ref="A1:AY49"/>
  <sheetViews>
    <sheetView showGridLines="0" showRowColHeaders="0" zoomScaleNormal="100" workbookViewId="0">
      <selection activeCell="C46" sqref="C46:AX47"/>
    </sheetView>
  </sheetViews>
  <sheetFormatPr baseColWidth="10" defaultColWidth="2.7109375" defaultRowHeight="12" customHeight="1" x14ac:dyDescent="0.2"/>
  <cols>
    <col min="1" max="1" width="2.7109375" style="36" customWidth="1"/>
    <col min="2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10.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10.5" customHeight="1" x14ac:dyDescent="0.2">
      <c r="B9" s="7"/>
      <c r="C9" s="8"/>
      <c r="D9" s="490" t="s">
        <v>3720</v>
      </c>
      <c r="E9" s="491"/>
      <c r="F9" s="491"/>
      <c r="G9" s="491"/>
      <c r="H9" s="491"/>
      <c r="I9" s="491"/>
      <c r="J9" s="491"/>
      <c r="K9" s="491"/>
      <c r="L9" s="491"/>
      <c r="M9" s="491"/>
      <c r="N9" s="491"/>
      <c r="O9" s="491"/>
      <c r="P9" s="491"/>
      <c r="Q9" s="491"/>
      <c r="R9" s="491"/>
      <c r="S9" s="491"/>
      <c r="T9" s="491"/>
      <c r="U9" s="491"/>
      <c r="V9" s="491"/>
      <c r="W9" s="491"/>
      <c r="X9" s="491"/>
      <c r="Y9" s="491"/>
      <c r="Z9" s="491"/>
      <c r="AA9" s="491"/>
      <c r="AB9" s="491"/>
      <c r="AC9" s="491"/>
      <c r="AD9" s="491"/>
      <c r="AE9" s="491"/>
      <c r="AF9" s="491"/>
      <c r="AG9" s="491"/>
      <c r="AH9" s="491"/>
      <c r="AI9" s="491"/>
      <c r="AJ9" s="491"/>
      <c r="AK9" s="491"/>
      <c r="AL9" s="491"/>
      <c r="AM9" s="491"/>
      <c r="AN9" s="491"/>
      <c r="AO9" s="491"/>
      <c r="AP9" s="491"/>
      <c r="AQ9" s="491"/>
      <c r="AR9" s="491"/>
      <c r="AS9" s="491"/>
      <c r="AT9" s="491"/>
      <c r="AU9" s="491"/>
      <c r="AV9" s="491"/>
      <c r="AW9" s="491"/>
      <c r="AX9" s="8"/>
      <c r="AY9" s="9"/>
    </row>
    <row r="10" spans="1:51" ht="10.5" customHeight="1" x14ac:dyDescent="0.2">
      <c r="B10" s="7"/>
      <c r="C10" s="8"/>
      <c r="D10" s="491"/>
      <c r="E10" s="491"/>
      <c r="F10" s="491"/>
      <c r="G10" s="491"/>
      <c r="H10" s="491"/>
      <c r="I10" s="491"/>
      <c r="J10" s="491"/>
      <c r="K10" s="491"/>
      <c r="L10" s="491"/>
      <c r="M10" s="491"/>
      <c r="N10" s="491"/>
      <c r="O10" s="491"/>
      <c r="P10" s="491"/>
      <c r="Q10" s="491"/>
      <c r="R10" s="491"/>
      <c r="S10" s="491"/>
      <c r="T10" s="491"/>
      <c r="U10" s="491"/>
      <c r="V10" s="491"/>
      <c r="W10" s="491"/>
      <c r="X10" s="491"/>
      <c r="Y10" s="491"/>
      <c r="Z10" s="491"/>
      <c r="AA10" s="491"/>
      <c r="AB10" s="491"/>
      <c r="AC10" s="491"/>
      <c r="AD10" s="491"/>
      <c r="AE10" s="491"/>
      <c r="AF10" s="491"/>
      <c r="AG10" s="491"/>
      <c r="AH10" s="491"/>
      <c r="AI10" s="491"/>
      <c r="AJ10" s="491"/>
      <c r="AK10" s="491"/>
      <c r="AL10" s="491"/>
      <c r="AM10" s="491"/>
      <c r="AN10" s="491"/>
      <c r="AO10" s="491"/>
      <c r="AP10" s="491"/>
      <c r="AQ10" s="491"/>
      <c r="AR10" s="491"/>
      <c r="AS10" s="491"/>
      <c r="AT10" s="491"/>
      <c r="AU10" s="491"/>
      <c r="AV10" s="491"/>
      <c r="AW10" s="491"/>
      <c r="AX10" s="8"/>
      <c r="AY10" s="9"/>
    </row>
    <row r="11" spans="1:51" ht="10.5" customHeight="1" x14ac:dyDescent="0.2">
      <c r="B11" s="7"/>
      <c r="C11" s="8"/>
      <c r="D11" s="492"/>
      <c r="E11" s="492"/>
      <c r="F11" s="492"/>
      <c r="G11" s="492"/>
      <c r="H11" s="492"/>
      <c r="I11" s="492"/>
      <c r="J11" s="492"/>
      <c r="K11" s="492"/>
      <c r="L11" s="492"/>
      <c r="M11" s="492"/>
      <c r="N11" s="492"/>
      <c r="O11" s="492"/>
      <c r="P11" s="492"/>
      <c r="Q11" s="492"/>
      <c r="R11" s="492"/>
      <c r="S11" s="492"/>
      <c r="T11" s="492"/>
      <c r="U11" s="492"/>
      <c r="V11" s="492"/>
      <c r="W11" s="492"/>
      <c r="X11" s="492"/>
      <c r="Y11" s="492"/>
      <c r="Z11" s="492"/>
      <c r="AA11" s="492"/>
      <c r="AB11" s="492"/>
      <c r="AC11" s="492"/>
      <c r="AD11" s="492"/>
      <c r="AE11" s="492"/>
      <c r="AF11" s="492"/>
      <c r="AG11" s="492"/>
      <c r="AH11" s="492"/>
      <c r="AI11" s="492"/>
      <c r="AJ11" s="492"/>
      <c r="AK11" s="492"/>
      <c r="AL11" s="492"/>
      <c r="AM11" s="492"/>
      <c r="AN11" s="492"/>
      <c r="AO11" s="492"/>
      <c r="AP11" s="492"/>
      <c r="AQ11" s="492"/>
      <c r="AR11" s="492"/>
      <c r="AS11" s="492"/>
      <c r="AT11" s="492"/>
      <c r="AU11" s="492"/>
      <c r="AV11" s="492"/>
      <c r="AW11" s="492"/>
      <c r="AX11" s="8"/>
      <c r="AY11" s="9"/>
    </row>
    <row r="12" spans="1:51" ht="8.1" customHeight="1" x14ac:dyDescent="0.2">
      <c r="B12" s="7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9"/>
    </row>
    <row r="13" spans="1:51" ht="14.1" customHeight="1" x14ac:dyDescent="0.2">
      <c r="B13" s="7"/>
      <c r="C13" s="8"/>
      <c r="D13" s="526" t="s">
        <v>0</v>
      </c>
      <c r="E13" s="455"/>
      <c r="F13" s="526" t="s">
        <v>3714</v>
      </c>
      <c r="G13" s="454"/>
      <c r="H13" s="454"/>
      <c r="I13" s="454"/>
      <c r="J13" s="455"/>
      <c r="K13" s="526" t="s">
        <v>3715</v>
      </c>
      <c r="L13" s="454"/>
      <c r="M13" s="454"/>
      <c r="N13" s="455"/>
      <c r="O13" s="526" t="s">
        <v>3678</v>
      </c>
      <c r="P13" s="454"/>
      <c r="Q13" s="454"/>
      <c r="R13" s="454"/>
      <c r="S13" s="454"/>
      <c r="T13" s="454"/>
      <c r="U13" s="454"/>
      <c r="V13" s="454"/>
      <c r="W13" s="455"/>
      <c r="X13" s="526" t="s">
        <v>3679</v>
      </c>
      <c r="Y13" s="454"/>
      <c r="Z13" s="454"/>
      <c r="AA13" s="454"/>
      <c r="AB13" s="454"/>
      <c r="AC13" s="454"/>
      <c r="AD13" s="454"/>
      <c r="AE13" s="455"/>
      <c r="AF13" s="526" t="s">
        <v>3716</v>
      </c>
      <c r="AG13" s="454"/>
      <c r="AH13" s="454"/>
      <c r="AI13" s="455"/>
      <c r="AJ13" s="526" t="s">
        <v>3717</v>
      </c>
      <c r="AK13" s="454"/>
      <c r="AL13" s="454"/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5"/>
      <c r="AX13" s="8"/>
      <c r="AY13" s="9"/>
    </row>
    <row r="14" spans="1:51" ht="14.1" customHeight="1" x14ac:dyDescent="0.2">
      <c r="B14" s="7"/>
      <c r="C14" s="8"/>
      <c r="D14" s="527"/>
      <c r="E14" s="463"/>
      <c r="F14" s="527"/>
      <c r="G14" s="462"/>
      <c r="H14" s="462"/>
      <c r="I14" s="462"/>
      <c r="J14" s="463"/>
      <c r="K14" s="527"/>
      <c r="L14" s="462"/>
      <c r="M14" s="462"/>
      <c r="N14" s="463"/>
      <c r="O14" s="527"/>
      <c r="P14" s="462"/>
      <c r="Q14" s="462"/>
      <c r="R14" s="462"/>
      <c r="S14" s="462"/>
      <c r="T14" s="462"/>
      <c r="U14" s="462"/>
      <c r="V14" s="462"/>
      <c r="W14" s="463"/>
      <c r="X14" s="527"/>
      <c r="Y14" s="462"/>
      <c r="Z14" s="462"/>
      <c r="AA14" s="462"/>
      <c r="AB14" s="462"/>
      <c r="AC14" s="462"/>
      <c r="AD14" s="462"/>
      <c r="AE14" s="463"/>
      <c r="AF14" s="527"/>
      <c r="AG14" s="462"/>
      <c r="AH14" s="462"/>
      <c r="AI14" s="463"/>
      <c r="AJ14" s="527"/>
      <c r="AK14" s="462"/>
      <c r="AL14" s="462"/>
      <c r="AM14" s="462"/>
      <c r="AN14" s="462"/>
      <c r="AO14" s="462"/>
      <c r="AP14" s="462"/>
      <c r="AQ14" s="462"/>
      <c r="AR14" s="462"/>
      <c r="AS14" s="462"/>
      <c r="AT14" s="462"/>
      <c r="AU14" s="462"/>
      <c r="AV14" s="462"/>
      <c r="AW14" s="463"/>
      <c r="AX14" s="8"/>
      <c r="AY14" s="9"/>
    </row>
    <row r="15" spans="1:51" ht="10.5" customHeight="1" x14ac:dyDescent="0.2">
      <c r="B15" s="7"/>
      <c r="C15" s="8"/>
      <c r="D15" s="493">
        <v>1</v>
      </c>
      <c r="E15" s="494"/>
      <c r="F15" s="384" t="s">
        <v>3718</v>
      </c>
      <c r="G15" s="394"/>
      <c r="H15" s="394"/>
      <c r="I15" s="394"/>
      <c r="J15" s="528"/>
      <c r="K15" s="503"/>
      <c r="L15" s="504"/>
      <c r="M15" s="504"/>
      <c r="N15" s="505"/>
      <c r="O15" s="497"/>
      <c r="P15" s="509"/>
      <c r="Q15" s="509"/>
      <c r="R15" s="509"/>
      <c r="S15" s="509"/>
      <c r="T15" s="509"/>
      <c r="U15" s="509"/>
      <c r="V15" s="509"/>
      <c r="W15" s="510"/>
      <c r="X15" s="497"/>
      <c r="Y15" s="509"/>
      <c r="Z15" s="509"/>
      <c r="AA15" s="509"/>
      <c r="AB15" s="509"/>
      <c r="AC15" s="509"/>
      <c r="AD15" s="509"/>
      <c r="AE15" s="510"/>
      <c r="AF15" s="514"/>
      <c r="AG15" s="515"/>
      <c r="AH15" s="515"/>
      <c r="AI15" s="516"/>
      <c r="AJ15" s="520"/>
      <c r="AK15" s="521"/>
      <c r="AL15" s="521"/>
      <c r="AM15" s="521"/>
      <c r="AN15" s="521"/>
      <c r="AO15" s="521"/>
      <c r="AP15" s="521"/>
      <c r="AQ15" s="521"/>
      <c r="AR15" s="521"/>
      <c r="AS15" s="521"/>
      <c r="AT15" s="521"/>
      <c r="AU15" s="521"/>
      <c r="AV15" s="521"/>
      <c r="AW15" s="522"/>
      <c r="AX15" s="8"/>
      <c r="AY15" s="9"/>
    </row>
    <row r="16" spans="1:51" ht="10.5" customHeight="1" x14ac:dyDescent="0.2">
      <c r="B16" s="7"/>
      <c r="C16" s="8"/>
      <c r="D16" s="495"/>
      <c r="E16" s="496"/>
      <c r="F16" s="529"/>
      <c r="G16" s="404"/>
      <c r="H16" s="404"/>
      <c r="I16" s="404"/>
      <c r="J16" s="530"/>
      <c r="K16" s="506"/>
      <c r="L16" s="507"/>
      <c r="M16" s="507"/>
      <c r="N16" s="508"/>
      <c r="O16" s="511"/>
      <c r="P16" s="512"/>
      <c r="Q16" s="512"/>
      <c r="R16" s="512"/>
      <c r="S16" s="512"/>
      <c r="T16" s="512"/>
      <c r="U16" s="512"/>
      <c r="V16" s="512"/>
      <c r="W16" s="513"/>
      <c r="X16" s="511"/>
      <c r="Y16" s="512"/>
      <c r="Z16" s="512"/>
      <c r="AA16" s="512"/>
      <c r="AB16" s="512"/>
      <c r="AC16" s="512"/>
      <c r="AD16" s="512"/>
      <c r="AE16" s="513"/>
      <c r="AF16" s="517"/>
      <c r="AG16" s="518"/>
      <c r="AH16" s="518"/>
      <c r="AI16" s="519"/>
      <c r="AJ16" s="523"/>
      <c r="AK16" s="524"/>
      <c r="AL16" s="524"/>
      <c r="AM16" s="524"/>
      <c r="AN16" s="524"/>
      <c r="AO16" s="524"/>
      <c r="AP16" s="524"/>
      <c r="AQ16" s="524"/>
      <c r="AR16" s="524"/>
      <c r="AS16" s="524"/>
      <c r="AT16" s="524"/>
      <c r="AU16" s="524"/>
      <c r="AV16" s="524"/>
      <c r="AW16" s="525"/>
      <c r="AX16" s="8"/>
      <c r="AY16" s="9"/>
    </row>
    <row r="17" spans="2:51" ht="10.5" customHeight="1" x14ac:dyDescent="0.2">
      <c r="B17" s="7"/>
      <c r="C17" s="8"/>
      <c r="D17" s="493">
        <f>D15+1</f>
        <v>2</v>
      </c>
      <c r="E17" s="494"/>
      <c r="F17" s="384" t="s">
        <v>3719</v>
      </c>
      <c r="G17" s="394"/>
      <c r="H17" s="394"/>
      <c r="I17" s="394"/>
      <c r="J17" s="528"/>
      <c r="K17" s="503"/>
      <c r="L17" s="504"/>
      <c r="M17" s="504"/>
      <c r="N17" s="505"/>
      <c r="O17" s="497"/>
      <c r="P17" s="509"/>
      <c r="Q17" s="509"/>
      <c r="R17" s="509"/>
      <c r="S17" s="509"/>
      <c r="T17" s="509"/>
      <c r="U17" s="509"/>
      <c r="V17" s="509"/>
      <c r="W17" s="510"/>
      <c r="X17" s="497"/>
      <c r="Y17" s="509"/>
      <c r="Z17" s="509"/>
      <c r="AA17" s="509"/>
      <c r="AB17" s="509"/>
      <c r="AC17" s="509"/>
      <c r="AD17" s="509"/>
      <c r="AE17" s="510"/>
      <c r="AF17" s="514"/>
      <c r="AG17" s="515"/>
      <c r="AH17" s="515"/>
      <c r="AI17" s="516"/>
      <c r="AJ17" s="520"/>
      <c r="AK17" s="521"/>
      <c r="AL17" s="521"/>
      <c r="AM17" s="521"/>
      <c r="AN17" s="521"/>
      <c r="AO17" s="521"/>
      <c r="AP17" s="521"/>
      <c r="AQ17" s="521"/>
      <c r="AR17" s="521"/>
      <c r="AS17" s="521"/>
      <c r="AT17" s="521"/>
      <c r="AU17" s="521"/>
      <c r="AV17" s="521"/>
      <c r="AW17" s="522"/>
      <c r="AX17" s="8"/>
      <c r="AY17" s="9"/>
    </row>
    <row r="18" spans="2:51" ht="10.5" customHeight="1" x14ac:dyDescent="0.2">
      <c r="B18" s="7"/>
      <c r="C18" s="8"/>
      <c r="D18" s="495"/>
      <c r="E18" s="496"/>
      <c r="F18" s="529"/>
      <c r="G18" s="404"/>
      <c r="H18" s="404"/>
      <c r="I18" s="404"/>
      <c r="J18" s="530"/>
      <c r="K18" s="506"/>
      <c r="L18" s="507"/>
      <c r="M18" s="507"/>
      <c r="N18" s="508"/>
      <c r="O18" s="511"/>
      <c r="P18" s="512"/>
      <c r="Q18" s="512"/>
      <c r="R18" s="512"/>
      <c r="S18" s="512"/>
      <c r="T18" s="512"/>
      <c r="U18" s="512"/>
      <c r="V18" s="512"/>
      <c r="W18" s="513"/>
      <c r="X18" s="511"/>
      <c r="Y18" s="512"/>
      <c r="Z18" s="512"/>
      <c r="AA18" s="512"/>
      <c r="AB18" s="512"/>
      <c r="AC18" s="512"/>
      <c r="AD18" s="512"/>
      <c r="AE18" s="513"/>
      <c r="AF18" s="517"/>
      <c r="AG18" s="518"/>
      <c r="AH18" s="518"/>
      <c r="AI18" s="519"/>
      <c r="AJ18" s="523"/>
      <c r="AK18" s="524"/>
      <c r="AL18" s="524"/>
      <c r="AM18" s="524"/>
      <c r="AN18" s="524"/>
      <c r="AO18" s="524"/>
      <c r="AP18" s="524"/>
      <c r="AQ18" s="524"/>
      <c r="AR18" s="524"/>
      <c r="AS18" s="524"/>
      <c r="AT18" s="524"/>
      <c r="AU18" s="524"/>
      <c r="AV18" s="524"/>
      <c r="AW18" s="525"/>
      <c r="AX18" s="8"/>
      <c r="AY18" s="9"/>
    </row>
    <row r="19" spans="2:51" ht="10.5" customHeight="1" x14ac:dyDescent="0.2">
      <c r="B19" s="7"/>
      <c r="C19" s="8"/>
      <c r="D19" s="493">
        <f>D17+1</f>
        <v>3</v>
      </c>
      <c r="E19" s="494"/>
      <c r="F19" s="497"/>
      <c r="G19" s="498"/>
      <c r="H19" s="498"/>
      <c r="I19" s="498"/>
      <c r="J19" s="499"/>
      <c r="K19" s="503"/>
      <c r="L19" s="504"/>
      <c r="M19" s="504"/>
      <c r="N19" s="505"/>
      <c r="O19" s="497"/>
      <c r="P19" s="509"/>
      <c r="Q19" s="509"/>
      <c r="R19" s="509"/>
      <c r="S19" s="509"/>
      <c r="T19" s="509"/>
      <c r="U19" s="509"/>
      <c r="V19" s="509"/>
      <c r="W19" s="510"/>
      <c r="X19" s="497"/>
      <c r="Y19" s="509"/>
      <c r="Z19" s="509"/>
      <c r="AA19" s="509"/>
      <c r="AB19" s="509"/>
      <c r="AC19" s="509"/>
      <c r="AD19" s="509"/>
      <c r="AE19" s="510"/>
      <c r="AF19" s="514"/>
      <c r="AG19" s="515"/>
      <c r="AH19" s="515"/>
      <c r="AI19" s="516"/>
      <c r="AJ19" s="520"/>
      <c r="AK19" s="521"/>
      <c r="AL19" s="521"/>
      <c r="AM19" s="521"/>
      <c r="AN19" s="521"/>
      <c r="AO19" s="521"/>
      <c r="AP19" s="521"/>
      <c r="AQ19" s="521"/>
      <c r="AR19" s="521"/>
      <c r="AS19" s="521"/>
      <c r="AT19" s="521"/>
      <c r="AU19" s="521"/>
      <c r="AV19" s="521"/>
      <c r="AW19" s="522"/>
      <c r="AX19" s="8"/>
      <c r="AY19" s="9"/>
    </row>
    <row r="20" spans="2:51" ht="10.5" customHeight="1" x14ac:dyDescent="0.2">
      <c r="B20" s="7"/>
      <c r="C20" s="8"/>
      <c r="D20" s="495"/>
      <c r="E20" s="496"/>
      <c r="F20" s="500"/>
      <c r="G20" s="501"/>
      <c r="H20" s="501"/>
      <c r="I20" s="501"/>
      <c r="J20" s="502"/>
      <c r="K20" s="506"/>
      <c r="L20" s="507"/>
      <c r="M20" s="507"/>
      <c r="N20" s="508"/>
      <c r="O20" s="511"/>
      <c r="P20" s="512"/>
      <c r="Q20" s="512"/>
      <c r="R20" s="512"/>
      <c r="S20" s="512"/>
      <c r="T20" s="512"/>
      <c r="U20" s="512"/>
      <c r="V20" s="512"/>
      <c r="W20" s="513"/>
      <c r="X20" s="511"/>
      <c r="Y20" s="512"/>
      <c r="Z20" s="512"/>
      <c r="AA20" s="512"/>
      <c r="AB20" s="512"/>
      <c r="AC20" s="512"/>
      <c r="AD20" s="512"/>
      <c r="AE20" s="513"/>
      <c r="AF20" s="517"/>
      <c r="AG20" s="518"/>
      <c r="AH20" s="518"/>
      <c r="AI20" s="519"/>
      <c r="AJ20" s="523"/>
      <c r="AK20" s="524"/>
      <c r="AL20" s="524"/>
      <c r="AM20" s="524"/>
      <c r="AN20" s="524"/>
      <c r="AO20" s="524"/>
      <c r="AP20" s="524"/>
      <c r="AQ20" s="524"/>
      <c r="AR20" s="524"/>
      <c r="AS20" s="524"/>
      <c r="AT20" s="524"/>
      <c r="AU20" s="524"/>
      <c r="AV20" s="524"/>
      <c r="AW20" s="525"/>
      <c r="AX20" s="8"/>
      <c r="AY20" s="9"/>
    </row>
    <row r="21" spans="2:51" ht="10.5" customHeight="1" x14ac:dyDescent="0.2">
      <c r="B21" s="7"/>
      <c r="C21" s="8"/>
      <c r="D21" s="493">
        <f>D19+1</f>
        <v>4</v>
      </c>
      <c r="E21" s="494"/>
      <c r="F21" s="497"/>
      <c r="G21" s="498"/>
      <c r="H21" s="498"/>
      <c r="I21" s="498"/>
      <c r="J21" s="499"/>
      <c r="K21" s="503"/>
      <c r="L21" s="504"/>
      <c r="M21" s="504"/>
      <c r="N21" s="505"/>
      <c r="O21" s="497"/>
      <c r="P21" s="509"/>
      <c r="Q21" s="509"/>
      <c r="R21" s="509"/>
      <c r="S21" s="509"/>
      <c r="T21" s="509"/>
      <c r="U21" s="509"/>
      <c r="V21" s="509"/>
      <c r="W21" s="510"/>
      <c r="X21" s="497"/>
      <c r="Y21" s="509"/>
      <c r="Z21" s="509"/>
      <c r="AA21" s="509"/>
      <c r="AB21" s="509"/>
      <c r="AC21" s="509"/>
      <c r="AD21" s="509"/>
      <c r="AE21" s="510"/>
      <c r="AF21" s="514"/>
      <c r="AG21" s="515"/>
      <c r="AH21" s="515"/>
      <c r="AI21" s="516"/>
      <c r="AJ21" s="520"/>
      <c r="AK21" s="521"/>
      <c r="AL21" s="521"/>
      <c r="AM21" s="521"/>
      <c r="AN21" s="521"/>
      <c r="AO21" s="521"/>
      <c r="AP21" s="521"/>
      <c r="AQ21" s="521"/>
      <c r="AR21" s="521"/>
      <c r="AS21" s="521"/>
      <c r="AT21" s="521"/>
      <c r="AU21" s="521"/>
      <c r="AV21" s="521"/>
      <c r="AW21" s="522"/>
      <c r="AX21" s="8"/>
      <c r="AY21" s="9"/>
    </row>
    <row r="22" spans="2:51" ht="10.5" customHeight="1" x14ac:dyDescent="0.2">
      <c r="B22" s="7"/>
      <c r="C22" s="8"/>
      <c r="D22" s="495"/>
      <c r="E22" s="496"/>
      <c r="F22" s="500"/>
      <c r="G22" s="501"/>
      <c r="H22" s="501"/>
      <c r="I22" s="501"/>
      <c r="J22" s="502"/>
      <c r="K22" s="506"/>
      <c r="L22" s="507"/>
      <c r="M22" s="507"/>
      <c r="N22" s="508"/>
      <c r="O22" s="511"/>
      <c r="P22" s="512"/>
      <c r="Q22" s="512"/>
      <c r="R22" s="512"/>
      <c r="S22" s="512"/>
      <c r="T22" s="512"/>
      <c r="U22" s="512"/>
      <c r="V22" s="512"/>
      <c r="W22" s="513"/>
      <c r="X22" s="511"/>
      <c r="Y22" s="512"/>
      <c r="Z22" s="512"/>
      <c r="AA22" s="512"/>
      <c r="AB22" s="512"/>
      <c r="AC22" s="512"/>
      <c r="AD22" s="512"/>
      <c r="AE22" s="513"/>
      <c r="AF22" s="517"/>
      <c r="AG22" s="518"/>
      <c r="AH22" s="518"/>
      <c r="AI22" s="519"/>
      <c r="AJ22" s="523"/>
      <c r="AK22" s="524"/>
      <c r="AL22" s="524"/>
      <c r="AM22" s="524"/>
      <c r="AN22" s="524"/>
      <c r="AO22" s="524"/>
      <c r="AP22" s="524"/>
      <c r="AQ22" s="524"/>
      <c r="AR22" s="524"/>
      <c r="AS22" s="524"/>
      <c r="AT22" s="524"/>
      <c r="AU22" s="524"/>
      <c r="AV22" s="524"/>
      <c r="AW22" s="525"/>
      <c r="AX22" s="8"/>
      <c r="AY22" s="9"/>
    </row>
    <row r="23" spans="2:51" ht="10.5" customHeight="1" x14ac:dyDescent="0.2">
      <c r="B23" s="7"/>
      <c r="C23" s="8"/>
      <c r="D23" s="493">
        <f>D21+1</f>
        <v>5</v>
      </c>
      <c r="E23" s="494"/>
      <c r="F23" s="497"/>
      <c r="G23" s="498"/>
      <c r="H23" s="498"/>
      <c r="I23" s="498"/>
      <c r="J23" s="499"/>
      <c r="K23" s="503"/>
      <c r="L23" s="504"/>
      <c r="M23" s="504"/>
      <c r="N23" s="505"/>
      <c r="O23" s="497"/>
      <c r="P23" s="509"/>
      <c r="Q23" s="509"/>
      <c r="R23" s="509"/>
      <c r="S23" s="509"/>
      <c r="T23" s="509"/>
      <c r="U23" s="509"/>
      <c r="V23" s="509"/>
      <c r="W23" s="510"/>
      <c r="X23" s="497"/>
      <c r="Y23" s="509"/>
      <c r="Z23" s="509"/>
      <c r="AA23" s="509"/>
      <c r="AB23" s="509"/>
      <c r="AC23" s="509"/>
      <c r="AD23" s="509"/>
      <c r="AE23" s="510"/>
      <c r="AF23" s="514"/>
      <c r="AG23" s="515"/>
      <c r="AH23" s="515"/>
      <c r="AI23" s="516"/>
      <c r="AJ23" s="520"/>
      <c r="AK23" s="521"/>
      <c r="AL23" s="521"/>
      <c r="AM23" s="521"/>
      <c r="AN23" s="521"/>
      <c r="AO23" s="521"/>
      <c r="AP23" s="521"/>
      <c r="AQ23" s="521"/>
      <c r="AR23" s="521"/>
      <c r="AS23" s="521"/>
      <c r="AT23" s="521"/>
      <c r="AU23" s="521"/>
      <c r="AV23" s="521"/>
      <c r="AW23" s="522"/>
      <c r="AX23" s="8"/>
      <c r="AY23" s="9"/>
    </row>
    <row r="24" spans="2:51" ht="10.5" customHeight="1" x14ac:dyDescent="0.2">
      <c r="B24" s="7"/>
      <c r="C24" s="8"/>
      <c r="D24" s="495"/>
      <c r="E24" s="496"/>
      <c r="F24" s="500"/>
      <c r="G24" s="501"/>
      <c r="H24" s="501"/>
      <c r="I24" s="501"/>
      <c r="J24" s="502"/>
      <c r="K24" s="506"/>
      <c r="L24" s="507"/>
      <c r="M24" s="507"/>
      <c r="N24" s="508"/>
      <c r="O24" s="511"/>
      <c r="P24" s="512"/>
      <c r="Q24" s="512"/>
      <c r="R24" s="512"/>
      <c r="S24" s="512"/>
      <c r="T24" s="512"/>
      <c r="U24" s="512"/>
      <c r="V24" s="512"/>
      <c r="W24" s="513"/>
      <c r="X24" s="511"/>
      <c r="Y24" s="512"/>
      <c r="Z24" s="512"/>
      <c r="AA24" s="512"/>
      <c r="AB24" s="512"/>
      <c r="AC24" s="512"/>
      <c r="AD24" s="512"/>
      <c r="AE24" s="513"/>
      <c r="AF24" s="517"/>
      <c r="AG24" s="518"/>
      <c r="AH24" s="518"/>
      <c r="AI24" s="519"/>
      <c r="AJ24" s="523"/>
      <c r="AK24" s="524"/>
      <c r="AL24" s="524"/>
      <c r="AM24" s="524"/>
      <c r="AN24" s="524"/>
      <c r="AO24" s="524"/>
      <c r="AP24" s="524"/>
      <c r="AQ24" s="524"/>
      <c r="AR24" s="524"/>
      <c r="AS24" s="524"/>
      <c r="AT24" s="524"/>
      <c r="AU24" s="524"/>
      <c r="AV24" s="524"/>
      <c r="AW24" s="525"/>
      <c r="AX24" s="8"/>
      <c r="AY24" s="9"/>
    </row>
    <row r="25" spans="2:51" ht="10.5" customHeight="1" x14ac:dyDescent="0.2">
      <c r="B25" s="7"/>
      <c r="C25" s="8"/>
      <c r="D25" s="493">
        <f>D23+1</f>
        <v>6</v>
      </c>
      <c r="E25" s="494"/>
      <c r="F25" s="497"/>
      <c r="G25" s="498"/>
      <c r="H25" s="498"/>
      <c r="I25" s="498"/>
      <c r="J25" s="499"/>
      <c r="K25" s="503"/>
      <c r="L25" s="504"/>
      <c r="M25" s="504"/>
      <c r="N25" s="505"/>
      <c r="O25" s="497"/>
      <c r="P25" s="509"/>
      <c r="Q25" s="509"/>
      <c r="R25" s="509"/>
      <c r="S25" s="509"/>
      <c r="T25" s="509"/>
      <c r="U25" s="509"/>
      <c r="V25" s="509"/>
      <c r="W25" s="510"/>
      <c r="X25" s="497"/>
      <c r="Y25" s="509"/>
      <c r="Z25" s="509"/>
      <c r="AA25" s="509"/>
      <c r="AB25" s="509"/>
      <c r="AC25" s="509"/>
      <c r="AD25" s="509"/>
      <c r="AE25" s="510"/>
      <c r="AF25" s="514"/>
      <c r="AG25" s="515"/>
      <c r="AH25" s="515"/>
      <c r="AI25" s="516"/>
      <c r="AJ25" s="520"/>
      <c r="AK25" s="521"/>
      <c r="AL25" s="521"/>
      <c r="AM25" s="521"/>
      <c r="AN25" s="521"/>
      <c r="AO25" s="521"/>
      <c r="AP25" s="521"/>
      <c r="AQ25" s="521"/>
      <c r="AR25" s="521"/>
      <c r="AS25" s="521"/>
      <c r="AT25" s="521"/>
      <c r="AU25" s="521"/>
      <c r="AV25" s="521"/>
      <c r="AW25" s="522"/>
      <c r="AX25" s="8"/>
      <c r="AY25" s="9"/>
    </row>
    <row r="26" spans="2:51" ht="10.5" customHeight="1" x14ac:dyDescent="0.2">
      <c r="B26" s="7"/>
      <c r="C26" s="8"/>
      <c r="D26" s="495"/>
      <c r="E26" s="496"/>
      <c r="F26" s="500"/>
      <c r="G26" s="501"/>
      <c r="H26" s="501"/>
      <c r="I26" s="501"/>
      <c r="J26" s="502"/>
      <c r="K26" s="506"/>
      <c r="L26" s="507"/>
      <c r="M26" s="507"/>
      <c r="N26" s="508"/>
      <c r="O26" s="511"/>
      <c r="P26" s="512"/>
      <c r="Q26" s="512"/>
      <c r="R26" s="512"/>
      <c r="S26" s="512"/>
      <c r="T26" s="512"/>
      <c r="U26" s="512"/>
      <c r="V26" s="512"/>
      <c r="W26" s="513"/>
      <c r="X26" s="511"/>
      <c r="Y26" s="512"/>
      <c r="Z26" s="512"/>
      <c r="AA26" s="512"/>
      <c r="AB26" s="512"/>
      <c r="AC26" s="512"/>
      <c r="AD26" s="512"/>
      <c r="AE26" s="513"/>
      <c r="AF26" s="517"/>
      <c r="AG26" s="518"/>
      <c r="AH26" s="518"/>
      <c r="AI26" s="519"/>
      <c r="AJ26" s="523"/>
      <c r="AK26" s="524"/>
      <c r="AL26" s="524"/>
      <c r="AM26" s="524"/>
      <c r="AN26" s="524"/>
      <c r="AO26" s="524"/>
      <c r="AP26" s="524"/>
      <c r="AQ26" s="524"/>
      <c r="AR26" s="524"/>
      <c r="AS26" s="524"/>
      <c r="AT26" s="524"/>
      <c r="AU26" s="524"/>
      <c r="AV26" s="524"/>
      <c r="AW26" s="525"/>
      <c r="AX26" s="8"/>
      <c r="AY26" s="9"/>
    </row>
    <row r="27" spans="2:51" ht="10.5" customHeight="1" x14ac:dyDescent="0.2">
      <c r="B27" s="7"/>
      <c r="C27" s="8"/>
      <c r="D27" s="493">
        <f>D25+1</f>
        <v>7</v>
      </c>
      <c r="E27" s="494"/>
      <c r="F27" s="497"/>
      <c r="G27" s="498"/>
      <c r="H27" s="498"/>
      <c r="I27" s="498"/>
      <c r="J27" s="499"/>
      <c r="K27" s="503"/>
      <c r="L27" s="504"/>
      <c r="M27" s="504"/>
      <c r="N27" s="505"/>
      <c r="O27" s="497"/>
      <c r="P27" s="509"/>
      <c r="Q27" s="509"/>
      <c r="R27" s="509"/>
      <c r="S27" s="509"/>
      <c r="T27" s="509"/>
      <c r="U27" s="509"/>
      <c r="V27" s="509"/>
      <c r="W27" s="510"/>
      <c r="X27" s="497"/>
      <c r="Y27" s="509"/>
      <c r="Z27" s="509"/>
      <c r="AA27" s="509"/>
      <c r="AB27" s="509"/>
      <c r="AC27" s="509"/>
      <c r="AD27" s="509"/>
      <c r="AE27" s="510"/>
      <c r="AF27" s="514"/>
      <c r="AG27" s="515"/>
      <c r="AH27" s="515"/>
      <c r="AI27" s="516"/>
      <c r="AJ27" s="520"/>
      <c r="AK27" s="521"/>
      <c r="AL27" s="521"/>
      <c r="AM27" s="521"/>
      <c r="AN27" s="521"/>
      <c r="AO27" s="521"/>
      <c r="AP27" s="521"/>
      <c r="AQ27" s="521"/>
      <c r="AR27" s="521"/>
      <c r="AS27" s="521"/>
      <c r="AT27" s="521"/>
      <c r="AU27" s="521"/>
      <c r="AV27" s="521"/>
      <c r="AW27" s="522"/>
      <c r="AX27" s="8"/>
      <c r="AY27" s="9"/>
    </row>
    <row r="28" spans="2:51" ht="10.5" customHeight="1" x14ac:dyDescent="0.2">
      <c r="B28" s="7"/>
      <c r="C28" s="8"/>
      <c r="D28" s="495"/>
      <c r="E28" s="496"/>
      <c r="F28" s="500"/>
      <c r="G28" s="501"/>
      <c r="H28" s="501"/>
      <c r="I28" s="501"/>
      <c r="J28" s="502"/>
      <c r="K28" s="506"/>
      <c r="L28" s="507"/>
      <c r="M28" s="507"/>
      <c r="N28" s="508"/>
      <c r="O28" s="511"/>
      <c r="P28" s="512"/>
      <c r="Q28" s="512"/>
      <c r="R28" s="512"/>
      <c r="S28" s="512"/>
      <c r="T28" s="512"/>
      <c r="U28" s="512"/>
      <c r="V28" s="512"/>
      <c r="W28" s="513"/>
      <c r="X28" s="511"/>
      <c r="Y28" s="512"/>
      <c r="Z28" s="512"/>
      <c r="AA28" s="512"/>
      <c r="AB28" s="512"/>
      <c r="AC28" s="512"/>
      <c r="AD28" s="512"/>
      <c r="AE28" s="513"/>
      <c r="AF28" s="517"/>
      <c r="AG28" s="518"/>
      <c r="AH28" s="518"/>
      <c r="AI28" s="519"/>
      <c r="AJ28" s="523"/>
      <c r="AK28" s="524"/>
      <c r="AL28" s="524"/>
      <c r="AM28" s="524"/>
      <c r="AN28" s="524"/>
      <c r="AO28" s="524"/>
      <c r="AP28" s="524"/>
      <c r="AQ28" s="524"/>
      <c r="AR28" s="524"/>
      <c r="AS28" s="524"/>
      <c r="AT28" s="524"/>
      <c r="AU28" s="524"/>
      <c r="AV28" s="524"/>
      <c r="AW28" s="525"/>
      <c r="AX28" s="8"/>
      <c r="AY28" s="9"/>
    </row>
    <row r="29" spans="2:51" ht="10.5" customHeight="1" x14ac:dyDescent="0.2">
      <c r="B29" s="7"/>
      <c r="C29" s="8"/>
      <c r="D29" s="493">
        <f>D27+1</f>
        <v>8</v>
      </c>
      <c r="E29" s="494"/>
      <c r="F29" s="497"/>
      <c r="G29" s="498"/>
      <c r="H29" s="498"/>
      <c r="I29" s="498"/>
      <c r="J29" s="499"/>
      <c r="K29" s="503"/>
      <c r="L29" s="504"/>
      <c r="M29" s="504"/>
      <c r="N29" s="505"/>
      <c r="O29" s="497"/>
      <c r="P29" s="509"/>
      <c r="Q29" s="509"/>
      <c r="R29" s="509"/>
      <c r="S29" s="509"/>
      <c r="T29" s="509"/>
      <c r="U29" s="509"/>
      <c r="V29" s="509"/>
      <c r="W29" s="510"/>
      <c r="X29" s="497"/>
      <c r="Y29" s="509"/>
      <c r="Z29" s="509"/>
      <c r="AA29" s="509"/>
      <c r="AB29" s="509"/>
      <c r="AC29" s="509"/>
      <c r="AD29" s="509"/>
      <c r="AE29" s="510"/>
      <c r="AF29" s="514"/>
      <c r="AG29" s="515"/>
      <c r="AH29" s="515"/>
      <c r="AI29" s="516"/>
      <c r="AJ29" s="520"/>
      <c r="AK29" s="521"/>
      <c r="AL29" s="521"/>
      <c r="AM29" s="521"/>
      <c r="AN29" s="521"/>
      <c r="AO29" s="521"/>
      <c r="AP29" s="521"/>
      <c r="AQ29" s="521"/>
      <c r="AR29" s="521"/>
      <c r="AS29" s="521"/>
      <c r="AT29" s="521"/>
      <c r="AU29" s="521"/>
      <c r="AV29" s="521"/>
      <c r="AW29" s="522"/>
      <c r="AX29" s="8"/>
      <c r="AY29" s="9"/>
    </row>
    <row r="30" spans="2:51" ht="10.5" customHeight="1" x14ac:dyDescent="0.2">
      <c r="B30" s="7"/>
      <c r="C30" s="8"/>
      <c r="D30" s="495"/>
      <c r="E30" s="496"/>
      <c r="F30" s="500"/>
      <c r="G30" s="501"/>
      <c r="H30" s="501"/>
      <c r="I30" s="501"/>
      <c r="J30" s="502"/>
      <c r="K30" s="506"/>
      <c r="L30" s="507"/>
      <c r="M30" s="507"/>
      <c r="N30" s="508"/>
      <c r="O30" s="511"/>
      <c r="P30" s="512"/>
      <c r="Q30" s="512"/>
      <c r="R30" s="512"/>
      <c r="S30" s="512"/>
      <c r="T30" s="512"/>
      <c r="U30" s="512"/>
      <c r="V30" s="512"/>
      <c r="W30" s="513"/>
      <c r="X30" s="511"/>
      <c r="Y30" s="512"/>
      <c r="Z30" s="512"/>
      <c r="AA30" s="512"/>
      <c r="AB30" s="512"/>
      <c r="AC30" s="512"/>
      <c r="AD30" s="512"/>
      <c r="AE30" s="513"/>
      <c r="AF30" s="517"/>
      <c r="AG30" s="518"/>
      <c r="AH30" s="518"/>
      <c r="AI30" s="519"/>
      <c r="AJ30" s="523"/>
      <c r="AK30" s="524"/>
      <c r="AL30" s="524"/>
      <c r="AM30" s="524"/>
      <c r="AN30" s="524"/>
      <c r="AO30" s="524"/>
      <c r="AP30" s="524"/>
      <c r="AQ30" s="524"/>
      <c r="AR30" s="524"/>
      <c r="AS30" s="524"/>
      <c r="AT30" s="524"/>
      <c r="AU30" s="524"/>
      <c r="AV30" s="524"/>
      <c r="AW30" s="525"/>
      <c r="AX30" s="8"/>
      <c r="AY30" s="9"/>
    </row>
    <row r="31" spans="2:51" ht="10.5" customHeight="1" x14ac:dyDescent="0.2">
      <c r="B31" s="7"/>
      <c r="C31" s="8"/>
      <c r="D31" s="493">
        <f>D29+1</f>
        <v>9</v>
      </c>
      <c r="E31" s="494"/>
      <c r="F31" s="497"/>
      <c r="G31" s="498"/>
      <c r="H31" s="498"/>
      <c r="I31" s="498"/>
      <c r="J31" s="499"/>
      <c r="K31" s="503"/>
      <c r="L31" s="504"/>
      <c r="M31" s="504"/>
      <c r="N31" s="505"/>
      <c r="O31" s="497"/>
      <c r="P31" s="509"/>
      <c r="Q31" s="509"/>
      <c r="R31" s="509"/>
      <c r="S31" s="509"/>
      <c r="T31" s="509"/>
      <c r="U31" s="509"/>
      <c r="V31" s="509"/>
      <c r="W31" s="510"/>
      <c r="X31" s="497"/>
      <c r="Y31" s="509"/>
      <c r="Z31" s="509"/>
      <c r="AA31" s="509"/>
      <c r="AB31" s="509"/>
      <c r="AC31" s="509"/>
      <c r="AD31" s="509"/>
      <c r="AE31" s="510"/>
      <c r="AF31" s="514"/>
      <c r="AG31" s="515"/>
      <c r="AH31" s="515"/>
      <c r="AI31" s="516"/>
      <c r="AJ31" s="520"/>
      <c r="AK31" s="521"/>
      <c r="AL31" s="521"/>
      <c r="AM31" s="521"/>
      <c r="AN31" s="521"/>
      <c r="AO31" s="521"/>
      <c r="AP31" s="521"/>
      <c r="AQ31" s="521"/>
      <c r="AR31" s="521"/>
      <c r="AS31" s="521"/>
      <c r="AT31" s="521"/>
      <c r="AU31" s="521"/>
      <c r="AV31" s="521"/>
      <c r="AW31" s="522"/>
      <c r="AX31" s="8"/>
      <c r="AY31" s="9"/>
    </row>
    <row r="32" spans="2:51" ht="10.5" customHeight="1" x14ac:dyDescent="0.2">
      <c r="B32" s="7"/>
      <c r="C32" s="8"/>
      <c r="D32" s="495"/>
      <c r="E32" s="496"/>
      <c r="F32" s="500"/>
      <c r="G32" s="501"/>
      <c r="H32" s="501"/>
      <c r="I32" s="501"/>
      <c r="J32" s="502"/>
      <c r="K32" s="506"/>
      <c r="L32" s="507"/>
      <c r="M32" s="507"/>
      <c r="N32" s="508"/>
      <c r="O32" s="511"/>
      <c r="P32" s="512"/>
      <c r="Q32" s="512"/>
      <c r="R32" s="512"/>
      <c r="S32" s="512"/>
      <c r="T32" s="512"/>
      <c r="U32" s="512"/>
      <c r="V32" s="512"/>
      <c r="W32" s="513"/>
      <c r="X32" s="511"/>
      <c r="Y32" s="512"/>
      <c r="Z32" s="512"/>
      <c r="AA32" s="512"/>
      <c r="AB32" s="512"/>
      <c r="AC32" s="512"/>
      <c r="AD32" s="512"/>
      <c r="AE32" s="513"/>
      <c r="AF32" s="517"/>
      <c r="AG32" s="518"/>
      <c r="AH32" s="518"/>
      <c r="AI32" s="519"/>
      <c r="AJ32" s="523"/>
      <c r="AK32" s="524"/>
      <c r="AL32" s="524"/>
      <c r="AM32" s="524"/>
      <c r="AN32" s="524"/>
      <c r="AO32" s="524"/>
      <c r="AP32" s="524"/>
      <c r="AQ32" s="524"/>
      <c r="AR32" s="524"/>
      <c r="AS32" s="524"/>
      <c r="AT32" s="524"/>
      <c r="AU32" s="524"/>
      <c r="AV32" s="524"/>
      <c r="AW32" s="525"/>
      <c r="AX32" s="8"/>
      <c r="AY32" s="9"/>
    </row>
    <row r="33" spans="2:51" ht="10.5" customHeight="1" x14ac:dyDescent="0.2">
      <c r="B33" s="7"/>
      <c r="C33" s="8"/>
      <c r="D33" s="493">
        <f>D31+1</f>
        <v>10</v>
      </c>
      <c r="E33" s="494"/>
      <c r="F33" s="497"/>
      <c r="G33" s="498"/>
      <c r="H33" s="498"/>
      <c r="I33" s="498"/>
      <c r="J33" s="499"/>
      <c r="K33" s="503"/>
      <c r="L33" s="504"/>
      <c r="M33" s="504"/>
      <c r="N33" s="505"/>
      <c r="O33" s="497"/>
      <c r="P33" s="509"/>
      <c r="Q33" s="509"/>
      <c r="R33" s="509"/>
      <c r="S33" s="509"/>
      <c r="T33" s="509"/>
      <c r="U33" s="509"/>
      <c r="V33" s="509"/>
      <c r="W33" s="510"/>
      <c r="X33" s="497"/>
      <c r="Y33" s="509"/>
      <c r="Z33" s="509"/>
      <c r="AA33" s="509"/>
      <c r="AB33" s="509"/>
      <c r="AC33" s="509"/>
      <c r="AD33" s="509"/>
      <c r="AE33" s="510"/>
      <c r="AF33" s="514"/>
      <c r="AG33" s="515"/>
      <c r="AH33" s="515"/>
      <c r="AI33" s="516"/>
      <c r="AJ33" s="520"/>
      <c r="AK33" s="521"/>
      <c r="AL33" s="521"/>
      <c r="AM33" s="521"/>
      <c r="AN33" s="521"/>
      <c r="AO33" s="521"/>
      <c r="AP33" s="521"/>
      <c r="AQ33" s="521"/>
      <c r="AR33" s="521"/>
      <c r="AS33" s="521"/>
      <c r="AT33" s="521"/>
      <c r="AU33" s="521"/>
      <c r="AV33" s="521"/>
      <c r="AW33" s="522"/>
      <c r="AX33" s="8"/>
      <c r="AY33" s="9"/>
    </row>
    <row r="34" spans="2:51" ht="10.5" customHeight="1" x14ac:dyDescent="0.2">
      <c r="B34" s="7"/>
      <c r="C34" s="8"/>
      <c r="D34" s="495"/>
      <c r="E34" s="496"/>
      <c r="F34" s="500"/>
      <c r="G34" s="501"/>
      <c r="H34" s="501"/>
      <c r="I34" s="501"/>
      <c r="J34" s="502"/>
      <c r="K34" s="506"/>
      <c r="L34" s="507"/>
      <c r="M34" s="507"/>
      <c r="N34" s="508"/>
      <c r="O34" s="511"/>
      <c r="P34" s="512"/>
      <c r="Q34" s="512"/>
      <c r="R34" s="512"/>
      <c r="S34" s="512"/>
      <c r="T34" s="512"/>
      <c r="U34" s="512"/>
      <c r="V34" s="512"/>
      <c r="W34" s="513"/>
      <c r="X34" s="511"/>
      <c r="Y34" s="512"/>
      <c r="Z34" s="512"/>
      <c r="AA34" s="512"/>
      <c r="AB34" s="512"/>
      <c r="AC34" s="512"/>
      <c r="AD34" s="512"/>
      <c r="AE34" s="513"/>
      <c r="AF34" s="517"/>
      <c r="AG34" s="518"/>
      <c r="AH34" s="518"/>
      <c r="AI34" s="519"/>
      <c r="AJ34" s="523"/>
      <c r="AK34" s="524"/>
      <c r="AL34" s="524"/>
      <c r="AM34" s="524"/>
      <c r="AN34" s="524"/>
      <c r="AO34" s="524"/>
      <c r="AP34" s="524"/>
      <c r="AQ34" s="524"/>
      <c r="AR34" s="524"/>
      <c r="AS34" s="524"/>
      <c r="AT34" s="524"/>
      <c r="AU34" s="524"/>
      <c r="AV34" s="524"/>
      <c r="AW34" s="525"/>
      <c r="AX34" s="8"/>
      <c r="AY34" s="9"/>
    </row>
    <row r="35" spans="2:51" ht="10.5" customHeight="1" x14ac:dyDescent="0.2">
      <c r="B35" s="7"/>
      <c r="C35" s="8"/>
      <c r="D35" s="493">
        <f>D33+1</f>
        <v>11</v>
      </c>
      <c r="E35" s="494"/>
      <c r="F35" s="497"/>
      <c r="G35" s="498"/>
      <c r="H35" s="498"/>
      <c r="I35" s="498"/>
      <c r="J35" s="499"/>
      <c r="K35" s="503"/>
      <c r="L35" s="504"/>
      <c r="M35" s="504"/>
      <c r="N35" s="505"/>
      <c r="O35" s="497"/>
      <c r="P35" s="509"/>
      <c r="Q35" s="509"/>
      <c r="R35" s="509"/>
      <c r="S35" s="509"/>
      <c r="T35" s="509"/>
      <c r="U35" s="509"/>
      <c r="V35" s="509"/>
      <c r="W35" s="510"/>
      <c r="X35" s="497"/>
      <c r="Y35" s="509"/>
      <c r="Z35" s="509"/>
      <c r="AA35" s="509"/>
      <c r="AB35" s="509"/>
      <c r="AC35" s="509"/>
      <c r="AD35" s="509"/>
      <c r="AE35" s="510"/>
      <c r="AF35" s="514"/>
      <c r="AG35" s="515"/>
      <c r="AH35" s="515"/>
      <c r="AI35" s="516"/>
      <c r="AJ35" s="520"/>
      <c r="AK35" s="521"/>
      <c r="AL35" s="521"/>
      <c r="AM35" s="521"/>
      <c r="AN35" s="521"/>
      <c r="AO35" s="521"/>
      <c r="AP35" s="521"/>
      <c r="AQ35" s="521"/>
      <c r="AR35" s="521"/>
      <c r="AS35" s="521"/>
      <c r="AT35" s="521"/>
      <c r="AU35" s="521"/>
      <c r="AV35" s="521"/>
      <c r="AW35" s="522"/>
      <c r="AX35" s="8"/>
      <c r="AY35" s="9"/>
    </row>
    <row r="36" spans="2:51" ht="10.5" customHeight="1" x14ac:dyDescent="0.2">
      <c r="B36" s="7"/>
      <c r="C36" s="8"/>
      <c r="D36" s="495"/>
      <c r="E36" s="496"/>
      <c r="F36" s="500"/>
      <c r="G36" s="501"/>
      <c r="H36" s="501"/>
      <c r="I36" s="501"/>
      <c r="J36" s="502"/>
      <c r="K36" s="506"/>
      <c r="L36" s="507"/>
      <c r="M36" s="507"/>
      <c r="N36" s="508"/>
      <c r="O36" s="511"/>
      <c r="P36" s="512"/>
      <c r="Q36" s="512"/>
      <c r="R36" s="512"/>
      <c r="S36" s="512"/>
      <c r="T36" s="512"/>
      <c r="U36" s="512"/>
      <c r="V36" s="512"/>
      <c r="W36" s="513"/>
      <c r="X36" s="511"/>
      <c r="Y36" s="512"/>
      <c r="Z36" s="512"/>
      <c r="AA36" s="512"/>
      <c r="AB36" s="512"/>
      <c r="AC36" s="512"/>
      <c r="AD36" s="512"/>
      <c r="AE36" s="513"/>
      <c r="AF36" s="517"/>
      <c r="AG36" s="518"/>
      <c r="AH36" s="518"/>
      <c r="AI36" s="519"/>
      <c r="AJ36" s="523"/>
      <c r="AK36" s="524"/>
      <c r="AL36" s="524"/>
      <c r="AM36" s="524"/>
      <c r="AN36" s="524"/>
      <c r="AO36" s="524"/>
      <c r="AP36" s="524"/>
      <c r="AQ36" s="524"/>
      <c r="AR36" s="524"/>
      <c r="AS36" s="524"/>
      <c r="AT36" s="524"/>
      <c r="AU36" s="524"/>
      <c r="AV36" s="524"/>
      <c r="AW36" s="525"/>
      <c r="AX36" s="8"/>
      <c r="AY36" s="9"/>
    </row>
    <row r="37" spans="2:51" ht="10.5" customHeight="1" x14ac:dyDescent="0.2">
      <c r="B37" s="7"/>
      <c r="C37" s="8"/>
      <c r="D37" s="493">
        <f>D35+1</f>
        <v>12</v>
      </c>
      <c r="E37" s="494"/>
      <c r="F37" s="497"/>
      <c r="G37" s="498"/>
      <c r="H37" s="498"/>
      <c r="I37" s="498"/>
      <c r="J37" s="499"/>
      <c r="K37" s="503"/>
      <c r="L37" s="504"/>
      <c r="M37" s="504"/>
      <c r="N37" s="505"/>
      <c r="O37" s="497"/>
      <c r="P37" s="509"/>
      <c r="Q37" s="509"/>
      <c r="R37" s="509"/>
      <c r="S37" s="509"/>
      <c r="T37" s="509"/>
      <c r="U37" s="509"/>
      <c r="V37" s="509"/>
      <c r="W37" s="510"/>
      <c r="X37" s="497"/>
      <c r="Y37" s="509"/>
      <c r="Z37" s="509"/>
      <c r="AA37" s="509"/>
      <c r="AB37" s="509"/>
      <c r="AC37" s="509"/>
      <c r="AD37" s="509"/>
      <c r="AE37" s="510"/>
      <c r="AF37" s="514"/>
      <c r="AG37" s="515"/>
      <c r="AH37" s="515"/>
      <c r="AI37" s="516"/>
      <c r="AJ37" s="520"/>
      <c r="AK37" s="521"/>
      <c r="AL37" s="521"/>
      <c r="AM37" s="521"/>
      <c r="AN37" s="521"/>
      <c r="AO37" s="521"/>
      <c r="AP37" s="521"/>
      <c r="AQ37" s="521"/>
      <c r="AR37" s="521"/>
      <c r="AS37" s="521"/>
      <c r="AT37" s="521"/>
      <c r="AU37" s="521"/>
      <c r="AV37" s="521"/>
      <c r="AW37" s="522"/>
      <c r="AX37" s="8"/>
      <c r="AY37" s="9"/>
    </row>
    <row r="38" spans="2:51" ht="10.5" customHeight="1" x14ac:dyDescent="0.2">
      <c r="B38" s="7"/>
      <c r="C38" s="8"/>
      <c r="D38" s="495"/>
      <c r="E38" s="496"/>
      <c r="F38" s="500"/>
      <c r="G38" s="501"/>
      <c r="H38" s="501"/>
      <c r="I38" s="501"/>
      <c r="J38" s="502"/>
      <c r="K38" s="506"/>
      <c r="L38" s="507"/>
      <c r="M38" s="507"/>
      <c r="N38" s="508"/>
      <c r="O38" s="511"/>
      <c r="P38" s="512"/>
      <c r="Q38" s="512"/>
      <c r="R38" s="512"/>
      <c r="S38" s="512"/>
      <c r="T38" s="512"/>
      <c r="U38" s="512"/>
      <c r="V38" s="512"/>
      <c r="W38" s="513"/>
      <c r="X38" s="511"/>
      <c r="Y38" s="512"/>
      <c r="Z38" s="512"/>
      <c r="AA38" s="512"/>
      <c r="AB38" s="512"/>
      <c r="AC38" s="512"/>
      <c r="AD38" s="512"/>
      <c r="AE38" s="513"/>
      <c r="AF38" s="517"/>
      <c r="AG38" s="518"/>
      <c r="AH38" s="518"/>
      <c r="AI38" s="519"/>
      <c r="AJ38" s="523"/>
      <c r="AK38" s="524"/>
      <c r="AL38" s="524"/>
      <c r="AM38" s="524"/>
      <c r="AN38" s="524"/>
      <c r="AO38" s="524"/>
      <c r="AP38" s="524"/>
      <c r="AQ38" s="524"/>
      <c r="AR38" s="524"/>
      <c r="AS38" s="524"/>
      <c r="AT38" s="524"/>
      <c r="AU38" s="524"/>
      <c r="AV38" s="524"/>
      <c r="AW38" s="525"/>
      <c r="AX38" s="8"/>
      <c r="AY38" s="9"/>
    </row>
    <row r="39" spans="2:51" ht="10.5" customHeight="1" x14ac:dyDescent="0.2">
      <c r="B39" s="7"/>
      <c r="C39" s="8"/>
      <c r="D39" s="493">
        <f>D37+1</f>
        <v>13</v>
      </c>
      <c r="E39" s="494"/>
      <c r="F39" s="497"/>
      <c r="G39" s="498"/>
      <c r="H39" s="498"/>
      <c r="I39" s="498"/>
      <c r="J39" s="499"/>
      <c r="K39" s="503"/>
      <c r="L39" s="504"/>
      <c r="M39" s="504"/>
      <c r="N39" s="505"/>
      <c r="O39" s="497"/>
      <c r="P39" s="509"/>
      <c r="Q39" s="509"/>
      <c r="R39" s="509"/>
      <c r="S39" s="509"/>
      <c r="T39" s="509"/>
      <c r="U39" s="509"/>
      <c r="V39" s="509"/>
      <c r="W39" s="510"/>
      <c r="X39" s="497"/>
      <c r="Y39" s="509"/>
      <c r="Z39" s="509"/>
      <c r="AA39" s="509"/>
      <c r="AB39" s="509"/>
      <c r="AC39" s="509"/>
      <c r="AD39" s="509"/>
      <c r="AE39" s="510"/>
      <c r="AF39" s="514"/>
      <c r="AG39" s="515"/>
      <c r="AH39" s="515"/>
      <c r="AI39" s="516"/>
      <c r="AJ39" s="520"/>
      <c r="AK39" s="521"/>
      <c r="AL39" s="521"/>
      <c r="AM39" s="521"/>
      <c r="AN39" s="521"/>
      <c r="AO39" s="521"/>
      <c r="AP39" s="521"/>
      <c r="AQ39" s="521"/>
      <c r="AR39" s="521"/>
      <c r="AS39" s="521"/>
      <c r="AT39" s="521"/>
      <c r="AU39" s="521"/>
      <c r="AV39" s="521"/>
      <c r="AW39" s="522"/>
      <c r="AX39" s="8"/>
      <c r="AY39" s="9"/>
    </row>
    <row r="40" spans="2:51" ht="10.5" customHeight="1" x14ac:dyDescent="0.2">
      <c r="B40" s="7"/>
      <c r="C40" s="8"/>
      <c r="D40" s="495"/>
      <c r="E40" s="496"/>
      <c r="F40" s="500"/>
      <c r="G40" s="501"/>
      <c r="H40" s="501"/>
      <c r="I40" s="501"/>
      <c r="J40" s="502"/>
      <c r="K40" s="506"/>
      <c r="L40" s="507"/>
      <c r="M40" s="507"/>
      <c r="N40" s="508"/>
      <c r="O40" s="511"/>
      <c r="P40" s="512"/>
      <c r="Q40" s="512"/>
      <c r="R40" s="512"/>
      <c r="S40" s="512"/>
      <c r="T40" s="512"/>
      <c r="U40" s="512"/>
      <c r="V40" s="512"/>
      <c r="W40" s="513"/>
      <c r="X40" s="511"/>
      <c r="Y40" s="512"/>
      <c r="Z40" s="512"/>
      <c r="AA40" s="512"/>
      <c r="AB40" s="512"/>
      <c r="AC40" s="512"/>
      <c r="AD40" s="512"/>
      <c r="AE40" s="513"/>
      <c r="AF40" s="517"/>
      <c r="AG40" s="518"/>
      <c r="AH40" s="518"/>
      <c r="AI40" s="519"/>
      <c r="AJ40" s="523"/>
      <c r="AK40" s="524"/>
      <c r="AL40" s="524"/>
      <c r="AM40" s="524"/>
      <c r="AN40" s="524"/>
      <c r="AO40" s="524"/>
      <c r="AP40" s="524"/>
      <c r="AQ40" s="524"/>
      <c r="AR40" s="524"/>
      <c r="AS40" s="524"/>
      <c r="AT40" s="524"/>
      <c r="AU40" s="524"/>
      <c r="AV40" s="524"/>
      <c r="AW40" s="525"/>
      <c r="AX40" s="8"/>
      <c r="AY40" s="9"/>
    </row>
    <row r="41" spans="2:51" ht="10.5" customHeight="1" x14ac:dyDescent="0.2">
      <c r="B41" s="7"/>
      <c r="C41" s="8"/>
      <c r="D41" s="493">
        <f>D39+1</f>
        <v>14</v>
      </c>
      <c r="E41" s="494"/>
      <c r="F41" s="497"/>
      <c r="G41" s="498"/>
      <c r="H41" s="498"/>
      <c r="I41" s="498"/>
      <c r="J41" s="499"/>
      <c r="K41" s="503"/>
      <c r="L41" s="504"/>
      <c r="M41" s="504"/>
      <c r="N41" s="505"/>
      <c r="O41" s="497"/>
      <c r="P41" s="509"/>
      <c r="Q41" s="509"/>
      <c r="R41" s="509"/>
      <c r="S41" s="509"/>
      <c r="T41" s="509"/>
      <c r="U41" s="509"/>
      <c r="V41" s="509"/>
      <c r="W41" s="510"/>
      <c r="X41" s="497"/>
      <c r="Y41" s="509"/>
      <c r="Z41" s="509"/>
      <c r="AA41" s="509"/>
      <c r="AB41" s="509"/>
      <c r="AC41" s="509"/>
      <c r="AD41" s="509"/>
      <c r="AE41" s="510"/>
      <c r="AF41" s="514"/>
      <c r="AG41" s="515"/>
      <c r="AH41" s="515"/>
      <c r="AI41" s="516"/>
      <c r="AJ41" s="520"/>
      <c r="AK41" s="521"/>
      <c r="AL41" s="521"/>
      <c r="AM41" s="521"/>
      <c r="AN41" s="521"/>
      <c r="AO41" s="521"/>
      <c r="AP41" s="521"/>
      <c r="AQ41" s="521"/>
      <c r="AR41" s="521"/>
      <c r="AS41" s="521"/>
      <c r="AT41" s="521"/>
      <c r="AU41" s="521"/>
      <c r="AV41" s="521"/>
      <c r="AW41" s="522"/>
      <c r="AX41" s="8"/>
      <c r="AY41" s="9"/>
    </row>
    <row r="42" spans="2:51" ht="10.5" customHeight="1" x14ac:dyDescent="0.2">
      <c r="B42" s="7"/>
      <c r="C42" s="8"/>
      <c r="D42" s="495"/>
      <c r="E42" s="496"/>
      <c r="F42" s="500"/>
      <c r="G42" s="501"/>
      <c r="H42" s="501"/>
      <c r="I42" s="501"/>
      <c r="J42" s="502"/>
      <c r="K42" s="506"/>
      <c r="L42" s="507"/>
      <c r="M42" s="507"/>
      <c r="N42" s="508"/>
      <c r="O42" s="511"/>
      <c r="P42" s="512"/>
      <c r="Q42" s="512"/>
      <c r="R42" s="512"/>
      <c r="S42" s="512"/>
      <c r="T42" s="512"/>
      <c r="U42" s="512"/>
      <c r="V42" s="512"/>
      <c r="W42" s="513"/>
      <c r="X42" s="511"/>
      <c r="Y42" s="512"/>
      <c r="Z42" s="512"/>
      <c r="AA42" s="512"/>
      <c r="AB42" s="512"/>
      <c r="AC42" s="512"/>
      <c r="AD42" s="512"/>
      <c r="AE42" s="513"/>
      <c r="AF42" s="517"/>
      <c r="AG42" s="518"/>
      <c r="AH42" s="518"/>
      <c r="AI42" s="519"/>
      <c r="AJ42" s="523"/>
      <c r="AK42" s="524"/>
      <c r="AL42" s="524"/>
      <c r="AM42" s="524"/>
      <c r="AN42" s="524"/>
      <c r="AO42" s="524"/>
      <c r="AP42" s="524"/>
      <c r="AQ42" s="524"/>
      <c r="AR42" s="524"/>
      <c r="AS42" s="524"/>
      <c r="AT42" s="524"/>
      <c r="AU42" s="524"/>
      <c r="AV42" s="524"/>
      <c r="AW42" s="525"/>
      <c r="AX42" s="8"/>
      <c r="AY42" s="9"/>
    </row>
    <row r="43" spans="2:51" ht="10.5" customHeight="1" x14ac:dyDescent="0.2">
      <c r="B43" s="7"/>
      <c r="C43" s="8"/>
      <c r="D43" s="493">
        <f>D41+1</f>
        <v>15</v>
      </c>
      <c r="E43" s="494"/>
      <c r="F43" s="497"/>
      <c r="G43" s="498"/>
      <c r="H43" s="498"/>
      <c r="I43" s="498"/>
      <c r="J43" s="499"/>
      <c r="K43" s="503"/>
      <c r="L43" s="504"/>
      <c r="M43" s="504"/>
      <c r="N43" s="505"/>
      <c r="O43" s="497"/>
      <c r="P43" s="509"/>
      <c r="Q43" s="509"/>
      <c r="R43" s="509"/>
      <c r="S43" s="509"/>
      <c r="T43" s="509"/>
      <c r="U43" s="509"/>
      <c r="V43" s="509"/>
      <c r="W43" s="510"/>
      <c r="X43" s="497"/>
      <c r="Y43" s="509"/>
      <c r="Z43" s="509"/>
      <c r="AA43" s="509"/>
      <c r="AB43" s="509"/>
      <c r="AC43" s="509"/>
      <c r="AD43" s="509"/>
      <c r="AE43" s="510"/>
      <c r="AF43" s="514"/>
      <c r="AG43" s="515"/>
      <c r="AH43" s="515"/>
      <c r="AI43" s="516"/>
      <c r="AJ43" s="520"/>
      <c r="AK43" s="521"/>
      <c r="AL43" s="521"/>
      <c r="AM43" s="521"/>
      <c r="AN43" s="521"/>
      <c r="AO43" s="521"/>
      <c r="AP43" s="521"/>
      <c r="AQ43" s="521"/>
      <c r="AR43" s="521"/>
      <c r="AS43" s="521"/>
      <c r="AT43" s="521"/>
      <c r="AU43" s="521"/>
      <c r="AV43" s="521"/>
      <c r="AW43" s="522"/>
      <c r="AX43" s="8"/>
      <c r="AY43" s="9"/>
    </row>
    <row r="44" spans="2:51" ht="10.5" customHeight="1" x14ac:dyDescent="0.2">
      <c r="B44" s="7"/>
      <c r="C44" s="8"/>
      <c r="D44" s="495"/>
      <c r="E44" s="496"/>
      <c r="F44" s="500"/>
      <c r="G44" s="501"/>
      <c r="H44" s="501"/>
      <c r="I44" s="501"/>
      <c r="J44" s="502"/>
      <c r="K44" s="506"/>
      <c r="L44" s="507"/>
      <c r="M44" s="507"/>
      <c r="N44" s="508"/>
      <c r="O44" s="511"/>
      <c r="P44" s="512"/>
      <c r="Q44" s="512"/>
      <c r="R44" s="512"/>
      <c r="S44" s="512"/>
      <c r="T44" s="512"/>
      <c r="U44" s="512"/>
      <c r="V44" s="512"/>
      <c r="W44" s="513"/>
      <c r="X44" s="511"/>
      <c r="Y44" s="512"/>
      <c r="Z44" s="512"/>
      <c r="AA44" s="512"/>
      <c r="AB44" s="512"/>
      <c r="AC44" s="512"/>
      <c r="AD44" s="512"/>
      <c r="AE44" s="513"/>
      <c r="AF44" s="517"/>
      <c r="AG44" s="518"/>
      <c r="AH44" s="518"/>
      <c r="AI44" s="519"/>
      <c r="AJ44" s="523"/>
      <c r="AK44" s="524"/>
      <c r="AL44" s="524"/>
      <c r="AM44" s="524"/>
      <c r="AN44" s="524"/>
      <c r="AO44" s="524"/>
      <c r="AP44" s="524"/>
      <c r="AQ44" s="524"/>
      <c r="AR44" s="524"/>
      <c r="AS44" s="524"/>
      <c r="AT44" s="524"/>
      <c r="AU44" s="524"/>
      <c r="AV44" s="524"/>
      <c r="AW44" s="525"/>
      <c r="AX44" s="8"/>
      <c r="AY44" s="9"/>
    </row>
    <row r="45" spans="2:51" ht="10.5" customHeight="1" x14ac:dyDescent="0.2">
      <c r="B45" s="7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39" t="s">
        <v>4176</v>
      </c>
      <c r="D46" s="139"/>
      <c r="E46" s="139" t="s">
        <v>4177</v>
      </c>
      <c r="F46" s="139"/>
      <c r="G46" s="139" t="s">
        <v>4126</v>
      </c>
      <c r="H46" s="139"/>
      <c r="I46" s="139" t="s">
        <v>4178</v>
      </c>
      <c r="J46" s="139"/>
      <c r="K46" s="139" t="s">
        <v>4179</v>
      </c>
      <c r="L46" s="139"/>
      <c r="M46" s="139" t="s">
        <v>4180</v>
      </c>
      <c r="N46" s="139"/>
      <c r="O46" s="139" t="s">
        <v>4181</v>
      </c>
      <c r="P46" s="139"/>
      <c r="Q46" s="139" t="s">
        <v>4182</v>
      </c>
      <c r="R46" s="139"/>
      <c r="S46" s="139" t="s">
        <v>4183</v>
      </c>
      <c r="T46" s="139"/>
      <c r="U46" s="139" t="s">
        <v>4184</v>
      </c>
      <c r="V46" s="139"/>
      <c r="W46" s="139" t="s">
        <v>4185</v>
      </c>
      <c r="X46" s="139"/>
      <c r="Y46" s="139" t="s">
        <v>4186</v>
      </c>
      <c r="Z46" s="139"/>
      <c r="AA46" s="139" t="s">
        <v>1780</v>
      </c>
      <c r="AB46" s="139"/>
      <c r="AC46" s="139" t="s">
        <v>4187</v>
      </c>
      <c r="AD46" s="139"/>
      <c r="AE46" s="139" t="s">
        <v>1781</v>
      </c>
      <c r="AF46" s="139"/>
      <c r="AG46" s="139" t="s">
        <v>4188</v>
      </c>
      <c r="AH46" s="139"/>
      <c r="AI46" s="139" t="s">
        <v>4189</v>
      </c>
      <c r="AJ46" s="139"/>
      <c r="AK46" s="139" t="s">
        <v>4190</v>
      </c>
      <c r="AL46" s="139"/>
      <c r="AM46" s="139" t="s">
        <v>4191</v>
      </c>
      <c r="AN46" s="139"/>
      <c r="AO46" s="139" t="s">
        <v>4192</v>
      </c>
      <c r="AP46" s="139"/>
      <c r="AQ46" s="139" t="s">
        <v>4176</v>
      </c>
      <c r="AR46" s="139"/>
      <c r="AS46" s="139" t="s">
        <v>4177</v>
      </c>
      <c r="AT46" s="139"/>
      <c r="AU46" s="139" t="s">
        <v>4126</v>
      </c>
      <c r="AV46" s="139"/>
      <c r="AW46" s="139" t="s">
        <v>4178</v>
      </c>
      <c r="AX46" s="139"/>
      <c r="AY46" s="9"/>
    </row>
    <row r="47" spans="2:51" ht="12" customHeight="1" x14ac:dyDescent="0.2">
      <c r="B47" s="7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  <c r="AJ47" s="139"/>
      <c r="AK47" s="139"/>
      <c r="AL47" s="139"/>
      <c r="AM47" s="139"/>
      <c r="AN47" s="139"/>
      <c r="AO47" s="139"/>
      <c r="AP47" s="139"/>
      <c r="AQ47" s="139"/>
      <c r="AR47" s="139"/>
      <c r="AS47" s="139"/>
      <c r="AT47" s="139"/>
      <c r="AU47" s="139"/>
      <c r="AV47" s="139"/>
      <c r="AW47" s="139"/>
      <c r="AX47" s="139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IF('MOD1'!$AY$49="","",'MOD1'!$AY$49)</f>
        <v>*Equipo de Gestión de la Información - EBR - Ministerio de Educación</v>
      </c>
    </row>
  </sheetData>
  <sheetProtection algorithmName="SHA-512" hashValue="rpMb7Im7c+3WzrCwH3fUewYBYNo/DAzl/I5Ln2/7bPkbbTPvPSdmk82+PBIfwiKaX+1N8hCHVfEZ5gYH5zQlgA==" saltValue="vo5BsqxOpvJs2GSJQbd5qQ==" spinCount="100000" sheet="1" objects="1" scenarios="1"/>
  <mergeCells count="137">
    <mergeCell ref="O13:W14"/>
    <mergeCell ref="X13:AE14"/>
    <mergeCell ref="O46:P47"/>
    <mergeCell ref="Q46:R47"/>
    <mergeCell ref="S46:T47"/>
    <mergeCell ref="U46:V47"/>
    <mergeCell ref="W46:X47"/>
    <mergeCell ref="D17:E18"/>
    <mergeCell ref="F17:J18"/>
    <mergeCell ref="K17:N18"/>
    <mergeCell ref="O17:W18"/>
    <mergeCell ref="D15:E16"/>
    <mergeCell ref="F15:J16"/>
    <mergeCell ref="K15:N16"/>
    <mergeCell ref="C46:D47"/>
    <mergeCell ref="E46:F47"/>
    <mergeCell ref="G46:H47"/>
    <mergeCell ref="I46:J47"/>
    <mergeCell ref="K46:L47"/>
    <mergeCell ref="M46:N47"/>
    <mergeCell ref="D13:E14"/>
    <mergeCell ref="F13:J14"/>
    <mergeCell ref="K13:N14"/>
    <mergeCell ref="O15:W16"/>
    <mergeCell ref="AF13:AI14"/>
    <mergeCell ref="AJ13:AW14"/>
    <mergeCell ref="AM46:AN47"/>
    <mergeCell ref="AO46:AP47"/>
    <mergeCell ref="AQ46:AR47"/>
    <mergeCell ref="AS46:AT47"/>
    <mergeCell ref="AU46:AV47"/>
    <mergeCell ref="AW46:AX47"/>
    <mergeCell ref="AA46:AB47"/>
    <mergeCell ref="AC46:AD47"/>
    <mergeCell ref="AE46:AF47"/>
    <mergeCell ref="AG46:AH47"/>
    <mergeCell ref="AI46:AJ47"/>
    <mergeCell ref="AK46:AL47"/>
    <mergeCell ref="AJ15:AW16"/>
    <mergeCell ref="X17:AE18"/>
    <mergeCell ref="AF17:AI18"/>
    <mergeCell ref="AJ17:AW18"/>
    <mergeCell ref="AJ23:AW24"/>
    <mergeCell ref="AJ27:AW28"/>
    <mergeCell ref="AJ31:AW32"/>
    <mergeCell ref="AJ35:AW36"/>
    <mergeCell ref="AJ43:AW44"/>
    <mergeCell ref="Y46:Z47"/>
    <mergeCell ref="X15:AE16"/>
    <mergeCell ref="AF15:AI16"/>
    <mergeCell ref="AJ19:AW20"/>
    <mergeCell ref="D21:E22"/>
    <mergeCell ref="F21:J22"/>
    <mergeCell ref="K21:N22"/>
    <mergeCell ref="O21:W22"/>
    <mergeCell ref="X21:AE22"/>
    <mergeCell ref="AF21:AI22"/>
    <mergeCell ref="AJ21:AW22"/>
    <mergeCell ref="D19:E20"/>
    <mergeCell ref="F19:J20"/>
    <mergeCell ref="K19:N20"/>
    <mergeCell ref="O19:W20"/>
    <mergeCell ref="X19:AE20"/>
    <mergeCell ref="AF19:AI20"/>
    <mergeCell ref="D25:E26"/>
    <mergeCell ref="F25:J26"/>
    <mergeCell ref="K25:N26"/>
    <mergeCell ref="O25:W26"/>
    <mergeCell ref="X25:AE26"/>
    <mergeCell ref="AF25:AI26"/>
    <mergeCell ref="AJ25:AW26"/>
    <mergeCell ref="D23:E24"/>
    <mergeCell ref="F23:J24"/>
    <mergeCell ref="K23:N24"/>
    <mergeCell ref="O23:W24"/>
    <mergeCell ref="X23:AE24"/>
    <mergeCell ref="AF23:AI24"/>
    <mergeCell ref="D29:E30"/>
    <mergeCell ref="F29:J30"/>
    <mergeCell ref="K29:N30"/>
    <mergeCell ref="O29:W30"/>
    <mergeCell ref="X29:AE30"/>
    <mergeCell ref="AF29:AI30"/>
    <mergeCell ref="AJ29:AW30"/>
    <mergeCell ref="D27:E28"/>
    <mergeCell ref="F27:J28"/>
    <mergeCell ref="K27:N28"/>
    <mergeCell ref="O27:W28"/>
    <mergeCell ref="X27:AE28"/>
    <mergeCell ref="AF27:AI28"/>
    <mergeCell ref="D33:E34"/>
    <mergeCell ref="F33:J34"/>
    <mergeCell ref="K33:N34"/>
    <mergeCell ref="O33:W34"/>
    <mergeCell ref="X33:AE34"/>
    <mergeCell ref="AF33:AI34"/>
    <mergeCell ref="AJ33:AW34"/>
    <mergeCell ref="D31:E32"/>
    <mergeCell ref="F31:J32"/>
    <mergeCell ref="K31:N32"/>
    <mergeCell ref="O31:W32"/>
    <mergeCell ref="X31:AE32"/>
    <mergeCell ref="AF31:AI32"/>
    <mergeCell ref="O37:W38"/>
    <mergeCell ref="X37:AE38"/>
    <mergeCell ref="AF37:AI38"/>
    <mergeCell ref="AJ37:AW38"/>
    <mergeCell ref="D35:E36"/>
    <mergeCell ref="F35:J36"/>
    <mergeCell ref="K35:N36"/>
    <mergeCell ref="O35:W36"/>
    <mergeCell ref="X35:AE36"/>
    <mergeCell ref="AF35:AI36"/>
    <mergeCell ref="D9:AW11"/>
    <mergeCell ref="D43:E44"/>
    <mergeCell ref="F43:J44"/>
    <mergeCell ref="K43:N44"/>
    <mergeCell ref="O43:W44"/>
    <mergeCell ref="X43:AE44"/>
    <mergeCell ref="AF43:AI44"/>
    <mergeCell ref="AJ39:AW40"/>
    <mergeCell ref="D41:E42"/>
    <mergeCell ref="F41:J42"/>
    <mergeCell ref="K41:N42"/>
    <mergeCell ref="O41:W42"/>
    <mergeCell ref="X41:AE42"/>
    <mergeCell ref="AF41:AI42"/>
    <mergeCell ref="AJ41:AW42"/>
    <mergeCell ref="D39:E40"/>
    <mergeCell ref="F39:J40"/>
    <mergeCell ref="K39:N40"/>
    <mergeCell ref="O39:W40"/>
    <mergeCell ref="X39:AE40"/>
    <mergeCell ref="AF39:AI40"/>
    <mergeCell ref="D37:E38"/>
    <mergeCell ref="F37:J38"/>
    <mergeCell ref="K37:N38"/>
  </mergeCells>
  <conditionalFormatting sqref="C46:AX47">
    <cfRule type="expression" dxfId="98" priority="1">
      <formula>IF(CODE(C46)=38,1,0)</formula>
    </cfRule>
    <cfRule type="expression" dxfId="97" priority="2">
      <formula>IF(CODE(C46)=37,1,0)</formula>
    </cfRule>
    <cfRule type="expression" dxfId="96" priority="3">
      <formula>IF(OR(CODE(C46)=143,CODE(C46)=167,CODE(C46)=168,CODE(C46)=254),1,0)</formula>
    </cfRule>
  </conditionalFormatting>
  <dataValidations count="4">
    <dataValidation type="list" allowBlank="1" showInputMessage="1" showErrorMessage="1" errorTitle="Mensaje de validación" error="Solo se permite datos de la lista desplegable._x000a__x000a_Intente de nuevo." sqref="F15:J18">
      <formula1>"Directivo, Coordinador, Docente, Estudiante"</formula1>
    </dataValidation>
    <dataValidation type="whole" allowBlank="1" showInputMessage="1" showErrorMessage="1" errorTitle="Mensaje de validación" error="Solo se permite datos numéricos enteros de 8 dígitos._x000a__x000a_Intente de nuevo." sqref="K15:N44">
      <formula1>0</formula1>
      <formula2>99999999</formula2>
    </dataValidation>
    <dataValidation type="whole" allowBlank="1" showInputMessage="1" showErrorMessage="1" errorTitle="Mensaje de validación" error="Solo se permite datos numéricos._x000a__x000a_Intente de nuevo." sqref="AF15:AI44">
      <formula1>1</formula1>
      <formula2>999999999</formula2>
    </dataValidation>
    <dataValidation type="list" allowBlank="1" showInputMessage="1" showErrorMessage="1" errorTitle="Mensaje de validación" error="Solo se permite datos de la lista desplegable._x000a__x000a_Intente de nuevo." sqref="F19:J44">
      <formula1>"Coordinador, Docente, Estudiante"</formula1>
    </dataValidation>
  </dataValidations>
  <printOptions horizontalCentered="1" verticalCentered="1"/>
  <pageMargins left="0" right="0" top="0.39370078740157483" bottom="0.39370078740157483" header="0.19685039370078741" footer="0.19685039370078741"/>
  <pageSetup paperSize="9" scale="98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00FF"/>
  </sheetPr>
  <dimension ref="A1:DW63"/>
  <sheetViews>
    <sheetView showGridLines="0" zoomScaleNormal="100" workbookViewId="0">
      <selection activeCell="B61" sqref="B61"/>
    </sheetView>
  </sheetViews>
  <sheetFormatPr baseColWidth="10" defaultColWidth="2.7109375" defaultRowHeight="12" customHeight="1" x14ac:dyDescent="0.2"/>
  <cols>
    <col min="1" max="1" width="2.7109375" style="36" customWidth="1"/>
    <col min="2" max="126" width="2.7109375" style="36"/>
    <col min="127" max="127" width="3.28515625" style="36" bestFit="1" customWidth="1"/>
    <col min="128" max="16384" width="2.7109375" style="36"/>
  </cols>
  <sheetData>
    <row r="1" spans="1:127" ht="12" customHeight="1" x14ac:dyDescent="0.2">
      <c r="A1" s="35">
        <v>0</v>
      </c>
    </row>
    <row r="2" spans="1:127" ht="12" customHeight="1" x14ac:dyDescent="0.2">
      <c r="A2" s="35" t="b">
        <f>LISTAS!D165</f>
        <v>1</v>
      </c>
      <c r="B2" s="1" t="str">
        <f>'MOD1'!$B$2</f>
        <v>Sistema de Monitoreo y Evaluación de la Educación Ambiental en la Gestión Escolar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4"/>
      <c r="AH2" s="5"/>
      <c r="AI2" s="5"/>
      <c r="AJ2" s="6"/>
      <c r="DW2" s="41">
        <f>'MOD7'!P31</f>
        <v>0</v>
      </c>
    </row>
    <row r="3" spans="1:127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32"/>
      <c r="AH3" s="33"/>
      <c r="AI3" s="33"/>
      <c r="AJ3" s="34"/>
    </row>
    <row r="4" spans="1:127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32"/>
      <c r="AH4" s="33"/>
      <c r="AI4" s="33"/>
      <c r="AJ4" s="34"/>
    </row>
    <row r="5" spans="1:127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32"/>
      <c r="AH5" s="33"/>
      <c r="AI5" s="33"/>
      <c r="AJ5" s="34"/>
    </row>
    <row r="6" spans="1:127" ht="6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32"/>
      <c r="AH6" s="33"/>
      <c r="AI6" s="33"/>
      <c r="AJ6" s="34"/>
    </row>
    <row r="7" spans="1:127" ht="12" customHeight="1" x14ac:dyDescent="0.2">
      <c r="B7" s="7"/>
      <c r="C7" s="548" t="s">
        <v>3686</v>
      </c>
      <c r="D7" s="549"/>
      <c r="E7" s="549"/>
      <c r="F7" s="549"/>
      <c r="G7" s="549"/>
      <c r="H7" s="549"/>
      <c r="I7" s="549"/>
      <c r="J7" s="549"/>
      <c r="K7" s="549"/>
      <c r="L7" s="549"/>
      <c r="M7" s="549"/>
      <c r="N7" s="549"/>
      <c r="O7" s="549"/>
      <c r="P7" s="549"/>
      <c r="Q7" s="549"/>
      <c r="R7" s="549"/>
      <c r="S7" s="549"/>
      <c r="T7" s="549"/>
      <c r="U7" s="549"/>
      <c r="V7" s="549"/>
      <c r="W7" s="549"/>
      <c r="X7" s="549"/>
      <c r="Y7" s="549"/>
      <c r="Z7" s="549"/>
      <c r="AA7" s="549"/>
      <c r="AB7" s="549"/>
      <c r="AC7" s="549"/>
      <c r="AD7" s="549"/>
      <c r="AE7" s="549"/>
      <c r="AF7" s="549"/>
      <c r="AG7" s="549"/>
      <c r="AH7" s="549"/>
      <c r="AI7" s="549"/>
      <c r="AJ7" s="9"/>
    </row>
    <row r="8" spans="1:127" ht="12" customHeight="1" x14ac:dyDescent="0.2">
      <c r="B8" s="7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49"/>
      <c r="AE8" s="549"/>
      <c r="AF8" s="549"/>
      <c r="AG8" s="549"/>
      <c r="AH8" s="549"/>
      <c r="AI8" s="549"/>
      <c r="AJ8" s="9"/>
    </row>
    <row r="9" spans="1:127" ht="6" customHeight="1" x14ac:dyDescent="0.2"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9"/>
    </row>
    <row r="10" spans="1:127" ht="18" customHeight="1" x14ac:dyDescent="0.2">
      <c r="B10" s="7"/>
      <c r="C10" s="24" t="s">
        <v>3687</v>
      </c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550" t="str">
        <f>LISTAS!D26</f>
        <v/>
      </c>
      <c r="T10" s="551"/>
      <c r="U10" s="551"/>
      <c r="V10" s="551"/>
      <c r="W10" s="551"/>
      <c r="X10" s="551"/>
      <c r="Y10" s="551"/>
      <c r="Z10" s="551"/>
      <c r="AA10" s="551"/>
      <c r="AB10" s="551"/>
      <c r="AC10" s="551"/>
      <c r="AD10" s="551"/>
      <c r="AE10" s="551"/>
      <c r="AF10" s="551"/>
      <c r="AG10" s="551"/>
      <c r="AH10" s="551"/>
      <c r="AI10" s="552"/>
      <c r="AJ10" s="9"/>
    </row>
    <row r="11" spans="1:127" ht="6" customHeight="1" x14ac:dyDescent="0.2">
      <c r="B11" s="7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9"/>
    </row>
    <row r="12" spans="1:127" ht="18" customHeight="1" x14ac:dyDescent="0.2">
      <c r="B12" s="7"/>
      <c r="C12" s="24" t="s">
        <v>3688</v>
      </c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553">
        <f ca="1">NOW()</f>
        <v>42691.321685069444</v>
      </c>
      <c r="T12" s="554"/>
      <c r="U12" s="554"/>
      <c r="V12" s="554"/>
      <c r="W12" s="554"/>
      <c r="X12" s="554"/>
      <c r="Y12" s="554"/>
      <c r="Z12" s="554"/>
      <c r="AA12" s="554"/>
      <c r="AB12" s="554"/>
      <c r="AC12" s="554"/>
      <c r="AD12" s="554"/>
      <c r="AE12" s="554"/>
      <c r="AF12" s="554"/>
      <c r="AG12" s="554"/>
      <c r="AH12" s="554"/>
      <c r="AI12" s="555"/>
      <c r="AJ12" s="9"/>
    </row>
    <row r="13" spans="1:127" ht="6" customHeight="1" x14ac:dyDescent="0.2">
      <c r="B13" s="25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26"/>
    </row>
    <row r="14" spans="1:127" ht="6" customHeight="1" x14ac:dyDescent="0.2">
      <c r="B14" s="27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28"/>
    </row>
    <row r="15" spans="1:127" ht="12" customHeight="1" x14ac:dyDescent="0.2">
      <c r="B15" s="7"/>
      <c r="C15" s="24" t="s">
        <v>3689</v>
      </c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9"/>
    </row>
    <row r="16" spans="1:127" ht="6" customHeight="1" x14ac:dyDescent="0.2">
      <c r="B16" s="7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9"/>
    </row>
    <row r="17" spans="2:36" ht="15.95" customHeight="1" x14ac:dyDescent="0.2">
      <c r="B17" s="7"/>
      <c r="C17" s="24" t="s">
        <v>3697</v>
      </c>
      <c r="D17" s="8"/>
      <c r="E17" s="8"/>
      <c r="F17" s="8"/>
      <c r="G17" s="8"/>
      <c r="H17" s="8"/>
      <c r="I17" s="556" t="str">
        <f>IF('MOD2'!Q38="",'MOD2'!Q26,'MOD2'!Q38)</f>
        <v/>
      </c>
      <c r="J17" s="557"/>
      <c r="K17" s="557"/>
      <c r="L17" s="557"/>
      <c r="M17" s="557"/>
      <c r="N17" s="557"/>
      <c r="O17" s="557"/>
      <c r="P17" s="557"/>
      <c r="Q17" s="557"/>
      <c r="R17" s="557"/>
      <c r="S17" s="557"/>
      <c r="T17" s="557"/>
      <c r="U17" s="557"/>
      <c r="V17" s="557"/>
      <c r="W17" s="557"/>
      <c r="X17" s="557"/>
      <c r="Y17" s="557"/>
      <c r="Z17" s="557"/>
      <c r="AA17" s="557"/>
      <c r="AB17" s="557"/>
      <c r="AC17" s="557"/>
      <c r="AD17" s="557"/>
      <c r="AE17" s="557"/>
      <c r="AF17" s="557"/>
      <c r="AG17" s="557"/>
      <c r="AH17" s="557"/>
      <c r="AI17" s="558"/>
      <c r="AJ17" s="9"/>
    </row>
    <row r="18" spans="2:36" ht="15.95" customHeight="1" x14ac:dyDescent="0.2">
      <c r="B18" s="7"/>
      <c r="C18" s="24" t="s">
        <v>3690</v>
      </c>
      <c r="D18" s="8"/>
      <c r="E18" s="8"/>
      <c r="F18" s="8"/>
      <c r="G18" s="8"/>
      <c r="H18" s="8"/>
      <c r="I18" s="556" t="str">
        <f>IF('MOD2'!M26="","",'MOD2'!M26)&amp;IF('MOD2'!M28="",""," - "&amp;'MOD2'!M28)&amp;IF('MOD2'!M30="",""," - "&amp;'MOD2'!M30&amp;"  ")&amp;IF('MOD2'!M38="","",'MOD2'!M38)&amp;IF('MOD2'!M40="",""," - "&amp;'MOD2'!M40)</f>
        <v/>
      </c>
      <c r="J18" s="557"/>
      <c r="K18" s="557"/>
      <c r="L18" s="557"/>
      <c r="M18" s="557"/>
      <c r="N18" s="557"/>
      <c r="O18" s="557"/>
      <c r="P18" s="557"/>
      <c r="Q18" s="557"/>
      <c r="R18" s="557"/>
      <c r="S18" s="557"/>
      <c r="T18" s="557"/>
      <c r="U18" s="557"/>
      <c r="V18" s="557"/>
      <c r="W18" s="557"/>
      <c r="X18" s="557"/>
      <c r="Y18" s="557"/>
      <c r="Z18" s="557"/>
      <c r="AA18" s="557"/>
      <c r="AB18" s="557"/>
      <c r="AC18" s="557"/>
      <c r="AD18" s="557"/>
      <c r="AE18" s="557"/>
      <c r="AF18" s="557"/>
      <c r="AG18" s="557"/>
      <c r="AH18" s="557"/>
      <c r="AI18" s="558"/>
      <c r="AJ18" s="9"/>
    </row>
    <row r="19" spans="2:36" ht="15.95" customHeight="1" x14ac:dyDescent="0.2">
      <c r="B19" s="7"/>
      <c r="C19" s="24" t="s">
        <v>3691</v>
      </c>
      <c r="D19" s="22"/>
      <c r="E19" s="22"/>
      <c r="F19" s="22"/>
      <c r="G19" s="22"/>
      <c r="H19" s="22"/>
      <c r="I19" s="556" t="str">
        <f>IF('MOD2'!D26="","",'MOD2'!D26)&amp;IF('MOD2'!D28="",""," - "&amp;'MOD2'!D28)&amp;IF('MOD2'!D30="",""," - "&amp;'MOD2'!D30&amp;"  ")&amp;IF('MOD2'!D38="","",'MOD2'!D38)&amp;IF('MOD2'!D40="",""," - "&amp;'MOD2'!D40)</f>
        <v/>
      </c>
      <c r="J19" s="557"/>
      <c r="K19" s="557"/>
      <c r="L19" s="557"/>
      <c r="M19" s="557"/>
      <c r="N19" s="557"/>
      <c r="O19" s="557"/>
      <c r="P19" s="557"/>
      <c r="Q19" s="557"/>
      <c r="R19" s="557"/>
      <c r="S19" s="557"/>
      <c r="T19" s="557"/>
      <c r="U19" s="557"/>
      <c r="V19" s="557"/>
      <c r="W19" s="557"/>
      <c r="X19" s="557"/>
      <c r="Y19" s="557"/>
      <c r="Z19" s="557"/>
      <c r="AA19" s="557"/>
      <c r="AB19" s="557"/>
      <c r="AC19" s="557"/>
      <c r="AD19" s="557"/>
      <c r="AE19" s="557"/>
      <c r="AF19" s="557"/>
      <c r="AG19" s="557"/>
      <c r="AH19" s="557"/>
      <c r="AI19" s="558"/>
      <c r="AJ19" s="9"/>
    </row>
    <row r="20" spans="2:36" ht="15.95" customHeight="1" x14ac:dyDescent="0.2">
      <c r="B20" s="7"/>
      <c r="C20" s="24" t="s">
        <v>3694</v>
      </c>
      <c r="D20" s="22"/>
      <c r="E20" s="22"/>
      <c r="F20" s="22"/>
      <c r="G20" s="22"/>
      <c r="H20" s="22"/>
      <c r="I20" s="556" t="str">
        <f>IF('MOD2'!AH26="","",'MOD2'!AH26)&amp;IF('MOD2'!AH28="",""," - "&amp;'MOD2'!AH28)&amp;IF('MOD2'!AH30="",""," - "&amp;'MOD2'!AH30&amp;"  ")&amp;IF('MOD2'!AH38="","",'MOD2'!AH38)&amp;IF('MOD2'!AH40="",""," - "&amp;'MOD2'!AH40)</f>
        <v/>
      </c>
      <c r="J20" s="557"/>
      <c r="K20" s="557"/>
      <c r="L20" s="557"/>
      <c r="M20" s="557"/>
      <c r="N20" s="557"/>
      <c r="O20" s="557"/>
      <c r="P20" s="557"/>
      <c r="Q20" s="557"/>
      <c r="R20" s="557"/>
      <c r="S20" s="557"/>
      <c r="T20" s="557"/>
      <c r="U20" s="557"/>
      <c r="V20" s="557"/>
      <c r="W20" s="557"/>
      <c r="X20" s="557"/>
      <c r="Y20" s="557"/>
      <c r="Z20" s="557"/>
      <c r="AA20" s="557"/>
      <c r="AB20" s="557"/>
      <c r="AC20" s="557"/>
      <c r="AD20" s="557"/>
      <c r="AE20" s="557"/>
      <c r="AF20" s="557"/>
      <c r="AG20" s="557"/>
      <c r="AH20" s="557"/>
      <c r="AI20" s="558"/>
      <c r="AJ20" s="9"/>
    </row>
    <row r="21" spans="2:36" ht="15.95" customHeight="1" x14ac:dyDescent="0.2">
      <c r="B21" s="7"/>
      <c r="C21" s="24" t="s">
        <v>3696</v>
      </c>
      <c r="D21" s="22"/>
      <c r="E21" s="22"/>
      <c r="F21" s="22"/>
      <c r="G21" s="22"/>
      <c r="H21" s="22"/>
      <c r="I21" s="556">
        <f>'MOD2'!AA18</f>
        <v>0</v>
      </c>
      <c r="J21" s="557"/>
      <c r="K21" s="557"/>
      <c r="L21" s="557"/>
      <c r="M21" s="557"/>
      <c r="N21" s="557"/>
      <c r="O21" s="557"/>
      <c r="P21" s="557"/>
      <c r="Q21" s="557"/>
      <c r="R21" s="557"/>
      <c r="S21" s="557"/>
      <c r="T21" s="557"/>
      <c r="U21" s="557"/>
      <c r="V21" s="557"/>
      <c r="W21" s="557"/>
      <c r="X21" s="557"/>
      <c r="Y21" s="557"/>
      <c r="Z21" s="557"/>
      <c r="AA21" s="557"/>
      <c r="AB21" s="557"/>
      <c r="AC21" s="557"/>
      <c r="AD21" s="557"/>
      <c r="AE21" s="557"/>
      <c r="AF21" s="557"/>
      <c r="AG21" s="557"/>
      <c r="AH21" s="557"/>
      <c r="AI21" s="558"/>
      <c r="AJ21" s="9"/>
    </row>
    <row r="22" spans="2:36" ht="15.95" customHeight="1" x14ac:dyDescent="0.2">
      <c r="B22" s="7"/>
      <c r="C22" s="24" t="s">
        <v>3692</v>
      </c>
      <c r="D22" s="22"/>
      <c r="E22" s="22"/>
      <c r="F22" s="22"/>
      <c r="G22" s="22"/>
      <c r="H22" s="22"/>
      <c r="I22" s="556">
        <f>'MOD2'!T18</f>
        <v>0</v>
      </c>
      <c r="J22" s="557"/>
      <c r="K22" s="557"/>
      <c r="L22" s="557"/>
      <c r="M22" s="557"/>
      <c r="N22" s="557"/>
      <c r="O22" s="557"/>
      <c r="P22" s="557"/>
      <c r="Q22" s="557"/>
      <c r="R22" s="557"/>
      <c r="S22" s="557"/>
      <c r="T22" s="557"/>
      <c r="U22" s="557"/>
      <c r="V22" s="557"/>
      <c r="W22" s="557"/>
      <c r="X22" s="557"/>
      <c r="Y22" s="557"/>
      <c r="Z22" s="557"/>
      <c r="AA22" s="557"/>
      <c r="AB22" s="557"/>
      <c r="AC22" s="557"/>
      <c r="AD22" s="557"/>
      <c r="AE22" s="557"/>
      <c r="AF22" s="557"/>
      <c r="AG22" s="557"/>
      <c r="AH22" s="557"/>
      <c r="AI22" s="558"/>
      <c r="AJ22" s="9"/>
    </row>
    <row r="23" spans="2:36" ht="15.95" customHeight="1" x14ac:dyDescent="0.2">
      <c r="B23" s="7"/>
      <c r="C23" s="24" t="s">
        <v>3695</v>
      </c>
      <c r="D23" s="22"/>
      <c r="E23" s="22"/>
      <c r="F23" s="22"/>
      <c r="G23" s="22"/>
      <c r="H23" s="22"/>
      <c r="I23" s="556">
        <f>'MOD2'!D13</f>
        <v>0</v>
      </c>
      <c r="J23" s="557"/>
      <c r="K23" s="557"/>
      <c r="L23" s="557"/>
      <c r="M23" s="557"/>
      <c r="N23" s="557"/>
      <c r="O23" s="557"/>
      <c r="P23" s="557"/>
      <c r="Q23" s="557"/>
      <c r="R23" s="557"/>
      <c r="S23" s="557"/>
      <c r="T23" s="557"/>
      <c r="U23" s="557"/>
      <c r="V23" s="557"/>
      <c r="W23" s="557"/>
      <c r="X23" s="557"/>
      <c r="Y23" s="557"/>
      <c r="Z23" s="557"/>
      <c r="AA23" s="557"/>
      <c r="AB23" s="557"/>
      <c r="AC23" s="557"/>
      <c r="AD23" s="557"/>
      <c r="AE23" s="557"/>
      <c r="AF23" s="557"/>
      <c r="AG23" s="557"/>
      <c r="AH23" s="557"/>
      <c r="AI23" s="558"/>
      <c r="AJ23" s="9"/>
    </row>
    <row r="24" spans="2:36" ht="6" customHeight="1" x14ac:dyDescent="0.2">
      <c r="B24" s="25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26"/>
    </row>
    <row r="25" spans="2:36" ht="6" customHeight="1" x14ac:dyDescent="0.2">
      <c r="B25" s="27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28"/>
    </row>
    <row r="26" spans="2:36" ht="12" customHeight="1" x14ac:dyDescent="0.2">
      <c r="B26" s="7"/>
      <c r="C26" s="24" t="s">
        <v>3726</v>
      </c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9"/>
    </row>
    <row r="27" spans="2:36" ht="6" customHeight="1" x14ac:dyDescent="0.2">
      <c r="B27" s="7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9"/>
    </row>
    <row r="28" spans="2:36" ht="9.9499999999999993" customHeight="1" x14ac:dyDescent="0.2">
      <c r="B28" s="7"/>
      <c r="C28" s="542" t="str">
        <f>IF('MOD3'!$D$15="","",'MOD3'!$D$15)</f>
        <v>Gestión escolar</v>
      </c>
      <c r="D28" s="543"/>
      <c r="E28" s="543"/>
      <c r="F28" s="543"/>
      <c r="G28" s="543"/>
      <c r="H28" s="543"/>
      <c r="I28" s="543"/>
      <c r="J28" s="543"/>
      <c r="K28" s="543"/>
      <c r="L28" s="543"/>
      <c r="M28" s="543"/>
      <c r="N28" s="543"/>
      <c r="O28" s="543"/>
      <c r="P28" s="543"/>
      <c r="Q28" s="543"/>
      <c r="R28" s="544"/>
      <c r="S28" s="22"/>
      <c r="T28" s="542" t="str">
        <f>IF('MOD3'!$T$15="","",'MOD3'!$T$15)</f>
        <v>Educación para el 
cambio climático</v>
      </c>
      <c r="U28" s="543"/>
      <c r="V28" s="543"/>
      <c r="W28" s="543"/>
      <c r="X28" s="543"/>
      <c r="Y28" s="543"/>
      <c r="Z28" s="543"/>
      <c r="AA28" s="543"/>
      <c r="AB28" s="543"/>
      <c r="AC28" s="543"/>
      <c r="AD28" s="543"/>
      <c r="AE28" s="543"/>
      <c r="AF28" s="543"/>
      <c r="AG28" s="543"/>
      <c r="AH28" s="543"/>
      <c r="AI28" s="544"/>
      <c r="AJ28" s="9"/>
    </row>
    <row r="29" spans="2:36" ht="9.9499999999999993" customHeight="1" x14ac:dyDescent="0.2">
      <c r="B29" s="7"/>
      <c r="C29" s="545"/>
      <c r="D29" s="546"/>
      <c r="E29" s="546"/>
      <c r="F29" s="546"/>
      <c r="G29" s="546"/>
      <c r="H29" s="546"/>
      <c r="I29" s="546"/>
      <c r="J29" s="546"/>
      <c r="K29" s="546"/>
      <c r="L29" s="546"/>
      <c r="M29" s="546"/>
      <c r="N29" s="546"/>
      <c r="O29" s="546"/>
      <c r="P29" s="546"/>
      <c r="Q29" s="546"/>
      <c r="R29" s="547"/>
      <c r="S29" s="22"/>
      <c r="T29" s="545"/>
      <c r="U29" s="546"/>
      <c r="V29" s="546"/>
      <c r="W29" s="546"/>
      <c r="X29" s="546"/>
      <c r="Y29" s="546"/>
      <c r="Z29" s="546"/>
      <c r="AA29" s="546"/>
      <c r="AB29" s="546"/>
      <c r="AC29" s="546"/>
      <c r="AD29" s="546"/>
      <c r="AE29" s="546"/>
      <c r="AF29" s="546"/>
      <c r="AG29" s="546"/>
      <c r="AH29" s="546"/>
      <c r="AI29" s="547"/>
      <c r="AJ29" s="9"/>
    </row>
    <row r="30" spans="2:36" ht="12" customHeight="1" x14ac:dyDescent="0.2">
      <c r="B30" s="7"/>
      <c r="C30" s="533" t="s">
        <v>3701</v>
      </c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7"/>
      <c r="P30" s="538">
        <f>COUNTIFS(LISTAS!A:A,1,LISTAS!D:D,"SI")</f>
        <v>0</v>
      </c>
      <c r="Q30" s="539"/>
      <c r="R30" s="540"/>
      <c r="S30" s="22"/>
      <c r="T30" s="533" t="s">
        <v>3701</v>
      </c>
      <c r="U30" s="534"/>
      <c r="V30" s="534"/>
      <c r="W30" s="534"/>
      <c r="X30" s="534"/>
      <c r="Y30" s="534"/>
      <c r="Z30" s="534"/>
      <c r="AA30" s="534"/>
      <c r="AB30" s="534"/>
      <c r="AC30" s="534"/>
      <c r="AD30" s="534"/>
      <c r="AE30" s="534"/>
      <c r="AF30" s="537"/>
      <c r="AG30" s="538">
        <f>COUNTIFS(LISTAS!A:A,2,LISTAS!D:D,"SI")</f>
        <v>0</v>
      </c>
      <c r="AH30" s="539"/>
      <c r="AI30" s="540"/>
      <c r="AJ30" s="9"/>
    </row>
    <row r="31" spans="2:36" ht="12" customHeight="1" x14ac:dyDescent="0.2">
      <c r="B31" s="7"/>
      <c r="C31" s="533" t="s">
        <v>3700</v>
      </c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7"/>
      <c r="P31" s="541">
        <f>P30/COUNTIFS(LISTAS!$A:$A,1)</f>
        <v>0</v>
      </c>
      <c r="Q31" s="539"/>
      <c r="R31" s="540"/>
      <c r="S31" s="22"/>
      <c r="T31" s="533" t="s">
        <v>3700</v>
      </c>
      <c r="U31" s="534"/>
      <c r="V31" s="534"/>
      <c r="W31" s="534"/>
      <c r="X31" s="534"/>
      <c r="Y31" s="534"/>
      <c r="Z31" s="534"/>
      <c r="AA31" s="534"/>
      <c r="AB31" s="534"/>
      <c r="AC31" s="534"/>
      <c r="AD31" s="534"/>
      <c r="AE31" s="534"/>
      <c r="AF31" s="537"/>
      <c r="AG31" s="541">
        <f>AG30/COUNTIFS(LISTAS!$A:$A,2)</f>
        <v>0</v>
      </c>
      <c r="AH31" s="539"/>
      <c r="AI31" s="540"/>
      <c r="AJ31" s="9"/>
    </row>
    <row r="32" spans="2:36" ht="6" customHeight="1" x14ac:dyDescent="0.2">
      <c r="B32" s="7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9"/>
    </row>
    <row r="33" spans="2:36" ht="9.9499999999999993" customHeight="1" x14ac:dyDescent="0.2">
      <c r="B33" s="7"/>
      <c r="C33" s="542" t="str">
        <f>IF('MOD3'!$AJ$15="","",'MOD3'!$AJ$15)</f>
        <v>Educación en ecoeficiencia</v>
      </c>
      <c r="D33" s="543"/>
      <c r="E33" s="543"/>
      <c r="F33" s="543"/>
      <c r="G33" s="543"/>
      <c r="H33" s="543"/>
      <c r="I33" s="543"/>
      <c r="J33" s="543"/>
      <c r="K33" s="543"/>
      <c r="L33" s="543"/>
      <c r="M33" s="543"/>
      <c r="N33" s="543"/>
      <c r="O33" s="543"/>
      <c r="P33" s="543"/>
      <c r="Q33" s="543"/>
      <c r="R33" s="544"/>
      <c r="S33" s="22"/>
      <c r="T33" s="542" t="str">
        <f>IF('MOD3'!$D$31="","",'MOD3'!$D$31)</f>
        <v>Educación en salud</v>
      </c>
      <c r="U33" s="543"/>
      <c r="V33" s="543"/>
      <c r="W33" s="543"/>
      <c r="X33" s="543"/>
      <c r="Y33" s="543"/>
      <c r="Z33" s="543"/>
      <c r="AA33" s="543"/>
      <c r="AB33" s="543"/>
      <c r="AC33" s="543"/>
      <c r="AD33" s="543"/>
      <c r="AE33" s="543"/>
      <c r="AF33" s="543"/>
      <c r="AG33" s="543"/>
      <c r="AH33" s="543"/>
      <c r="AI33" s="544"/>
      <c r="AJ33" s="9"/>
    </row>
    <row r="34" spans="2:36" ht="9.9499999999999993" customHeight="1" x14ac:dyDescent="0.2">
      <c r="B34" s="7"/>
      <c r="C34" s="545"/>
      <c r="D34" s="546"/>
      <c r="E34" s="546"/>
      <c r="F34" s="546"/>
      <c r="G34" s="546"/>
      <c r="H34" s="546"/>
      <c r="I34" s="546"/>
      <c r="J34" s="546"/>
      <c r="K34" s="546"/>
      <c r="L34" s="546"/>
      <c r="M34" s="546"/>
      <c r="N34" s="546"/>
      <c r="O34" s="546"/>
      <c r="P34" s="546"/>
      <c r="Q34" s="546"/>
      <c r="R34" s="547"/>
      <c r="S34" s="22"/>
      <c r="T34" s="545"/>
      <c r="U34" s="546"/>
      <c r="V34" s="546"/>
      <c r="W34" s="546"/>
      <c r="X34" s="546"/>
      <c r="Y34" s="546"/>
      <c r="Z34" s="546"/>
      <c r="AA34" s="546"/>
      <c r="AB34" s="546"/>
      <c r="AC34" s="546"/>
      <c r="AD34" s="546"/>
      <c r="AE34" s="546"/>
      <c r="AF34" s="546"/>
      <c r="AG34" s="546"/>
      <c r="AH34" s="546"/>
      <c r="AI34" s="547"/>
      <c r="AJ34" s="9"/>
    </row>
    <row r="35" spans="2:36" ht="12" customHeight="1" x14ac:dyDescent="0.2">
      <c r="B35" s="7"/>
      <c r="C35" s="533" t="s">
        <v>3701</v>
      </c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7"/>
      <c r="P35" s="538">
        <f>COUNTIFS(LISTAS!A:A,3,LISTAS!D:D,"SI")</f>
        <v>0</v>
      </c>
      <c r="Q35" s="539"/>
      <c r="R35" s="540"/>
      <c r="S35" s="22"/>
      <c r="T35" s="533" t="s">
        <v>3701</v>
      </c>
      <c r="U35" s="534"/>
      <c r="V35" s="534"/>
      <c r="W35" s="534"/>
      <c r="X35" s="534"/>
      <c r="Y35" s="534"/>
      <c r="Z35" s="534"/>
      <c r="AA35" s="534"/>
      <c r="AB35" s="534"/>
      <c r="AC35" s="534"/>
      <c r="AD35" s="534"/>
      <c r="AE35" s="534"/>
      <c r="AF35" s="537"/>
      <c r="AG35" s="538">
        <f>COUNTIFS(LISTAS!A:A,4,LISTAS!D:D,"SI")</f>
        <v>0</v>
      </c>
      <c r="AH35" s="539"/>
      <c r="AI35" s="540"/>
      <c r="AJ35" s="9"/>
    </row>
    <row r="36" spans="2:36" ht="12" customHeight="1" x14ac:dyDescent="0.2">
      <c r="B36" s="7"/>
      <c r="C36" s="533" t="s">
        <v>3700</v>
      </c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7"/>
      <c r="P36" s="541">
        <f>P35/COUNTIFS(LISTAS!$A:$A,3)</f>
        <v>0</v>
      </c>
      <c r="Q36" s="539"/>
      <c r="R36" s="540"/>
      <c r="S36" s="22"/>
      <c r="T36" s="533" t="s">
        <v>3700</v>
      </c>
      <c r="U36" s="534"/>
      <c r="V36" s="534"/>
      <c r="W36" s="534"/>
      <c r="X36" s="534"/>
      <c r="Y36" s="534"/>
      <c r="Z36" s="534"/>
      <c r="AA36" s="534"/>
      <c r="AB36" s="534"/>
      <c r="AC36" s="534"/>
      <c r="AD36" s="534"/>
      <c r="AE36" s="534"/>
      <c r="AF36" s="537"/>
      <c r="AG36" s="541">
        <f>AG35/(COUNTIFS(LISTAS!$A:$A,4)-COUNTIF(LISTAS!D21:D22,"NO")*4)</f>
        <v>0</v>
      </c>
      <c r="AH36" s="539"/>
      <c r="AI36" s="540"/>
      <c r="AJ36" s="9"/>
    </row>
    <row r="37" spans="2:36" ht="6" customHeight="1" x14ac:dyDescent="0.2">
      <c r="B37" s="7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9"/>
    </row>
    <row r="38" spans="2:36" ht="9.9499999999999993" customHeight="1" x14ac:dyDescent="0.2">
      <c r="B38" s="7"/>
      <c r="C38" s="542" t="str">
        <f>IF('MOD3'!$T$31="","",'MOD3'!$T$31)</f>
        <v>Gestión del riesgo</v>
      </c>
      <c r="D38" s="543"/>
      <c r="E38" s="543"/>
      <c r="F38" s="543"/>
      <c r="G38" s="543"/>
      <c r="H38" s="543"/>
      <c r="I38" s="543"/>
      <c r="J38" s="543"/>
      <c r="K38" s="543"/>
      <c r="L38" s="543"/>
      <c r="M38" s="543"/>
      <c r="N38" s="543"/>
      <c r="O38" s="543"/>
      <c r="P38" s="543"/>
      <c r="Q38" s="543"/>
      <c r="R38" s="544"/>
      <c r="S38" s="22"/>
      <c r="T38" s="542" t="str">
        <f>IF('MOD3'!$AJ$31="","",'MOD3'!$AJ$31)</f>
        <v>Proyectos educativos 
ambientales integrales</v>
      </c>
      <c r="U38" s="543"/>
      <c r="V38" s="543"/>
      <c r="W38" s="543"/>
      <c r="X38" s="543"/>
      <c r="Y38" s="543"/>
      <c r="Z38" s="543"/>
      <c r="AA38" s="543"/>
      <c r="AB38" s="543"/>
      <c r="AC38" s="543"/>
      <c r="AD38" s="543"/>
      <c r="AE38" s="543"/>
      <c r="AF38" s="543"/>
      <c r="AG38" s="543"/>
      <c r="AH38" s="543"/>
      <c r="AI38" s="544"/>
      <c r="AJ38" s="9"/>
    </row>
    <row r="39" spans="2:36" ht="9.9499999999999993" customHeight="1" x14ac:dyDescent="0.2">
      <c r="B39" s="7"/>
      <c r="C39" s="545"/>
      <c r="D39" s="546"/>
      <c r="E39" s="546"/>
      <c r="F39" s="546"/>
      <c r="G39" s="546"/>
      <c r="H39" s="546"/>
      <c r="I39" s="546"/>
      <c r="J39" s="546"/>
      <c r="K39" s="546"/>
      <c r="L39" s="546"/>
      <c r="M39" s="546"/>
      <c r="N39" s="546"/>
      <c r="O39" s="546"/>
      <c r="P39" s="546"/>
      <c r="Q39" s="546"/>
      <c r="R39" s="547"/>
      <c r="S39" s="22"/>
      <c r="T39" s="545"/>
      <c r="U39" s="546"/>
      <c r="V39" s="546"/>
      <c r="W39" s="546"/>
      <c r="X39" s="546"/>
      <c r="Y39" s="546"/>
      <c r="Z39" s="546"/>
      <c r="AA39" s="546"/>
      <c r="AB39" s="546"/>
      <c r="AC39" s="546"/>
      <c r="AD39" s="546"/>
      <c r="AE39" s="546"/>
      <c r="AF39" s="546"/>
      <c r="AG39" s="546"/>
      <c r="AH39" s="546"/>
      <c r="AI39" s="547"/>
      <c r="AJ39" s="9"/>
    </row>
    <row r="40" spans="2:36" ht="12" customHeight="1" x14ac:dyDescent="0.2">
      <c r="B40" s="7"/>
      <c r="C40" s="533" t="s">
        <v>3701</v>
      </c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7"/>
      <c r="P40" s="538">
        <f>COUNTIFS(LISTAS!A:A,5,LISTAS!D:D,"SI")</f>
        <v>0</v>
      </c>
      <c r="Q40" s="539"/>
      <c r="R40" s="540"/>
      <c r="S40" s="22"/>
      <c r="T40" s="533" t="s">
        <v>3701</v>
      </c>
      <c r="U40" s="534"/>
      <c r="V40" s="534"/>
      <c r="W40" s="534"/>
      <c r="X40" s="534"/>
      <c r="Y40" s="534"/>
      <c r="Z40" s="534"/>
      <c r="AA40" s="534"/>
      <c r="AB40" s="534"/>
      <c r="AC40" s="534"/>
      <c r="AD40" s="534"/>
      <c r="AE40" s="534"/>
      <c r="AF40" s="537"/>
      <c r="AG40" s="538">
        <f>COUNTIFS(LISTAS!A:A,6,LISTAS!D:D,"SI")</f>
        <v>0</v>
      </c>
      <c r="AH40" s="539"/>
      <c r="AI40" s="540"/>
      <c r="AJ40" s="9"/>
    </row>
    <row r="41" spans="2:36" ht="12" customHeight="1" x14ac:dyDescent="0.2">
      <c r="B41" s="7"/>
      <c r="C41" s="533" t="s">
        <v>3700</v>
      </c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7"/>
      <c r="P41" s="541">
        <f>P40/COUNTIFS(LISTAS!$A:$A,5)</f>
        <v>0</v>
      </c>
      <c r="Q41" s="539"/>
      <c r="R41" s="540"/>
      <c r="S41" s="22"/>
      <c r="T41" s="533" t="s">
        <v>3700</v>
      </c>
      <c r="U41" s="534"/>
      <c r="V41" s="534"/>
      <c r="W41" s="534"/>
      <c r="X41" s="534"/>
      <c r="Y41" s="534"/>
      <c r="Z41" s="534"/>
      <c r="AA41" s="534"/>
      <c r="AB41" s="534"/>
      <c r="AC41" s="534"/>
      <c r="AD41" s="534"/>
      <c r="AE41" s="534"/>
      <c r="AF41" s="537"/>
      <c r="AG41" s="541">
        <f>IFERROR(AG40/(COUNTIFS(LISTAS!A:A,"PEIA",LISTAS!D:D,"SI")*4),0)</f>
        <v>0</v>
      </c>
      <c r="AH41" s="539"/>
      <c r="AI41" s="540"/>
      <c r="AJ41" s="9"/>
    </row>
    <row r="42" spans="2:36" ht="6" customHeight="1" x14ac:dyDescent="0.2">
      <c r="B42" s="25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6"/>
    </row>
    <row r="43" spans="2:36" ht="6" customHeight="1" x14ac:dyDescent="0.2">
      <c r="B43" s="27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28"/>
    </row>
    <row r="44" spans="2:36" ht="9.9499999999999993" customHeight="1" x14ac:dyDescent="0.2">
      <c r="B44" s="7"/>
      <c r="C44" s="559" t="s">
        <v>3725</v>
      </c>
      <c r="D44" s="560"/>
      <c r="E44" s="560"/>
      <c r="F44" s="560"/>
      <c r="G44" s="560"/>
      <c r="H44" s="560"/>
      <c r="I44" s="560"/>
      <c r="J44" s="560"/>
      <c r="K44" s="560"/>
      <c r="L44" s="560"/>
      <c r="M44" s="560"/>
      <c r="N44" s="560"/>
      <c r="O44" s="560"/>
      <c r="P44" s="560"/>
      <c r="Q44" s="560"/>
      <c r="R44" s="560"/>
      <c r="S44" s="560"/>
      <c r="T44" s="560"/>
      <c r="U44" s="560"/>
      <c r="V44" s="560"/>
      <c r="W44" s="560"/>
      <c r="X44" s="560"/>
      <c r="Y44" s="560"/>
      <c r="Z44" s="560"/>
      <c r="AA44" s="560"/>
      <c r="AB44" s="560"/>
      <c r="AC44" s="560"/>
      <c r="AD44" s="560"/>
      <c r="AE44" s="560"/>
      <c r="AF44" s="560"/>
      <c r="AG44" s="560"/>
      <c r="AH44" s="560"/>
      <c r="AI44" s="561"/>
      <c r="AJ44" s="9"/>
    </row>
    <row r="45" spans="2:36" ht="9.9499999999999993" customHeight="1" x14ac:dyDescent="0.2">
      <c r="B45" s="7"/>
      <c r="C45" s="562"/>
      <c r="D45" s="563"/>
      <c r="E45" s="563"/>
      <c r="F45" s="563"/>
      <c r="G45" s="563"/>
      <c r="H45" s="563"/>
      <c r="I45" s="563"/>
      <c r="J45" s="563"/>
      <c r="K45" s="563"/>
      <c r="L45" s="563"/>
      <c r="M45" s="563"/>
      <c r="N45" s="563"/>
      <c r="O45" s="563"/>
      <c r="P45" s="563"/>
      <c r="Q45" s="563"/>
      <c r="R45" s="563"/>
      <c r="S45" s="564"/>
      <c r="T45" s="563"/>
      <c r="U45" s="563"/>
      <c r="V45" s="563"/>
      <c r="W45" s="563"/>
      <c r="X45" s="563"/>
      <c r="Y45" s="563"/>
      <c r="Z45" s="563"/>
      <c r="AA45" s="563"/>
      <c r="AB45" s="563"/>
      <c r="AC45" s="563"/>
      <c r="AD45" s="563"/>
      <c r="AE45" s="563"/>
      <c r="AF45" s="563"/>
      <c r="AG45" s="563"/>
      <c r="AH45" s="563"/>
      <c r="AI45" s="565"/>
      <c r="AJ45" s="9"/>
    </row>
    <row r="46" spans="2:36" ht="12" customHeight="1" x14ac:dyDescent="0.2">
      <c r="B46" s="7"/>
      <c r="C46" s="533" t="s">
        <v>3819</v>
      </c>
      <c r="D46" s="534"/>
      <c r="E46" s="534"/>
      <c r="F46" s="534"/>
      <c r="G46" s="534"/>
      <c r="H46" s="534"/>
      <c r="I46" s="534"/>
      <c r="J46" s="534"/>
      <c r="K46" s="534"/>
      <c r="L46" s="534"/>
      <c r="M46" s="534"/>
      <c r="N46" s="534"/>
      <c r="O46" s="537"/>
      <c r="P46" s="541">
        <f>(P30+AG30+P35+AG35+P40+AG40)/(COUNTIF(LISTAS!A:A,"&lt;"&amp;6)-COUNTIF(LISTAS!D21:D22,"NO")*4+COUNTIF(LISTAS!D111:D118,"SI")*4+IF(A2=TRUE,4,0))</f>
        <v>0</v>
      </c>
      <c r="Q46" s="566"/>
      <c r="R46" s="567"/>
      <c r="S46" s="31"/>
      <c r="T46" s="533" t="str">
        <f>CONCATENATE("Nivel de logro: ",IF($P$46&gt;0.75,"Destacado",IF($P$46&gt;0.5,"Previsto",IF($P$46&gt;0.25,"En proceso",IF($P$46&gt;0,"En inicio","Por iniciar")))))</f>
        <v>Nivel de logro: Por iniciar</v>
      </c>
      <c r="U46" s="534"/>
      <c r="V46" s="534"/>
      <c r="W46" s="534"/>
      <c r="X46" s="534"/>
      <c r="Y46" s="534"/>
      <c r="Z46" s="534"/>
      <c r="AA46" s="534"/>
      <c r="AB46" s="534"/>
      <c r="AC46" s="534"/>
      <c r="AD46" s="534"/>
      <c r="AE46" s="534"/>
      <c r="AF46" s="534"/>
      <c r="AG46" s="535"/>
      <c r="AH46" s="535"/>
      <c r="AI46" s="536"/>
      <c r="AJ46" s="9"/>
    </row>
    <row r="47" spans="2:36" ht="6" customHeight="1" x14ac:dyDescent="0.2">
      <c r="B47" s="25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6"/>
    </row>
    <row r="48" spans="2:36" ht="6" customHeight="1" x14ac:dyDescent="0.2">
      <c r="B48" s="27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28"/>
    </row>
    <row r="49" spans="2:36" ht="12" customHeight="1" x14ac:dyDescent="0.2">
      <c r="B49" s="7"/>
      <c r="C49" s="24" t="s">
        <v>3820</v>
      </c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9"/>
    </row>
    <row r="50" spans="2:36" ht="12" customHeight="1" x14ac:dyDescent="0.2">
      <c r="B50" s="7"/>
      <c r="C50" s="126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30"/>
      <c r="AJ50" s="9"/>
    </row>
    <row r="51" spans="2:36" ht="15" customHeight="1" x14ac:dyDescent="0.2">
      <c r="B51" s="7"/>
      <c r="C51" s="127">
        <v>1</v>
      </c>
      <c r="D51" s="131" t="s">
        <v>4394</v>
      </c>
      <c r="E51" s="532" t="str">
        <f>IFERROR(VLOOKUP(C51,LISTAS!$BD$2:$BG$24,4,FALSE),"")</f>
        <v/>
      </c>
      <c r="F51" s="532"/>
      <c r="G51" s="532"/>
      <c r="H51" s="532"/>
      <c r="I51" s="532"/>
      <c r="J51" s="532"/>
      <c r="K51" s="532"/>
      <c r="L51" s="532"/>
      <c r="M51" s="532"/>
      <c r="N51" s="532"/>
      <c r="O51" s="532"/>
      <c r="P51" s="532"/>
      <c r="Q51" s="532"/>
      <c r="R51" s="532"/>
      <c r="S51" s="132"/>
      <c r="T51" s="127">
        <v>11</v>
      </c>
      <c r="U51" s="131" t="s">
        <v>4394</v>
      </c>
      <c r="V51" s="531" t="str">
        <f>IFERROR(VLOOKUP(T51,LISTAS!$BD$2:$BG$24,4,FALSE),"")</f>
        <v/>
      </c>
      <c r="W51" s="531"/>
      <c r="X51" s="531"/>
      <c r="Y51" s="531"/>
      <c r="Z51" s="531"/>
      <c r="AA51" s="531"/>
      <c r="AB51" s="531"/>
      <c r="AC51" s="531"/>
      <c r="AD51" s="531"/>
      <c r="AE51" s="531"/>
      <c r="AF51" s="531"/>
      <c r="AG51" s="531"/>
      <c r="AH51" s="531"/>
      <c r="AI51" s="132"/>
      <c r="AJ51" s="9"/>
    </row>
    <row r="52" spans="2:36" ht="15" customHeight="1" x14ac:dyDescent="0.2">
      <c r="B52" s="7"/>
      <c r="C52" s="127">
        <v>2</v>
      </c>
      <c r="D52" s="131" t="s">
        <v>4394</v>
      </c>
      <c r="E52" s="532" t="str">
        <f>IFERROR(VLOOKUP(C52,LISTAS!$BD$2:$BG$24,4,FALSE),"")</f>
        <v/>
      </c>
      <c r="F52" s="532"/>
      <c r="G52" s="532"/>
      <c r="H52" s="532"/>
      <c r="I52" s="532"/>
      <c r="J52" s="532"/>
      <c r="K52" s="532"/>
      <c r="L52" s="532"/>
      <c r="M52" s="532"/>
      <c r="N52" s="532"/>
      <c r="O52" s="532"/>
      <c r="P52" s="532"/>
      <c r="Q52" s="532"/>
      <c r="R52" s="532"/>
      <c r="S52" s="132"/>
      <c r="T52" s="127">
        <v>12</v>
      </c>
      <c r="U52" s="131" t="s">
        <v>4394</v>
      </c>
      <c r="V52" s="531" t="str">
        <f>IFERROR(VLOOKUP(T52,LISTAS!$BD$2:$BG$24,4,FALSE),"")</f>
        <v/>
      </c>
      <c r="W52" s="531"/>
      <c r="X52" s="531"/>
      <c r="Y52" s="531"/>
      <c r="Z52" s="531"/>
      <c r="AA52" s="531"/>
      <c r="AB52" s="531"/>
      <c r="AC52" s="531"/>
      <c r="AD52" s="531"/>
      <c r="AE52" s="531"/>
      <c r="AF52" s="531"/>
      <c r="AG52" s="531"/>
      <c r="AH52" s="531"/>
      <c r="AI52" s="132"/>
      <c r="AJ52" s="9"/>
    </row>
    <row r="53" spans="2:36" ht="15" customHeight="1" x14ac:dyDescent="0.2">
      <c r="B53" s="7"/>
      <c r="C53" s="127">
        <v>3</v>
      </c>
      <c r="D53" s="131" t="s">
        <v>4394</v>
      </c>
      <c r="E53" s="532" t="str">
        <f>IFERROR(VLOOKUP(C53,LISTAS!$BD$2:$BG$24,4,FALSE),"")</f>
        <v/>
      </c>
      <c r="F53" s="532"/>
      <c r="G53" s="532"/>
      <c r="H53" s="532"/>
      <c r="I53" s="532"/>
      <c r="J53" s="532"/>
      <c r="K53" s="532"/>
      <c r="L53" s="532"/>
      <c r="M53" s="532"/>
      <c r="N53" s="532"/>
      <c r="O53" s="532"/>
      <c r="P53" s="532"/>
      <c r="Q53" s="532"/>
      <c r="R53" s="532"/>
      <c r="S53" s="132"/>
      <c r="T53" s="127">
        <v>13</v>
      </c>
      <c r="U53" s="131" t="s">
        <v>4394</v>
      </c>
      <c r="V53" s="531" t="str">
        <f>IFERROR(VLOOKUP(T53,LISTAS!$BD$2:$BG$24,4,FALSE),"")</f>
        <v/>
      </c>
      <c r="W53" s="531"/>
      <c r="X53" s="531"/>
      <c r="Y53" s="531"/>
      <c r="Z53" s="531"/>
      <c r="AA53" s="531"/>
      <c r="AB53" s="531"/>
      <c r="AC53" s="531"/>
      <c r="AD53" s="531"/>
      <c r="AE53" s="531"/>
      <c r="AF53" s="531"/>
      <c r="AG53" s="531"/>
      <c r="AH53" s="531"/>
      <c r="AI53" s="132"/>
      <c r="AJ53" s="9"/>
    </row>
    <row r="54" spans="2:36" ht="15" customHeight="1" x14ac:dyDescent="0.2">
      <c r="B54" s="7"/>
      <c r="C54" s="127">
        <v>4</v>
      </c>
      <c r="D54" s="131" t="s">
        <v>4394</v>
      </c>
      <c r="E54" s="532" t="str">
        <f>IFERROR(VLOOKUP(C54,LISTAS!$BD$2:$BG$24,4,FALSE),"")</f>
        <v/>
      </c>
      <c r="F54" s="532"/>
      <c r="G54" s="532"/>
      <c r="H54" s="532"/>
      <c r="I54" s="532"/>
      <c r="J54" s="532"/>
      <c r="K54" s="532"/>
      <c r="L54" s="532"/>
      <c r="M54" s="532"/>
      <c r="N54" s="532"/>
      <c r="O54" s="532"/>
      <c r="P54" s="532"/>
      <c r="Q54" s="532"/>
      <c r="R54" s="532"/>
      <c r="S54" s="132"/>
      <c r="T54" s="127">
        <v>14</v>
      </c>
      <c r="U54" s="131" t="s">
        <v>4394</v>
      </c>
      <c r="V54" s="531" t="str">
        <f>IFERROR(VLOOKUP(T54,LISTAS!$BD$2:$BG$24,4,FALSE),"")</f>
        <v/>
      </c>
      <c r="W54" s="531"/>
      <c r="X54" s="531"/>
      <c r="Y54" s="531"/>
      <c r="Z54" s="531"/>
      <c r="AA54" s="531"/>
      <c r="AB54" s="531"/>
      <c r="AC54" s="531"/>
      <c r="AD54" s="531"/>
      <c r="AE54" s="531"/>
      <c r="AF54" s="531"/>
      <c r="AG54" s="531"/>
      <c r="AH54" s="531"/>
      <c r="AI54" s="132"/>
      <c r="AJ54" s="9"/>
    </row>
    <row r="55" spans="2:36" ht="15" customHeight="1" x14ac:dyDescent="0.2">
      <c r="B55" s="7"/>
      <c r="C55" s="127">
        <v>5</v>
      </c>
      <c r="D55" s="131" t="s">
        <v>4394</v>
      </c>
      <c r="E55" s="532" t="str">
        <f>IFERROR(VLOOKUP(C55,LISTAS!$BD$2:$BG$24,4,FALSE),"")</f>
        <v/>
      </c>
      <c r="F55" s="532"/>
      <c r="G55" s="532"/>
      <c r="H55" s="532"/>
      <c r="I55" s="532"/>
      <c r="J55" s="532"/>
      <c r="K55" s="532"/>
      <c r="L55" s="532"/>
      <c r="M55" s="532"/>
      <c r="N55" s="532"/>
      <c r="O55" s="532"/>
      <c r="P55" s="532"/>
      <c r="Q55" s="532"/>
      <c r="R55" s="532"/>
      <c r="S55" s="132"/>
      <c r="T55" s="127">
        <v>15</v>
      </c>
      <c r="U55" s="131" t="s">
        <v>4394</v>
      </c>
      <c r="V55" s="531" t="str">
        <f>IFERROR(VLOOKUP(T55,LISTAS!$BD$2:$BG$24,4,FALSE),"")</f>
        <v/>
      </c>
      <c r="W55" s="531"/>
      <c r="X55" s="531"/>
      <c r="Y55" s="531"/>
      <c r="Z55" s="531"/>
      <c r="AA55" s="531"/>
      <c r="AB55" s="531"/>
      <c r="AC55" s="531"/>
      <c r="AD55" s="531"/>
      <c r="AE55" s="531"/>
      <c r="AF55" s="531"/>
      <c r="AG55" s="531"/>
      <c r="AH55" s="531"/>
      <c r="AI55" s="132"/>
      <c r="AJ55" s="9"/>
    </row>
    <row r="56" spans="2:36" ht="15" customHeight="1" x14ac:dyDescent="0.2">
      <c r="B56" s="7"/>
      <c r="C56" s="127">
        <v>6</v>
      </c>
      <c r="D56" s="131" t="s">
        <v>4394</v>
      </c>
      <c r="E56" s="532" t="str">
        <f>IFERROR(VLOOKUP(C56,LISTAS!$BD$2:$BG$24,4,FALSE),"")</f>
        <v/>
      </c>
      <c r="F56" s="532"/>
      <c r="G56" s="532"/>
      <c r="H56" s="532"/>
      <c r="I56" s="532"/>
      <c r="J56" s="532"/>
      <c r="K56" s="532"/>
      <c r="L56" s="532"/>
      <c r="M56" s="532"/>
      <c r="N56" s="532"/>
      <c r="O56" s="532"/>
      <c r="P56" s="532"/>
      <c r="Q56" s="532"/>
      <c r="R56" s="532"/>
      <c r="S56" s="132"/>
      <c r="T56" s="127">
        <v>16</v>
      </c>
      <c r="U56" s="131" t="s">
        <v>4394</v>
      </c>
      <c r="V56" s="531" t="str">
        <f>IFERROR(VLOOKUP(T56,LISTAS!$BD$2:$BG$24,4,FALSE),"")</f>
        <v/>
      </c>
      <c r="W56" s="531"/>
      <c r="X56" s="531"/>
      <c r="Y56" s="531"/>
      <c r="Z56" s="531"/>
      <c r="AA56" s="531"/>
      <c r="AB56" s="531"/>
      <c r="AC56" s="531"/>
      <c r="AD56" s="531"/>
      <c r="AE56" s="531"/>
      <c r="AF56" s="531"/>
      <c r="AG56" s="531"/>
      <c r="AH56" s="531"/>
      <c r="AI56" s="132"/>
      <c r="AJ56" s="9"/>
    </row>
    <row r="57" spans="2:36" ht="15" customHeight="1" x14ac:dyDescent="0.2">
      <c r="B57" s="7"/>
      <c r="C57" s="127">
        <v>7</v>
      </c>
      <c r="D57" s="131" t="s">
        <v>4394</v>
      </c>
      <c r="E57" s="532" t="str">
        <f>IFERROR(VLOOKUP(C57,LISTAS!$BD$2:$BG$24,4,FALSE),"")</f>
        <v/>
      </c>
      <c r="F57" s="532"/>
      <c r="G57" s="532"/>
      <c r="H57" s="532"/>
      <c r="I57" s="532"/>
      <c r="J57" s="532"/>
      <c r="K57" s="532"/>
      <c r="L57" s="532"/>
      <c r="M57" s="532"/>
      <c r="N57" s="532"/>
      <c r="O57" s="532"/>
      <c r="P57" s="532"/>
      <c r="Q57" s="532"/>
      <c r="R57" s="532"/>
      <c r="S57" s="132"/>
      <c r="T57" s="127">
        <v>17</v>
      </c>
      <c r="U57" s="131" t="s">
        <v>4394</v>
      </c>
      <c r="V57" s="531" t="str">
        <f>IFERROR(VLOOKUP(T57,LISTAS!$BD$2:$BG$24,4,FALSE),"")</f>
        <v/>
      </c>
      <c r="W57" s="531"/>
      <c r="X57" s="531"/>
      <c r="Y57" s="531"/>
      <c r="Z57" s="531"/>
      <c r="AA57" s="531"/>
      <c r="AB57" s="531"/>
      <c r="AC57" s="531"/>
      <c r="AD57" s="531"/>
      <c r="AE57" s="531"/>
      <c r="AF57" s="531"/>
      <c r="AG57" s="531"/>
      <c r="AH57" s="531"/>
      <c r="AI57" s="132"/>
      <c r="AJ57" s="9"/>
    </row>
    <row r="58" spans="2:36" ht="15" customHeight="1" x14ac:dyDescent="0.2">
      <c r="B58" s="7"/>
      <c r="C58" s="127">
        <v>8</v>
      </c>
      <c r="D58" s="131" t="s">
        <v>4394</v>
      </c>
      <c r="E58" s="532" t="str">
        <f>IFERROR(VLOOKUP(C58,LISTAS!$BD$2:$BG$24,4,FALSE),"")</f>
        <v/>
      </c>
      <c r="F58" s="532"/>
      <c r="G58" s="532"/>
      <c r="H58" s="532"/>
      <c r="I58" s="532"/>
      <c r="J58" s="532"/>
      <c r="K58" s="532"/>
      <c r="L58" s="532"/>
      <c r="M58" s="532"/>
      <c r="N58" s="532"/>
      <c r="O58" s="532"/>
      <c r="P58" s="532"/>
      <c r="Q58" s="532"/>
      <c r="R58" s="532"/>
      <c r="S58" s="132"/>
      <c r="T58" s="127">
        <v>18</v>
      </c>
      <c r="U58" s="131" t="s">
        <v>4394</v>
      </c>
      <c r="V58" s="531" t="str">
        <f>IFERROR(VLOOKUP(T58,LISTAS!$BD$2:$BG$24,4,FALSE),"")</f>
        <v/>
      </c>
      <c r="W58" s="531"/>
      <c r="X58" s="531"/>
      <c r="Y58" s="531"/>
      <c r="Z58" s="531"/>
      <c r="AA58" s="531"/>
      <c r="AB58" s="531"/>
      <c r="AC58" s="531"/>
      <c r="AD58" s="531"/>
      <c r="AE58" s="531"/>
      <c r="AF58" s="531"/>
      <c r="AG58" s="531"/>
      <c r="AH58" s="531"/>
      <c r="AI58" s="132"/>
      <c r="AJ58" s="9"/>
    </row>
    <row r="59" spans="2:36" ht="15" customHeight="1" x14ac:dyDescent="0.2">
      <c r="B59" s="7"/>
      <c r="C59" s="127">
        <v>9</v>
      </c>
      <c r="D59" s="131" t="s">
        <v>4394</v>
      </c>
      <c r="E59" s="532" t="str">
        <f>IFERROR(VLOOKUP(C59,LISTAS!$BD$2:$BG$24,4,FALSE),"")</f>
        <v/>
      </c>
      <c r="F59" s="532"/>
      <c r="G59" s="532"/>
      <c r="H59" s="532"/>
      <c r="I59" s="532"/>
      <c r="J59" s="532"/>
      <c r="K59" s="532"/>
      <c r="L59" s="532"/>
      <c r="M59" s="532"/>
      <c r="N59" s="532"/>
      <c r="O59" s="532"/>
      <c r="P59" s="532"/>
      <c r="Q59" s="532"/>
      <c r="R59" s="532"/>
      <c r="S59" s="132"/>
      <c r="T59" s="127">
        <v>19</v>
      </c>
      <c r="U59" s="131" t="s">
        <v>4394</v>
      </c>
      <c r="V59" s="531" t="str">
        <f>IFERROR(VLOOKUP(T59,LISTAS!$BD$2:$BG$24,4,FALSE),"")</f>
        <v/>
      </c>
      <c r="W59" s="531"/>
      <c r="X59" s="531"/>
      <c r="Y59" s="531"/>
      <c r="Z59" s="531"/>
      <c r="AA59" s="531"/>
      <c r="AB59" s="531"/>
      <c r="AC59" s="531"/>
      <c r="AD59" s="531"/>
      <c r="AE59" s="531"/>
      <c r="AF59" s="531"/>
      <c r="AG59" s="531"/>
      <c r="AH59" s="531"/>
      <c r="AI59" s="132"/>
      <c r="AJ59" s="9"/>
    </row>
    <row r="60" spans="2:36" ht="15" customHeight="1" x14ac:dyDescent="0.2">
      <c r="B60" s="7"/>
      <c r="C60" s="127">
        <v>10</v>
      </c>
      <c r="D60" s="131" t="s">
        <v>4394</v>
      </c>
      <c r="E60" s="532" t="str">
        <f>IFERROR(VLOOKUP(C60,LISTAS!$BD$2:$BG$24,4,FALSE),"")</f>
        <v/>
      </c>
      <c r="F60" s="532"/>
      <c r="G60" s="532"/>
      <c r="H60" s="532"/>
      <c r="I60" s="532"/>
      <c r="J60" s="532"/>
      <c r="K60" s="532"/>
      <c r="L60" s="532"/>
      <c r="M60" s="532"/>
      <c r="N60" s="532"/>
      <c r="O60" s="532"/>
      <c r="P60" s="532"/>
      <c r="Q60" s="532"/>
      <c r="R60" s="532"/>
      <c r="S60" s="132"/>
      <c r="T60" s="127">
        <v>20</v>
      </c>
      <c r="U60" s="131" t="s">
        <v>4394</v>
      </c>
      <c r="V60" s="531" t="str">
        <f>IFERROR(VLOOKUP(T60,LISTAS!$BD$2:$BG$24,4,FALSE),"")</f>
        <v/>
      </c>
      <c r="W60" s="531"/>
      <c r="X60" s="531"/>
      <c r="Y60" s="531"/>
      <c r="Z60" s="531"/>
      <c r="AA60" s="531"/>
      <c r="AB60" s="531"/>
      <c r="AC60" s="531"/>
      <c r="AD60" s="531"/>
      <c r="AE60" s="531"/>
      <c r="AF60" s="531"/>
      <c r="AG60" s="531"/>
      <c r="AH60" s="531"/>
      <c r="AI60" s="132"/>
      <c r="AJ60" s="9"/>
    </row>
    <row r="61" spans="2:36" ht="12" customHeight="1" x14ac:dyDescent="0.2">
      <c r="B61" s="7"/>
      <c r="C61" s="133"/>
      <c r="D61" s="134"/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134"/>
      <c r="AB61" s="134"/>
      <c r="AC61" s="134"/>
      <c r="AD61" s="134"/>
      <c r="AE61" s="134"/>
      <c r="AF61" s="134"/>
      <c r="AG61" s="134"/>
      <c r="AH61" s="134"/>
      <c r="AI61" s="135"/>
      <c r="AJ61" s="9"/>
    </row>
    <row r="62" spans="2:36" ht="6" customHeight="1" x14ac:dyDescent="0.2">
      <c r="B62" s="7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9"/>
    </row>
    <row r="63" spans="2:36" ht="12" customHeight="1" x14ac:dyDescent="0.2">
      <c r="B63" s="10" t="s">
        <v>1806</v>
      </c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3"/>
      <c r="Z63" s="13"/>
      <c r="AA63" s="14"/>
      <c r="AB63" s="14"/>
      <c r="AC63" s="14"/>
      <c r="AD63" s="14"/>
      <c r="AE63" s="14"/>
      <c r="AF63" s="14"/>
      <c r="AG63" s="14"/>
      <c r="AH63" s="14"/>
      <c r="AI63" s="14"/>
      <c r="AJ63" s="15" t="str">
        <f ca="1">IF($B$63="","",'MOD1'!$AY$49&amp;" - "&amp;'MOD1'!$AY$2)</f>
        <v>*Equipo de Gestión de la Información - EBR - Ministerio de Educación - Versión de la Herramienta: 1.5</v>
      </c>
    </row>
  </sheetData>
  <sheetProtection algorithmName="SHA-512" hashValue="6rmdC3WN1WOnwWFjQTGa4UywqkgeoGdyD/Cmx06otJXJNP0FV7DNI4J3+CP1eCr1vhrvt88R2vFiPXB6jFeZfw==" saltValue="4GCfDLMpOfZEmKXxfsUILw==" spinCount="100000" sheet="1" objects="1" scenarios="1"/>
  <mergeCells count="64">
    <mergeCell ref="E57:R57"/>
    <mergeCell ref="V57:AH57"/>
    <mergeCell ref="E60:R60"/>
    <mergeCell ref="V60:AH60"/>
    <mergeCell ref="E59:R59"/>
    <mergeCell ref="V59:AH59"/>
    <mergeCell ref="E58:R58"/>
    <mergeCell ref="V58:AH58"/>
    <mergeCell ref="I19:AI19"/>
    <mergeCell ref="I22:AI22"/>
    <mergeCell ref="C44:AI45"/>
    <mergeCell ref="C46:O46"/>
    <mergeCell ref="P46:R46"/>
    <mergeCell ref="I20:AI20"/>
    <mergeCell ref="I23:AI23"/>
    <mergeCell ref="I21:AI21"/>
    <mergeCell ref="C28:R29"/>
    <mergeCell ref="T28:AI29"/>
    <mergeCell ref="P31:R31"/>
    <mergeCell ref="C30:O30"/>
    <mergeCell ref="C31:O31"/>
    <mergeCell ref="T30:AF30"/>
    <mergeCell ref="AG30:AI30"/>
    <mergeCell ref="T31:AF31"/>
    <mergeCell ref="C7:AI8"/>
    <mergeCell ref="S10:AI10"/>
    <mergeCell ref="S12:AI12"/>
    <mergeCell ref="I17:AI17"/>
    <mergeCell ref="I18:AI18"/>
    <mergeCell ref="AG31:AI31"/>
    <mergeCell ref="P30:R30"/>
    <mergeCell ref="C33:R34"/>
    <mergeCell ref="T33:AI34"/>
    <mergeCell ref="C35:O35"/>
    <mergeCell ref="P35:R35"/>
    <mergeCell ref="T35:AF35"/>
    <mergeCell ref="AG35:AI35"/>
    <mergeCell ref="C36:O36"/>
    <mergeCell ref="P36:R36"/>
    <mergeCell ref="T36:AF36"/>
    <mergeCell ref="AG36:AI36"/>
    <mergeCell ref="C38:R39"/>
    <mergeCell ref="T38:AI39"/>
    <mergeCell ref="T46:AI46"/>
    <mergeCell ref="C40:O40"/>
    <mergeCell ref="P40:R40"/>
    <mergeCell ref="T40:AF40"/>
    <mergeCell ref="AG40:AI40"/>
    <mergeCell ref="C41:O41"/>
    <mergeCell ref="P41:R41"/>
    <mergeCell ref="T41:AF41"/>
    <mergeCell ref="AG41:AI41"/>
    <mergeCell ref="V56:AH56"/>
    <mergeCell ref="E51:R51"/>
    <mergeCell ref="E52:R52"/>
    <mergeCell ref="E53:R53"/>
    <mergeCell ref="E54:R54"/>
    <mergeCell ref="E55:R55"/>
    <mergeCell ref="E56:R56"/>
    <mergeCell ref="V51:AH51"/>
    <mergeCell ref="V52:AH52"/>
    <mergeCell ref="V53:AH53"/>
    <mergeCell ref="V54:AH54"/>
    <mergeCell ref="V55:AH55"/>
  </mergeCells>
  <printOptions horizontalCentered="1" verticalCentered="1"/>
  <pageMargins left="0" right="0" top="0.39370078740157483" bottom="0.39370078740157483" header="0.19685039370078741" footer="0.19685039370078741"/>
  <pageSetup paperSize="9" orientation="portrait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0000FF"/>
  </sheetPr>
  <dimension ref="A1:AP219"/>
  <sheetViews>
    <sheetView showGridLines="0" zoomScaleNormal="100" workbookViewId="0">
      <pane ySplit="4" topLeftCell="A5" activePane="bottomLeft" state="frozen"/>
      <selection pane="bottomLeft" activeCell="C5" sqref="C5:AO17"/>
    </sheetView>
  </sheetViews>
  <sheetFormatPr baseColWidth="10" defaultColWidth="2.7109375" defaultRowHeight="12" customHeight="1" x14ac:dyDescent="0.2"/>
  <cols>
    <col min="1" max="1" width="2.7109375" style="36" customWidth="1"/>
    <col min="2" max="38" width="2.7109375" style="36"/>
    <col min="39" max="40" width="2.7109375" style="116"/>
    <col min="41" max="16384" width="2.7109375" style="36"/>
  </cols>
  <sheetData>
    <row r="1" spans="1:42" ht="12" customHeight="1" x14ac:dyDescent="0.2">
      <c r="A1" s="35">
        <v>0</v>
      </c>
    </row>
    <row r="2" spans="1:42" ht="12" customHeight="1" x14ac:dyDescent="0.2">
      <c r="B2" s="1" t="str">
        <f>'MOD1'!$B$2</f>
        <v>Sistema de Monitoreo y Evaluación de la Educación Ambiental en la Gestión Escolar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4"/>
      <c r="AN2" s="5"/>
      <c r="AO2" s="5"/>
      <c r="AP2" s="6"/>
    </row>
    <row r="3" spans="1:42" ht="12" customHeight="1" x14ac:dyDescent="0.2">
      <c r="B3" s="7"/>
      <c r="C3" s="572" t="str">
        <f>"DATOS REGISTRADOS"</f>
        <v>DATOS REGISTRADOS</v>
      </c>
      <c r="D3" s="573"/>
      <c r="E3" s="573"/>
      <c r="F3" s="573"/>
      <c r="G3" s="573"/>
      <c r="H3" s="573"/>
      <c r="I3" s="573"/>
      <c r="J3" s="573"/>
      <c r="K3" s="573"/>
      <c r="L3" s="573"/>
      <c r="M3" s="573"/>
      <c r="N3" s="573"/>
      <c r="O3" s="573"/>
      <c r="P3" s="573"/>
      <c r="Q3" s="573"/>
      <c r="R3" s="573"/>
      <c r="S3" s="573"/>
      <c r="T3" s="573"/>
      <c r="U3" s="573"/>
      <c r="V3" s="573"/>
      <c r="W3" s="573"/>
      <c r="X3" s="573"/>
      <c r="Y3" s="573"/>
      <c r="Z3" s="573"/>
      <c r="AA3" s="573"/>
      <c r="AB3" s="573"/>
      <c r="AC3" s="573"/>
      <c r="AD3" s="573"/>
      <c r="AE3" s="573"/>
      <c r="AF3" s="573"/>
      <c r="AG3" s="573"/>
      <c r="AH3" s="573"/>
      <c r="AI3" s="573"/>
      <c r="AJ3" s="573"/>
      <c r="AK3" s="573"/>
      <c r="AL3" s="573"/>
      <c r="AM3" s="573"/>
      <c r="AN3" s="573"/>
      <c r="AO3" s="573"/>
      <c r="AP3" s="34"/>
    </row>
    <row r="4" spans="1:42" ht="12" customHeight="1" x14ac:dyDescent="0.2">
      <c r="B4" s="7"/>
      <c r="C4" s="573"/>
      <c r="D4" s="573"/>
      <c r="E4" s="573"/>
      <c r="F4" s="573"/>
      <c r="G4" s="573"/>
      <c r="H4" s="573"/>
      <c r="I4" s="573"/>
      <c r="J4" s="573"/>
      <c r="K4" s="573"/>
      <c r="L4" s="573"/>
      <c r="M4" s="573"/>
      <c r="N4" s="573"/>
      <c r="O4" s="573"/>
      <c r="P4" s="573"/>
      <c r="Q4" s="573"/>
      <c r="R4" s="573"/>
      <c r="S4" s="573"/>
      <c r="T4" s="573"/>
      <c r="U4" s="573"/>
      <c r="V4" s="573"/>
      <c r="W4" s="573"/>
      <c r="X4" s="573"/>
      <c r="Y4" s="573"/>
      <c r="Z4" s="573"/>
      <c r="AA4" s="573"/>
      <c r="AB4" s="573"/>
      <c r="AC4" s="573"/>
      <c r="AD4" s="573"/>
      <c r="AE4" s="573"/>
      <c r="AF4" s="573"/>
      <c r="AG4" s="573"/>
      <c r="AH4" s="573"/>
      <c r="AI4" s="573"/>
      <c r="AJ4" s="573"/>
      <c r="AK4" s="573"/>
      <c r="AL4" s="573"/>
      <c r="AM4" s="573"/>
      <c r="AN4" s="573"/>
      <c r="AO4" s="573"/>
      <c r="AP4" s="34"/>
    </row>
    <row r="5" spans="1:42" ht="15" customHeight="1" x14ac:dyDescent="0.2">
      <c r="B5" s="7"/>
      <c r="C5" s="574" t="str">
        <f>CHAR(10)&amp;CONCATENATE("Datos registrados por: ",CLEAN(TRIM(PROPER('MOD1'!D19)))," ",CLEAN(TRIM(PROPER('MOD1'!AA19))),", ",'MOD1'!$AP$18," ",IF('MOD1'!$AP$19=""," - ",'MOD1'!$AP$19),", ",'MOD1'!$D$23," ",CLEAN(TRIM('MOD1'!$D$24)),", ",'MOD1'!$AA$23," ",CLEAN(TRIM('MOD1'!$AA$24)),", ",'MOD1'!$AP$23," ",IF('MOD1'!$AP$24=""," - ",'MOD1'!$AP$24),", ",'MOD1'!$C$30," ",'MOD1'!$D$33," ",'MOD1'!$D$34,", ",'MOD1'!$S$33," ",'MOD1'!$S$34,", ",'MOD1'!$D$38," ",'MOD1'!$D$39)&amp;CHAR(10)&amp;CHAR(10)&amp;CONCATENATE('MOD2'!$D$12," ",'MOD2'!$D$13,", ",'MOD2'!$T$12," ",'MOD2'!$T$13," ",'MOD2'!$AJ$13,", ",CLEAN(TRIM('MOD2'!$D$16))," ",'MOD2'!$D$18,", ",'MOD2'!$L$16," ",'MOD2'!$L$18,", ",'MOD2'!$T$17," ",'MOD2'!$T$18,", ",'MOD2'!$AA$17," ",'MOD2'!$AA$18)&amp;CHAR(10)&amp;CHAR(10)&amp;CONCATENATE('MOD2'!D24,": ",IF('MOD2'!$B26=1,'MOD2'!D26,'MOD2'!D38),", ",'MOD2'!M24,": ",IF('MOD2'!$B26=1,'MOD2'!M26,'MOD2'!M38),", ",'MOD2'!Q24,": ",IF('MOD2'!$B26=1,'MOD2'!Q26,'MOD2'!Q38),", ",'MOD2'!AH24,": ",IF('MOD2'!$B26=1,'MOD2'!AH26,'MOD2'!AH38),", ",'MOD2'!AM24,": ",IF('MOD2'!$B26=1,'MOD2'!AM26,'MOD2'!AM38),", ",'MOD2'!AP24," ",'MOD2'!AP25,": ",IF('MOD2'!$B26=1,'MOD2'!AP26,'MOD2'!AP38),", ",'MOD2'!AP24," ",'MOD2'!AR25,": ",IF('MOD2'!$B26=1,'MOD2'!AR26,'MOD2'!AR38),", ",'MOD2'!AT24," ",'MOD2'!AT25,": ",IF('MOD2'!$B26=1,'MOD2'!AT26,'MOD2'!AT38),", ",'MOD2'!AT24," ",'MOD2'!AV25,": ",IF('MOD2'!$B26=1,'MOD2'!AV26,'MOD2'!AV38),", ")&amp;CHAR(10)&amp;CHAR(10)&amp;IF('MOD2'!$B28&lt;&gt;1,"",CONCATENATE('MOD2'!D24,": ",'MOD2'!D28,", ",'MOD2'!M24,": ",'MOD2'!M28,", ",'MOD2'!Q24,": ",'MOD2'!Q28,", ",'MOD2'!AH24,": ",'MOD2'!AH28,", ",'MOD2'!AM24,": ",'MOD2'!AM28,", ",'MOD2'!AP24," ",'MOD2'!AP25,": ",'MOD2'!AP28,", ",'MOD2'!AP24," ",'MOD2'!AR25,": ",'MOD2'!AR28,", ",'MOD2'!AT24," ",'MOD2'!AT25,": ",'MOD2'!AT28,", ",'MOD2'!AT24," ",'MOD2'!AV25,": ",'MOD2'!AV28,", "))&amp;IF('MOD2'!$B30&lt;&gt;1,"",CONCATENATE('MOD2'!D24,": ",'MOD2'!D30,", ",'MOD2'!M24,": ",'MOD2'!M30,", ",'MOD2'!Q24,": ",'MOD2'!Q30,", ",'MOD2'!AH24,": ",'MOD2'!AH30,", ",'MOD2'!AM24,": ",'MOD2'!AM30,", ",'MOD2'!AP24," ",'MOD2'!AP25,": ",'MOD2'!AP30,", ",'MOD2'!AP24," ",'MOD2'!AR25,": ",'MOD2'!AR30,", ",'MOD2'!AT24," ",'MOD2'!AT25,": ",'MOD2'!AT30,", ",'MOD2'!AT24," ",'MOD2'!AV25,": ",'MOD2'!AV30,", "))&amp;IF('MOD2'!$B40&lt;&gt;1,"",CONCATENATE('MOD2'!D24,": ",'MOD2'!D40,", ",'MOD2'!M24,": ",'MOD2'!M40,", ",'MOD2'!Q24,": ",'MOD2'!Q40,", ",'MOD2'!AH24,": ",'MOD2'!AH40,", ",'MOD2'!AM24,": ",'MOD2'!AM40,", ",'MOD2'!AP24," ",'MOD2'!AP25,": ",'MOD2'!AP40,", ",'MOD2'!AP24," ",'MOD2'!AR25,": ",'MOD2'!AR40,", ",'MOD2'!AT24," ",'MOD2'!AT25,": ",'MOD2'!AT40,", ",'MOD2'!AT24," ",'MOD2'!AV25,": ",'MOD2'!AV40,", "))</f>
        <v xml:space="preserve">
Datos registrados por:  , Teléfono personal:  - , Correo electrónico: , Cargo que desempeña: , Teléfono de la II.EE.:  - , Mi Institución Educativa está ubicada en... El departamento de: Seleccionar, La provincia de: Seleccionar, El distrito de: Seleccionar
Nombre de DRE o UGEL que supervisa la IE: , Apellidos y nombres del coodinador del comité ambiental de la IE:  , Cuenta con Plan de Salud Escolar: , Usuario de Qali Warma: , Público/Privado: , Dirección de la Institución Educativa: 
Nivel educativo: , Código Modular: , Nombre de Institución Educativa - ESCALE: , Modalidad educativa: , Zona: , Estudiantes H: , Estudiantes M: , Docentes H: , Docentes M: , 
</v>
      </c>
      <c r="D5" s="574"/>
      <c r="E5" s="574"/>
      <c r="F5" s="574"/>
      <c r="G5" s="574"/>
      <c r="H5" s="574"/>
      <c r="I5" s="574"/>
      <c r="J5" s="574"/>
      <c r="K5" s="574"/>
      <c r="L5" s="574"/>
      <c r="M5" s="574"/>
      <c r="N5" s="574"/>
      <c r="O5" s="574"/>
      <c r="P5" s="574"/>
      <c r="Q5" s="574"/>
      <c r="R5" s="574"/>
      <c r="S5" s="574"/>
      <c r="T5" s="574"/>
      <c r="U5" s="574"/>
      <c r="V5" s="574"/>
      <c r="W5" s="574"/>
      <c r="X5" s="574"/>
      <c r="Y5" s="574"/>
      <c r="Z5" s="574"/>
      <c r="AA5" s="574"/>
      <c r="AB5" s="574"/>
      <c r="AC5" s="574"/>
      <c r="AD5" s="574"/>
      <c r="AE5" s="574"/>
      <c r="AF5" s="574"/>
      <c r="AG5" s="574"/>
      <c r="AH5" s="574"/>
      <c r="AI5" s="574"/>
      <c r="AJ5" s="574"/>
      <c r="AK5" s="574"/>
      <c r="AL5" s="574"/>
      <c r="AM5" s="574"/>
      <c r="AN5" s="574"/>
      <c r="AO5" s="574"/>
      <c r="AP5" s="34"/>
    </row>
    <row r="6" spans="1:42" ht="15" customHeight="1" x14ac:dyDescent="0.2">
      <c r="B6" s="7"/>
      <c r="C6" s="574"/>
      <c r="D6" s="574"/>
      <c r="E6" s="574"/>
      <c r="F6" s="574"/>
      <c r="G6" s="574"/>
      <c r="H6" s="574"/>
      <c r="I6" s="574"/>
      <c r="J6" s="574"/>
      <c r="K6" s="574"/>
      <c r="L6" s="574"/>
      <c r="M6" s="574"/>
      <c r="N6" s="574"/>
      <c r="O6" s="574"/>
      <c r="P6" s="574"/>
      <c r="Q6" s="574"/>
      <c r="R6" s="574"/>
      <c r="S6" s="574"/>
      <c r="T6" s="574"/>
      <c r="U6" s="574"/>
      <c r="V6" s="574"/>
      <c r="W6" s="574"/>
      <c r="X6" s="574"/>
      <c r="Y6" s="574"/>
      <c r="Z6" s="574"/>
      <c r="AA6" s="574"/>
      <c r="AB6" s="574"/>
      <c r="AC6" s="574"/>
      <c r="AD6" s="574"/>
      <c r="AE6" s="574"/>
      <c r="AF6" s="574"/>
      <c r="AG6" s="574"/>
      <c r="AH6" s="574"/>
      <c r="AI6" s="574"/>
      <c r="AJ6" s="574"/>
      <c r="AK6" s="574"/>
      <c r="AL6" s="574"/>
      <c r="AM6" s="574"/>
      <c r="AN6" s="574"/>
      <c r="AO6" s="574"/>
      <c r="AP6" s="34"/>
    </row>
    <row r="7" spans="1:42" ht="15" customHeight="1" x14ac:dyDescent="0.2">
      <c r="B7" s="7"/>
      <c r="C7" s="574"/>
      <c r="D7" s="574"/>
      <c r="E7" s="574"/>
      <c r="F7" s="574"/>
      <c r="G7" s="574"/>
      <c r="H7" s="574"/>
      <c r="I7" s="574"/>
      <c r="J7" s="574"/>
      <c r="K7" s="574"/>
      <c r="L7" s="574"/>
      <c r="M7" s="574"/>
      <c r="N7" s="574"/>
      <c r="O7" s="574"/>
      <c r="P7" s="574"/>
      <c r="Q7" s="574"/>
      <c r="R7" s="574"/>
      <c r="S7" s="574"/>
      <c r="T7" s="574"/>
      <c r="U7" s="574"/>
      <c r="V7" s="574"/>
      <c r="W7" s="574"/>
      <c r="X7" s="574"/>
      <c r="Y7" s="574"/>
      <c r="Z7" s="574"/>
      <c r="AA7" s="574"/>
      <c r="AB7" s="574"/>
      <c r="AC7" s="574"/>
      <c r="AD7" s="574"/>
      <c r="AE7" s="574"/>
      <c r="AF7" s="574"/>
      <c r="AG7" s="574"/>
      <c r="AH7" s="574"/>
      <c r="AI7" s="574"/>
      <c r="AJ7" s="574"/>
      <c r="AK7" s="574"/>
      <c r="AL7" s="574"/>
      <c r="AM7" s="574"/>
      <c r="AN7" s="574"/>
      <c r="AO7" s="574"/>
      <c r="AP7" s="34"/>
    </row>
    <row r="8" spans="1:42" ht="15" customHeight="1" x14ac:dyDescent="0.2">
      <c r="B8" s="7"/>
      <c r="C8" s="574"/>
      <c r="D8" s="574"/>
      <c r="E8" s="574"/>
      <c r="F8" s="574"/>
      <c r="G8" s="574"/>
      <c r="H8" s="574"/>
      <c r="I8" s="574"/>
      <c r="J8" s="574"/>
      <c r="K8" s="574"/>
      <c r="L8" s="574"/>
      <c r="M8" s="574"/>
      <c r="N8" s="574"/>
      <c r="O8" s="574"/>
      <c r="P8" s="574"/>
      <c r="Q8" s="574"/>
      <c r="R8" s="574"/>
      <c r="S8" s="574"/>
      <c r="T8" s="574"/>
      <c r="U8" s="574"/>
      <c r="V8" s="574"/>
      <c r="W8" s="574"/>
      <c r="X8" s="574"/>
      <c r="Y8" s="574"/>
      <c r="Z8" s="574"/>
      <c r="AA8" s="574"/>
      <c r="AB8" s="574"/>
      <c r="AC8" s="574"/>
      <c r="AD8" s="574"/>
      <c r="AE8" s="574"/>
      <c r="AF8" s="574"/>
      <c r="AG8" s="574"/>
      <c r="AH8" s="574"/>
      <c r="AI8" s="574"/>
      <c r="AJ8" s="574"/>
      <c r="AK8" s="574"/>
      <c r="AL8" s="574"/>
      <c r="AM8" s="574"/>
      <c r="AN8" s="574"/>
      <c r="AO8" s="574"/>
      <c r="AP8" s="34"/>
    </row>
    <row r="9" spans="1:42" ht="15" customHeight="1" x14ac:dyDescent="0.2">
      <c r="B9" s="7"/>
      <c r="C9" s="574"/>
      <c r="D9" s="574"/>
      <c r="E9" s="574"/>
      <c r="F9" s="574"/>
      <c r="G9" s="574"/>
      <c r="H9" s="574"/>
      <c r="I9" s="574"/>
      <c r="J9" s="574"/>
      <c r="K9" s="574"/>
      <c r="L9" s="574"/>
      <c r="M9" s="574"/>
      <c r="N9" s="574"/>
      <c r="O9" s="574"/>
      <c r="P9" s="574"/>
      <c r="Q9" s="574"/>
      <c r="R9" s="574"/>
      <c r="S9" s="574"/>
      <c r="T9" s="574"/>
      <c r="U9" s="574"/>
      <c r="V9" s="574"/>
      <c r="W9" s="574"/>
      <c r="X9" s="574"/>
      <c r="Y9" s="574"/>
      <c r="Z9" s="574"/>
      <c r="AA9" s="574"/>
      <c r="AB9" s="574"/>
      <c r="AC9" s="574"/>
      <c r="AD9" s="574"/>
      <c r="AE9" s="574"/>
      <c r="AF9" s="574"/>
      <c r="AG9" s="574"/>
      <c r="AH9" s="574"/>
      <c r="AI9" s="574"/>
      <c r="AJ9" s="574"/>
      <c r="AK9" s="574"/>
      <c r="AL9" s="574"/>
      <c r="AM9" s="574"/>
      <c r="AN9" s="574"/>
      <c r="AO9" s="574"/>
      <c r="AP9" s="34"/>
    </row>
    <row r="10" spans="1:42" ht="15" customHeight="1" x14ac:dyDescent="0.2">
      <c r="B10" s="7"/>
      <c r="C10" s="574"/>
      <c r="D10" s="574"/>
      <c r="E10" s="574"/>
      <c r="F10" s="574"/>
      <c r="G10" s="574"/>
      <c r="H10" s="574"/>
      <c r="I10" s="574"/>
      <c r="J10" s="574"/>
      <c r="K10" s="574"/>
      <c r="L10" s="574"/>
      <c r="M10" s="574"/>
      <c r="N10" s="574"/>
      <c r="O10" s="574"/>
      <c r="P10" s="574"/>
      <c r="Q10" s="574"/>
      <c r="R10" s="574"/>
      <c r="S10" s="574"/>
      <c r="T10" s="574"/>
      <c r="U10" s="574"/>
      <c r="V10" s="574"/>
      <c r="W10" s="574"/>
      <c r="X10" s="574"/>
      <c r="Y10" s="574"/>
      <c r="Z10" s="574"/>
      <c r="AA10" s="574"/>
      <c r="AB10" s="574"/>
      <c r="AC10" s="574"/>
      <c r="AD10" s="574"/>
      <c r="AE10" s="574"/>
      <c r="AF10" s="574"/>
      <c r="AG10" s="574"/>
      <c r="AH10" s="574"/>
      <c r="AI10" s="574"/>
      <c r="AJ10" s="574"/>
      <c r="AK10" s="574"/>
      <c r="AL10" s="574"/>
      <c r="AM10" s="574"/>
      <c r="AN10" s="574"/>
      <c r="AO10" s="574"/>
      <c r="AP10" s="34"/>
    </row>
    <row r="11" spans="1:42" ht="15" customHeight="1" x14ac:dyDescent="0.2">
      <c r="B11" s="7"/>
      <c r="C11" s="574"/>
      <c r="D11" s="574"/>
      <c r="E11" s="574"/>
      <c r="F11" s="574"/>
      <c r="G11" s="574"/>
      <c r="H11" s="574"/>
      <c r="I11" s="574"/>
      <c r="J11" s="574"/>
      <c r="K11" s="574"/>
      <c r="L11" s="574"/>
      <c r="M11" s="574"/>
      <c r="N11" s="574"/>
      <c r="O11" s="574"/>
      <c r="P11" s="574"/>
      <c r="Q11" s="574"/>
      <c r="R11" s="574"/>
      <c r="S11" s="574"/>
      <c r="T11" s="574"/>
      <c r="U11" s="574"/>
      <c r="V11" s="574"/>
      <c r="W11" s="574"/>
      <c r="X11" s="574"/>
      <c r="Y11" s="574"/>
      <c r="Z11" s="574"/>
      <c r="AA11" s="574"/>
      <c r="AB11" s="574"/>
      <c r="AC11" s="574"/>
      <c r="AD11" s="574"/>
      <c r="AE11" s="574"/>
      <c r="AF11" s="574"/>
      <c r="AG11" s="574"/>
      <c r="AH11" s="574"/>
      <c r="AI11" s="574"/>
      <c r="AJ11" s="574"/>
      <c r="AK11" s="574"/>
      <c r="AL11" s="574"/>
      <c r="AM11" s="574"/>
      <c r="AN11" s="574"/>
      <c r="AO11" s="574"/>
      <c r="AP11" s="34"/>
    </row>
    <row r="12" spans="1:42" ht="15" customHeight="1" x14ac:dyDescent="0.2">
      <c r="B12" s="7"/>
      <c r="C12" s="574"/>
      <c r="D12" s="574"/>
      <c r="E12" s="574"/>
      <c r="F12" s="574"/>
      <c r="G12" s="574"/>
      <c r="H12" s="574"/>
      <c r="I12" s="574"/>
      <c r="J12" s="574"/>
      <c r="K12" s="574"/>
      <c r="L12" s="574"/>
      <c r="M12" s="574"/>
      <c r="N12" s="574"/>
      <c r="O12" s="574"/>
      <c r="P12" s="574"/>
      <c r="Q12" s="574"/>
      <c r="R12" s="574"/>
      <c r="S12" s="574"/>
      <c r="T12" s="574"/>
      <c r="U12" s="574"/>
      <c r="V12" s="574"/>
      <c r="W12" s="574"/>
      <c r="X12" s="574"/>
      <c r="Y12" s="574"/>
      <c r="Z12" s="574"/>
      <c r="AA12" s="574"/>
      <c r="AB12" s="574"/>
      <c r="AC12" s="574"/>
      <c r="AD12" s="574"/>
      <c r="AE12" s="574"/>
      <c r="AF12" s="574"/>
      <c r="AG12" s="574"/>
      <c r="AH12" s="574"/>
      <c r="AI12" s="574"/>
      <c r="AJ12" s="574"/>
      <c r="AK12" s="574"/>
      <c r="AL12" s="574"/>
      <c r="AM12" s="574"/>
      <c r="AN12" s="574"/>
      <c r="AO12" s="574"/>
      <c r="AP12" s="34"/>
    </row>
    <row r="13" spans="1:42" ht="15" customHeight="1" x14ac:dyDescent="0.2">
      <c r="B13" s="7"/>
      <c r="C13" s="574"/>
      <c r="D13" s="574"/>
      <c r="E13" s="574"/>
      <c r="F13" s="574"/>
      <c r="G13" s="574"/>
      <c r="H13" s="574"/>
      <c r="I13" s="574"/>
      <c r="J13" s="574"/>
      <c r="K13" s="574"/>
      <c r="L13" s="574"/>
      <c r="M13" s="574"/>
      <c r="N13" s="574"/>
      <c r="O13" s="574"/>
      <c r="P13" s="574"/>
      <c r="Q13" s="574"/>
      <c r="R13" s="574"/>
      <c r="S13" s="574"/>
      <c r="T13" s="574"/>
      <c r="U13" s="574"/>
      <c r="V13" s="574"/>
      <c r="W13" s="574"/>
      <c r="X13" s="574"/>
      <c r="Y13" s="574"/>
      <c r="Z13" s="574"/>
      <c r="AA13" s="574"/>
      <c r="AB13" s="574"/>
      <c r="AC13" s="574"/>
      <c r="AD13" s="574"/>
      <c r="AE13" s="574"/>
      <c r="AF13" s="574"/>
      <c r="AG13" s="574"/>
      <c r="AH13" s="574"/>
      <c r="AI13" s="574"/>
      <c r="AJ13" s="574"/>
      <c r="AK13" s="574"/>
      <c r="AL13" s="574"/>
      <c r="AM13" s="574"/>
      <c r="AN13" s="574"/>
      <c r="AO13" s="574"/>
      <c r="AP13" s="34"/>
    </row>
    <row r="14" spans="1:42" ht="15" customHeight="1" x14ac:dyDescent="0.2">
      <c r="B14" s="7"/>
      <c r="C14" s="574"/>
      <c r="D14" s="574"/>
      <c r="E14" s="574"/>
      <c r="F14" s="574"/>
      <c r="G14" s="574"/>
      <c r="H14" s="574"/>
      <c r="I14" s="574"/>
      <c r="J14" s="574"/>
      <c r="K14" s="574"/>
      <c r="L14" s="574"/>
      <c r="M14" s="574"/>
      <c r="N14" s="574"/>
      <c r="O14" s="574"/>
      <c r="P14" s="574"/>
      <c r="Q14" s="574"/>
      <c r="R14" s="574"/>
      <c r="S14" s="574"/>
      <c r="T14" s="574"/>
      <c r="U14" s="574"/>
      <c r="V14" s="574"/>
      <c r="W14" s="574"/>
      <c r="X14" s="574"/>
      <c r="Y14" s="574"/>
      <c r="Z14" s="574"/>
      <c r="AA14" s="574"/>
      <c r="AB14" s="574"/>
      <c r="AC14" s="574"/>
      <c r="AD14" s="574"/>
      <c r="AE14" s="574"/>
      <c r="AF14" s="574"/>
      <c r="AG14" s="574"/>
      <c r="AH14" s="574"/>
      <c r="AI14" s="574"/>
      <c r="AJ14" s="574"/>
      <c r="AK14" s="574"/>
      <c r="AL14" s="574"/>
      <c r="AM14" s="574"/>
      <c r="AN14" s="574"/>
      <c r="AO14" s="574"/>
      <c r="AP14" s="34"/>
    </row>
    <row r="15" spans="1:42" ht="15" customHeight="1" x14ac:dyDescent="0.2">
      <c r="B15" s="7"/>
      <c r="C15" s="574"/>
      <c r="D15" s="574"/>
      <c r="E15" s="574"/>
      <c r="F15" s="574"/>
      <c r="G15" s="574"/>
      <c r="H15" s="574"/>
      <c r="I15" s="574"/>
      <c r="J15" s="574"/>
      <c r="K15" s="574"/>
      <c r="L15" s="574"/>
      <c r="M15" s="574"/>
      <c r="N15" s="574"/>
      <c r="O15" s="574"/>
      <c r="P15" s="574"/>
      <c r="Q15" s="574"/>
      <c r="R15" s="574"/>
      <c r="S15" s="574"/>
      <c r="T15" s="574"/>
      <c r="U15" s="574"/>
      <c r="V15" s="574"/>
      <c r="W15" s="574"/>
      <c r="X15" s="574"/>
      <c r="Y15" s="574"/>
      <c r="Z15" s="574"/>
      <c r="AA15" s="574"/>
      <c r="AB15" s="574"/>
      <c r="AC15" s="574"/>
      <c r="AD15" s="574"/>
      <c r="AE15" s="574"/>
      <c r="AF15" s="574"/>
      <c r="AG15" s="574"/>
      <c r="AH15" s="574"/>
      <c r="AI15" s="574"/>
      <c r="AJ15" s="574"/>
      <c r="AK15" s="574"/>
      <c r="AL15" s="574"/>
      <c r="AM15" s="574"/>
      <c r="AN15" s="574"/>
      <c r="AO15" s="574"/>
      <c r="AP15" s="34"/>
    </row>
    <row r="16" spans="1:42" ht="15" customHeight="1" x14ac:dyDescent="0.2">
      <c r="B16" s="7"/>
      <c r="C16" s="574"/>
      <c r="D16" s="574"/>
      <c r="E16" s="574"/>
      <c r="F16" s="574"/>
      <c r="G16" s="574"/>
      <c r="H16" s="574"/>
      <c r="I16" s="574"/>
      <c r="J16" s="574"/>
      <c r="K16" s="574"/>
      <c r="L16" s="574"/>
      <c r="M16" s="574"/>
      <c r="N16" s="574"/>
      <c r="O16" s="574"/>
      <c r="P16" s="574"/>
      <c r="Q16" s="574"/>
      <c r="R16" s="574"/>
      <c r="S16" s="574"/>
      <c r="T16" s="574"/>
      <c r="U16" s="574"/>
      <c r="V16" s="574"/>
      <c r="W16" s="574"/>
      <c r="X16" s="574"/>
      <c r="Y16" s="574"/>
      <c r="Z16" s="574"/>
      <c r="AA16" s="574"/>
      <c r="AB16" s="574"/>
      <c r="AC16" s="574"/>
      <c r="AD16" s="574"/>
      <c r="AE16" s="574"/>
      <c r="AF16" s="574"/>
      <c r="AG16" s="574"/>
      <c r="AH16" s="574"/>
      <c r="AI16" s="574"/>
      <c r="AJ16" s="574"/>
      <c r="AK16" s="574"/>
      <c r="AL16" s="574"/>
      <c r="AM16" s="574"/>
      <c r="AN16" s="574"/>
      <c r="AO16" s="574"/>
      <c r="AP16" s="34"/>
    </row>
    <row r="17" spans="2:42" ht="15" customHeight="1" x14ac:dyDescent="0.2">
      <c r="B17" s="7"/>
      <c r="C17" s="574"/>
      <c r="D17" s="574"/>
      <c r="E17" s="574"/>
      <c r="F17" s="574"/>
      <c r="G17" s="574"/>
      <c r="H17" s="574"/>
      <c r="I17" s="574"/>
      <c r="J17" s="574"/>
      <c r="K17" s="574"/>
      <c r="L17" s="574"/>
      <c r="M17" s="574"/>
      <c r="N17" s="574"/>
      <c r="O17" s="574"/>
      <c r="P17" s="574"/>
      <c r="Q17" s="574"/>
      <c r="R17" s="574"/>
      <c r="S17" s="574"/>
      <c r="T17" s="574"/>
      <c r="U17" s="574"/>
      <c r="V17" s="574"/>
      <c r="W17" s="574"/>
      <c r="X17" s="574"/>
      <c r="Y17" s="574"/>
      <c r="Z17" s="574"/>
      <c r="AA17" s="574"/>
      <c r="AB17" s="574"/>
      <c r="AC17" s="574"/>
      <c r="AD17" s="574"/>
      <c r="AE17" s="574"/>
      <c r="AF17" s="574"/>
      <c r="AG17" s="574"/>
      <c r="AH17" s="574"/>
      <c r="AI17" s="574"/>
      <c r="AJ17" s="574"/>
      <c r="AK17" s="574"/>
      <c r="AL17" s="574"/>
      <c r="AM17" s="574"/>
      <c r="AN17" s="574"/>
      <c r="AO17" s="574"/>
      <c r="AP17" s="34"/>
    </row>
    <row r="18" spans="2:42" ht="12" customHeight="1" x14ac:dyDescent="0.2">
      <c r="B18" s="7"/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20"/>
      <c r="AF18" s="120"/>
      <c r="AG18" s="120"/>
      <c r="AH18" s="120"/>
      <c r="AI18" s="120"/>
      <c r="AJ18" s="120"/>
      <c r="AK18" s="120"/>
      <c r="AL18" s="121"/>
      <c r="AM18" s="575" t="s">
        <v>4392</v>
      </c>
      <c r="AN18" s="575"/>
      <c r="AO18" s="121"/>
      <c r="AP18" s="34"/>
    </row>
    <row r="19" spans="2:42" ht="12.75" x14ac:dyDescent="0.2">
      <c r="B19" s="117">
        <v>1</v>
      </c>
      <c r="C19" s="569" t="str">
        <f>MOD4_1!C9</f>
        <v>Gestión Escolar: Gestión Institucional y Gestión Pedagógica</v>
      </c>
      <c r="D19" s="569"/>
      <c r="E19" s="569"/>
      <c r="F19" s="569"/>
      <c r="G19" s="569"/>
      <c r="H19" s="569"/>
      <c r="I19" s="569"/>
      <c r="J19" s="569"/>
      <c r="K19" s="569"/>
      <c r="L19" s="569"/>
      <c r="M19" s="569"/>
      <c r="N19" s="569"/>
      <c r="O19" s="569"/>
      <c r="P19" s="569"/>
      <c r="Q19" s="569"/>
      <c r="R19" s="569"/>
      <c r="S19" s="569"/>
      <c r="T19" s="569"/>
      <c r="U19" s="569"/>
      <c r="V19" s="569"/>
      <c r="W19" s="569"/>
      <c r="X19" s="569"/>
      <c r="Y19" s="569"/>
      <c r="Z19" s="569"/>
      <c r="AA19" s="569"/>
      <c r="AB19" s="569"/>
      <c r="AC19" s="569"/>
      <c r="AD19" s="569"/>
      <c r="AE19" s="569"/>
      <c r="AF19" s="569"/>
      <c r="AG19" s="569"/>
      <c r="AH19" s="569"/>
      <c r="AI19" s="569"/>
      <c r="AJ19" s="569"/>
      <c r="AK19" s="569"/>
      <c r="AL19" s="569"/>
      <c r="AM19" s="124"/>
      <c r="AN19" s="124"/>
      <c r="AO19" s="122"/>
      <c r="AP19" s="118"/>
    </row>
    <row r="20" spans="2:42" ht="12.75" x14ac:dyDescent="0.2">
      <c r="B20" s="117"/>
      <c r="C20" s="569" t="s">
        <v>3666</v>
      </c>
      <c r="D20" s="569"/>
      <c r="E20" s="569"/>
      <c r="F20" s="569"/>
      <c r="G20" s="569"/>
      <c r="H20" s="569"/>
      <c r="I20" s="569"/>
      <c r="J20" s="569"/>
      <c r="K20" s="569"/>
      <c r="L20" s="569"/>
      <c r="M20" s="569"/>
      <c r="N20" s="569"/>
      <c r="O20" s="569"/>
      <c r="P20" s="569"/>
      <c r="Q20" s="569"/>
      <c r="R20" s="569"/>
      <c r="S20" s="569"/>
      <c r="T20" s="569"/>
      <c r="U20" s="569"/>
      <c r="V20" s="569"/>
      <c r="W20" s="569"/>
      <c r="X20" s="569"/>
      <c r="Y20" s="569"/>
      <c r="Z20" s="569"/>
      <c r="AA20" s="569"/>
      <c r="AB20" s="569"/>
      <c r="AC20" s="569"/>
      <c r="AD20" s="569"/>
      <c r="AE20" s="569"/>
      <c r="AF20" s="569"/>
      <c r="AG20" s="569"/>
      <c r="AH20" s="569"/>
      <c r="AI20" s="569"/>
      <c r="AJ20" s="569"/>
      <c r="AK20" s="569"/>
      <c r="AL20" s="569"/>
      <c r="AM20" s="124"/>
      <c r="AN20" s="124"/>
      <c r="AO20" s="122"/>
      <c r="AP20" s="118"/>
    </row>
    <row r="21" spans="2:42" ht="12.75" x14ac:dyDescent="0.2">
      <c r="B21" s="117"/>
      <c r="C21" s="569" t="s">
        <v>3645</v>
      </c>
      <c r="D21" s="569"/>
      <c r="E21" s="569"/>
      <c r="F21" s="569"/>
      <c r="G21" s="569"/>
      <c r="H21" s="569"/>
      <c r="I21" s="569"/>
      <c r="J21" s="569"/>
      <c r="K21" s="569"/>
      <c r="L21" s="569"/>
      <c r="M21" s="569"/>
      <c r="N21" s="569"/>
      <c r="O21" s="569"/>
      <c r="P21" s="569"/>
      <c r="Q21" s="569"/>
      <c r="R21" s="569"/>
      <c r="S21" s="569"/>
      <c r="T21" s="569"/>
      <c r="U21" s="569"/>
      <c r="V21" s="569"/>
      <c r="W21" s="569"/>
      <c r="X21" s="569"/>
      <c r="Y21" s="569"/>
      <c r="Z21" s="569"/>
      <c r="AA21" s="569"/>
      <c r="AB21" s="569"/>
      <c r="AC21" s="569"/>
      <c r="AD21" s="569"/>
      <c r="AE21" s="569"/>
      <c r="AF21" s="569"/>
      <c r="AG21" s="569"/>
      <c r="AH21" s="569"/>
      <c r="AI21" s="569"/>
      <c r="AJ21" s="569"/>
      <c r="AK21" s="569"/>
      <c r="AL21" s="569"/>
      <c r="AM21" s="571" t="str">
        <f>LISTAS!D30</f>
        <v/>
      </c>
      <c r="AN21" s="571"/>
      <c r="AO21" s="122"/>
      <c r="AP21" s="118"/>
    </row>
    <row r="22" spans="2:42" ht="12.75" x14ac:dyDescent="0.2">
      <c r="B22" s="117"/>
      <c r="C22" s="569" t="s">
        <v>3736</v>
      </c>
      <c r="D22" s="569"/>
      <c r="E22" s="569"/>
      <c r="F22" s="569"/>
      <c r="G22" s="569"/>
      <c r="H22" s="569"/>
      <c r="I22" s="569"/>
      <c r="J22" s="569"/>
      <c r="K22" s="569"/>
      <c r="L22" s="569"/>
      <c r="M22" s="569"/>
      <c r="N22" s="569"/>
      <c r="O22" s="569"/>
      <c r="P22" s="569"/>
      <c r="Q22" s="569"/>
      <c r="R22" s="569"/>
      <c r="S22" s="569"/>
      <c r="T22" s="569"/>
      <c r="U22" s="569"/>
      <c r="V22" s="569"/>
      <c r="W22" s="569"/>
      <c r="X22" s="569"/>
      <c r="Y22" s="569"/>
      <c r="Z22" s="569"/>
      <c r="AA22" s="569"/>
      <c r="AB22" s="569"/>
      <c r="AC22" s="569"/>
      <c r="AD22" s="569"/>
      <c r="AE22" s="569"/>
      <c r="AF22" s="569"/>
      <c r="AG22" s="569"/>
      <c r="AH22" s="569"/>
      <c r="AI22" s="569"/>
      <c r="AJ22" s="569"/>
      <c r="AK22" s="569"/>
      <c r="AL22" s="569"/>
      <c r="AM22" s="571" t="str">
        <f>LISTAS!D31</f>
        <v/>
      </c>
      <c r="AN22" s="571"/>
      <c r="AO22" s="122"/>
      <c r="AP22" s="118"/>
    </row>
    <row r="23" spans="2:42" ht="25.5" customHeight="1" x14ac:dyDescent="0.2">
      <c r="B23" s="117"/>
      <c r="C23" s="569" t="s">
        <v>3646</v>
      </c>
      <c r="D23" s="569"/>
      <c r="E23" s="569"/>
      <c r="F23" s="569"/>
      <c r="G23" s="569"/>
      <c r="H23" s="569"/>
      <c r="I23" s="569"/>
      <c r="J23" s="569"/>
      <c r="K23" s="569"/>
      <c r="L23" s="569"/>
      <c r="M23" s="569"/>
      <c r="N23" s="569"/>
      <c r="O23" s="569"/>
      <c r="P23" s="569"/>
      <c r="Q23" s="569"/>
      <c r="R23" s="569"/>
      <c r="S23" s="569"/>
      <c r="T23" s="569"/>
      <c r="U23" s="569"/>
      <c r="V23" s="569"/>
      <c r="W23" s="569"/>
      <c r="X23" s="569"/>
      <c r="Y23" s="569"/>
      <c r="Z23" s="569"/>
      <c r="AA23" s="569"/>
      <c r="AB23" s="569"/>
      <c r="AC23" s="569"/>
      <c r="AD23" s="569"/>
      <c r="AE23" s="569"/>
      <c r="AF23" s="569"/>
      <c r="AG23" s="569"/>
      <c r="AH23" s="569"/>
      <c r="AI23" s="569"/>
      <c r="AJ23" s="569"/>
      <c r="AK23" s="569"/>
      <c r="AL23" s="569"/>
      <c r="AM23" s="571" t="str">
        <f>LISTAS!D32</f>
        <v/>
      </c>
      <c r="AN23" s="571"/>
      <c r="AO23" s="122"/>
      <c r="AP23" s="118"/>
    </row>
    <row r="24" spans="2:42" ht="25.5" customHeight="1" x14ac:dyDescent="0.2">
      <c r="B24" s="117"/>
      <c r="C24" s="569" t="s">
        <v>3737</v>
      </c>
      <c r="D24" s="569"/>
      <c r="E24" s="569"/>
      <c r="F24" s="569"/>
      <c r="G24" s="569"/>
      <c r="H24" s="569"/>
      <c r="I24" s="569"/>
      <c r="J24" s="569"/>
      <c r="K24" s="569"/>
      <c r="L24" s="569"/>
      <c r="M24" s="569"/>
      <c r="N24" s="569"/>
      <c r="O24" s="569"/>
      <c r="P24" s="569"/>
      <c r="Q24" s="569"/>
      <c r="R24" s="569"/>
      <c r="S24" s="569"/>
      <c r="T24" s="569"/>
      <c r="U24" s="569"/>
      <c r="V24" s="569"/>
      <c r="W24" s="569"/>
      <c r="X24" s="569"/>
      <c r="Y24" s="569"/>
      <c r="Z24" s="569"/>
      <c r="AA24" s="569"/>
      <c r="AB24" s="569"/>
      <c r="AC24" s="569"/>
      <c r="AD24" s="569"/>
      <c r="AE24" s="569"/>
      <c r="AF24" s="569"/>
      <c r="AG24" s="569"/>
      <c r="AH24" s="569"/>
      <c r="AI24" s="569"/>
      <c r="AJ24" s="569"/>
      <c r="AK24" s="569"/>
      <c r="AL24" s="569"/>
      <c r="AM24" s="571" t="str">
        <f>LISTAS!D33</f>
        <v/>
      </c>
      <c r="AN24" s="571"/>
      <c r="AO24" s="122"/>
      <c r="AP24" s="118"/>
    </row>
    <row r="25" spans="2:42" ht="12.75" x14ac:dyDescent="0.2">
      <c r="B25" s="117"/>
      <c r="C25" s="569" t="s">
        <v>1801</v>
      </c>
      <c r="D25" s="569"/>
      <c r="E25" s="569"/>
      <c r="F25" s="569"/>
      <c r="G25" s="569"/>
      <c r="H25" s="569"/>
      <c r="I25" s="569"/>
      <c r="J25" s="569"/>
      <c r="K25" s="569"/>
      <c r="L25" s="569"/>
      <c r="M25" s="569"/>
      <c r="N25" s="569"/>
      <c r="O25" s="569"/>
      <c r="P25" s="569"/>
      <c r="Q25" s="569"/>
      <c r="R25" s="569"/>
      <c r="S25" s="569"/>
      <c r="T25" s="569"/>
      <c r="U25" s="569"/>
      <c r="V25" s="569"/>
      <c r="W25" s="569"/>
      <c r="X25" s="569"/>
      <c r="Y25" s="569"/>
      <c r="Z25" s="569"/>
      <c r="AA25" s="569"/>
      <c r="AB25" s="569"/>
      <c r="AC25" s="569"/>
      <c r="AD25" s="569"/>
      <c r="AE25" s="569"/>
      <c r="AF25" s="569"/>
      <c r="AG25" s="569"/>
      <c r="AH25" s="569"/>
      <c r="AI25" s="569"/>
      <c r="AJ25" s="569"/>
      <c r="AK25" s="569"/>
      <c r="AL25" s="569"/>
      <c r="AM25" s="122"/>
      <c r="AN25" s="122"/>
      <c r="AO25" s="122"/>
      <c r="AP25" s="118"/>
    </row>
    <row r="26" spans="2:42" ht="25.5" customHeight="1" x14ac:dyDescent="0.2">
      <c r="B26" s="117"/>
      <c r="C26" s="570" t="str">
        <f>LISTAS!D34</f>
        <v/>
      </c>
      <c r="D26" s="570"/>
      <c r="E26" s="570"/>
      <c r="F26" s="570"/>
      <c r="G26" s="570"/>
      <c r="H26" s="570"/>
      <c r="I26" s="570"/>
      <c r="J26" s="570"/>
      <c r="K26" s="570"/>
      <c r="L26" s="570"/>
      <c r="M26" s="570"/>
      <c r="N26" s="570"/>
      <c r="O26" s="570"/>
      <c r="P26" s="570"/>
      <c r="Q26" s="570"/>
      <c r="R26" s="570"/>
      <c r="S26" s="570"/>
      <c r="T26" s="570"/>
      <c r="U26" s="570"/>
      <c r="V26" s="570"/>
      <c r="W26" s="570"/>
      <c r="X26" s="570"/>
      <c r="Y26" s="570"/>
      <c r="Z26" s="570"/>
      <c r="AA26" s="570"/>
      <c r="AB26" s="570"/>
      <c r="AC26" s="570"/>
      <c r="AD26" s="570"/>
      <c r="AE26" s="570"/>
      <c r="AF26" s="570"/>
      <c r="AG26" s="570"/>
      <c r="AH26" s="570"/>
      <c r="AI26" s="570"/>
      <c r="AJ26" s="570"/>
      <c r="AK26" s="570"/>
      <c r="AL26" s="570"/>
      <c r="AM26" s="124"/>
      <c r="AN26" s="124"/>
      <c r="AO26" s="122"/>
      <c r="AP26" s="118"/>
    </row>
    <row r="27" spans="2:42" ht="12.75" x14ac:dyDescent="0.2">
      <c r="B27" s="117"/>
      <c r="C27" s="569"/>
      <c r="D27" s="569"/>
      <c r="E27" s="569"/>
      <c r="F27" s="569"/>
      <c r="G27" s="569"/>
      <c r="H27" s="569"/>
      <c r="I27" s="569"/>
      <c r="J27" s="569"/>
      <c r="K27" s="569"/>
      <c r="L27" s="569"/>
      <c r="M27" s="569"/>
      <c r="N27" s="569"/>
      <c r="O27" s="569"/>
      <c r="P27" s="569"/>
      <c r="Q27" s="569"/>
      <c r="R27" s="569"/>
      <c r="S27" s="569"/>
      <c r="T27" s="569"/>
      <c r="U27" s="569"/>
      <c r="V27" s="569"/>
      <c r="W27" s="569"/>
      <c r="X27" s="569"/>
      <c r="Y27" s="569"/>
      <c r="Z27" s="569"/>
      <c r="AA27" s="569"/>
      <c r="AB27" s="569"/>
      <c r="AC27" s="569"/>
      <c r="AD27" s="569"/>
      <c r="AE27" s="569"/>
      <c r="AF27" s="569"/>
      <c r="AG27" s="569"/>
      <c r="AH27" s="569"/>
      <c r="AI27" s="569"/>
      <c r="AJ27" s="569"/>
      <c r="AK27" s="569"/>
      <c r="AL27" s="569"/>
      <c r="AM27" s="124"/>
      <c r="AN27" s="124"/>
      <c r="AO27" s="122"/>
      <c r="AP27" s="118"/>
    </row>
    <row r="28" spans="2:42" ht="12.75" x14ac:dyDescent="0.2">
      <c r="B28" s="117"/>
      <c r="C28" s="568" t="s">
        <v>3825</v>
      </c>
      <c r="D28" s="568"/>
      <c r="E28" s="568"/>
      <c r="F28" s="568"/>
      <c r="G28" s="568"/>
      <c r="H28" s="568"/>
      <c r="I28" s="568"/>
      <c r="J28" s="568"/>
      <c r="K28" s="568"/>
      <c r="L28" s="568"/>
      <c r="M28" s="568"/>
      <c r="N28" s="568"/>
      <c r="O28" s="568"/>
      <c r="P28" s="568"/>
      <c r="Q28" s="568"/>
      <c r="R28" s="568"/>
      <c r="S28" s="568"/>
      <c r="T28" s="568"/>
      <c r="U28" s="568"/>
      <c r="V28" s="568"/>
      <c r="W28" s="568"/>
      <c r="X28" s="568"/>
      <c r="Y28" s="568"/>
      <c r="Z28" s="568"/>
      <c r="AA28" s="568"/>
      <c r="AB28" s="568"/>
      <c r="AC28" s="568"/>
      <c r="AD28" s="568"/>
      <c r="AE28" s="568"/>
      <c r="AF28" s="568"/>
      <c r="AG28" s="568"/>
      <c r="AH28" s="568"/>
      <c r="AI28" s="568"/>
      <c r="AJ28" s="568"/>
      <c r="AK28" s="568"/>
      <c r="AL28" s="568"/>
      <c r="AM28" s="124"/>
      <c r="AN28" s="124"/>
      <c r="AO28" s="122"/>
      <c r="AP28" s="118"/>
    </row>
    <row r="29" spans="2:42" ht="25.5" customHeight="1" x14ac:dyDescent="0.2">
      <c r="B29" s="117"/>
      <c r="C29" s="568" t="s">
        <v>3796</v>
      </c>
      <c r="D29" s="568"/>
      <c r="E29" s="568"/>
      <c r="F29" s="568"/>
      <c r="G29" s="568"/>
      <c r="H29" s="568"/>
      <c r="I29" s="568"/>
      <c r="J29" s="568"/>
      <c r="K29" s="568"/>
      <c r="L29" s="568"/>
      <c r="M29" s="568"/>
      <c r="N29" s="568"/>
      <c r="O29" s="568"/>
      <c r="P29" s="568"/>
      <c r="Q29" s="568"/>
      <c r="R29" s="568"/>
      <c r="S29" s="568"/>
      <c r="T29" s="568"/>
      <c r="U29" s="568"/>
      <c r="V29" s="568"/>
      <c r="W29" s="568"/>
      <c r="X29" s="568"/>
      <c r="Y29" s="568"/>
      <c r="Z29" s="568"/>
      <c r="AA29" s="568"/>
      <c r="AB29" s="568"/>
      <c r="AC29" s="568"/>
      <c r="AD29" s="568"/>
      <c r="AE29" s="568"/>
      <c r="AF29" s="568"/>
      <c r="AG29" s="568"/>
      <c r="AH29" s="568"/>
      <c r="AI29" s="568"/>
      <c r="AJ29" s="568"/>
      <c r="AK29" s="568"/>
      <c r="AL29" s="568"/>
      <c r="AM29" s="571" t="str">
        <f>LISTAS!D35</f>
        <v/>
      </c>
      <c r="AN29" s="571"/>
      <c r="AO29" s="122"/>
      <c r="AP29" s="118"/>
    </row>
    <row r="30" spans="2:42" ht="25.5" customHeight="1" x14ac:dyDescent="0.2">
      <c r="B30" s="117"/>
      <c r="C30" s="568" t="s">
        <v>3738</v>
      </c>
      <c r="D30" s="568"/>
      <c r="E30" s="568"/>
      <c r="F30" s="568"/>
      <c r="G30" s="568"/>
      <c r="H30" s="568"/>
      <c r="I30" s="568"/>
      <c r="J30" s="568"/>
      <c r="K30" s="568"/>
      <c r="L30" s="568"/>
      <c r="M30" s="568"/>
      <c r="N30" s="568"/>
      <c r="O30" s="568"/>
      <c r="P30" s="568"/>
      <c r="Q30" s="568"/>
      <c r="R30" s="568"/>
      <c r="S30" s="568"/>
      <c r="T30" s="568"/>
      <c r="U30" s="568"/>
      <c r="V30" s="568"/>
      <c r="W30" s="568"/>
      <c r="X30" s="568"/>
      <c r="Y30" s="568"/>
      <c r="Z30" s="568"/>
      <c r="AA30" s="568"/>
      <c r="AB30" s="568"/>
      <c r="AC30" s="568"/>
      <c r="AD30" s="568"/>
      <c r="AE30" s="568"/>
      <c r="AF30" s="568"/>
      <c r="AG30" s="568"/>
      <c r="AH30" s="568"/>
      <c r="AI30" s="568"/>
      <c r="AJ30" s="568"/>
      <c r="AK30" s="568"/>
      <c r="AL30" s="568"/>
      <c r="AM30" s="571" t="str">
        <f>LISTAS!D36</f>
        <v/>
      </c>
      <c r="AN30" s="571"/>
      <c r="AO30" s="122"/>
      <c r="AP30" s="118"/>
    </row>
    <row r="31" spans="2:42" ht="12.75" x14ac:dyDescent="0.2">
      <c r="B31" s="117"/>
      <c r="C31" s="568" t="s">
        <v>3648</v>
      </c>
      <c r="D31" s="568"/>
      <c r="E31" s="568"/>
      <c r="F31" s="568"/>
      <c r="G31" s="568"/>
      <c r="H31" s="568"/>
      <c r="I31" s="568"/>
      <c r="J31" s="568"/>
      <c r="K31" s="568"/>
      <c r="L31" s="568"/>
      <c r="M31" s="568"/>
      <c r="N31" s="568"/>
      <c r="O31" s="568"/>
      <c r="P31" s="568"/>
      <c r="Q31" s="568"/>
      <c r="R31" s="568"/>
      <c r="S31" s="568"/>
      <c r="T31" s="568"/>
      <c r="U31" s="568"/>
      <c r="V31" s="568"/>
      <c r="W31" s="568"/>
      <c r="X31" s="568"/>
      <c r="Y31" s="568"/>
      <c r="Z31" s="568"/>
      <c r="AA31" s="568"/>
      <c r="AB31" s="568"/>
      <c r="AC31" s="568"/>
      <c r="AD31" s="568"/>
      <c r="AE31" s="568"/>
      <c r="AF31" s="568"/>
      <c r="AG31" s="568"/>
      <c r="AH31" s="568"/>
      <c r="AI31" s="568"/>
      <c r="AJ31" s="568"/>
      <c r="AK31" s="568"/>
      <c r="AL31" s="568"/>
      <c r="AM31" s="571" t="str">
        <f>LISTAS!D37</f>
        <v/>
      </c>
      <c r="AN31" s="571"/>
      <c r="AO31" s="122"/>
      <c r="AP31" s="118"/>
    </row>
    <row r="32" spans="2:42" ht="12.75" x14ac:dyDescent="0.2">
      <c r="B32" s="117"/>
      <c r="C32" s="568" t="s">
        <v>3831</v>
      </c>
      <c r="D32" s="568"/>
      <c r="E32" s="568"/>
      <c r="F32" s="568"/>
      <c r="G32" s="568"/>
      <c r="H32" s="568"/>
      <c r="I32" s="568"/>
      <c r="J32" s="568"/>
      <c r="K32" s="568"/>
      <c r="L32" s="568"/>
      <c r="M32" s="568"/>
      <c r="N32" s="568"/>
      <c r="O32" s="568"/>
      <c r="P32" s="568"/>
      <c r="Q32" s="568"/>
      <c r="R32" s="568"/>
      <c r="S32" s="568"/>
      <c r="T32" s="568"/>
      <c r="U32" s="568"/>
      <c r="V32" s="568"/>
      <c r="W32" s="568"/>
      <c r="X32" s="568"/>
      <c r="Y32" s="568"/>
      <c r="Z32" s="568"/>
      <c r="AA32" s="568"/>
      <c r="AB32" s="568"/>
      <c r="AC32" s="568"/>
      <c r="AD32" s="568"/>
      <c r="AE32" s="568"/>
      <c r="AF32" s="568"/>
      <c r="AG32" s="568"/>
      <c r="AH32" s="568"/>
      <c r="AI32" s="568"/>
      <c r="AJ32" s="568"/>
      <c r="AK32" s="568"/>
      <c r="AL32" s="568"/>
      <c r="AM32" s="571" t="str">
        <f>LISTAS!D38</f>
        <v/>
      </c>
      <c r="AN32" s="571"/>
      <c r="AO32" s="122"/>
      <c r="AP32" s="118"/>
    </row>
    <row r="33" spans="2:42" ht="12.75" x14ac:dyDescent="0.2">
      <c r="B33" s="117"/>
      <c r="C33" s="569" t="s">
        <v>1801</v>
      </c>
      <c r="D33" s="569"/>
      <c r="E33" s="569"/>
      <c r="F33" s="569"/>
      <c r="G33" s="569"/>
      <c r="H33" s="569"/>
      <c r="I33" s="569"/>
      <c r="J33" s="569"/>
      <c r="K33" s="569"/>
      <c r="L33" s="569"/>
      <c r="M33" s="569"/>
      <c r="N33" s="569"/>
      <c r="O33" s="569"/>
      <c r="P33" s="569"/>
      <c r="Q33" s="569"/>
      <c r="R33" s="569"/>
      <c r="S33" s="569"/>
      <c r="T33" s="569"/>
      <c r="U33" s="569"/>
      <c r="V33" s="569"/>
      <c r="W33" s="569"/>
      <c r="X33" s="569"/>
      <c r="Y33" s="569"/>
      <c r="Z33" s="569"/>
      <c r="AA33" s="569"/>
      <c r="AB33" s="569"/>
      <c r="AC33" s="569"/>
      <c r="AD33" s="569"/>
      <c r="AE33" s="569"/>
      <c r="AF33" s="569"/>
      <c r="AG33" s="569"/>
      <c r="AH33" s="569"/>
      <c r="AI33" s="569"/>
      <c r="AJ33" s="569"/>
      <c r="AK33" s="569"/>
      <c r="AL33" s="569"/>
      <c r="AM33" s="122"/>
      <c r="AN33" s="122"/>
      <c r="AO33" s="122"/>
      <c r="AP33" s="118"/>
    </row>
    <row r="34" spans="2:42" ht="25.5" customHeight="1" x14ac:dyDescent="0.2">
      <c r="B34" s="117"/>
      <c r="C34" s="570" t="str">
        <f>LISTAS!D39</f>
        <v/>
      </c>
      <c r="D34" s="570"/>
      <c r="E34" s="570"/>
      <c r="F34" s="570"/>
      <c r="G34" s="570"/>
      <c r="H34" s="570"/>
      <c r="I34" s="570"/>
      <c r="J34" s="570"/>
      <c r="K34" s="570"/>
      <c r="L34" s="570"/>
      <c r="M34" s="570"/>
      <c r="N34" s="570"/>
      <c r="O34" s="570"/>
      <c r="P34" s="570"/>
      <c r="Q34" s="570"/>
      <c r="R34" s="570"/>
      <c r="S34" s="570"/>
      <c r="T34" s="570"/>
      <c r="U34" s="570"/>
      <c r="V34" s="570"/>
      <c r="W34" s="570"/>
      <c r="X34" s="570"/>
      <c r="Y34" s="570"/>
      <c r="Z34" s="570"/>
      <c r="AA34" s="570"/>
      <c r="AB34" s="570"/>
      <c r="AC34" s="570"/>
      <c r="AD34" s="570"/>
      <c r="AE34" s="570"/>
      <c r="AF34" s="570"/>
      <c r="AG34" s="570"/>
      <c r="AH34" s="570"/>
      <c r="AI34" s="570"/>
      <c r="AJ34" s="570"/>
      <c r="AK34" s="570"/>
      <c r="AL34" s="570"/>
      <c r="AM34" s="124"/>
      <c r="AN34" s="124"/>
      <c r="AO34" s="122"/>
      <c r="AP34" s="118"/>
    </row>
    <row r="35" spans="2:42" ht="12.75" x14ac:dyDescent="0.2">
      <c r="B35" s="117"/>
      <c r="C35" s="568"/>
      <c r="D35" s="568"/>
      <c r="E35" s="568"/>
      <c r="F35" s="568"/>
      <c r="G35" s="568"/>
      <c r="H35" s="568"/>
      <c r="I35" s="568"/>
      <c r="J35" s="568"/>
      <c r="K35" s="568"/>
      <c r="L35" s="568"/>
      <c r="M35" s="568"/>
      <c r="N35" s="568"/>
      <c r="O35" s="568"/>
      <c r="P35" s="568"/>
      <c r="Q35" s="568"/>
      <c r="R35" s="568"/>
      <c r="S35" s="568"/>
      <c r="T35" s="568"/>
      <c r="U35" s="568"/>
      <c r="V35" s="568"/>
      <c r="W35" s="568"/>
      <c r="X35" s="568"/>
      <c r="Y35" s="568"/>
      <c r="Z35" s="568"/>
      <c r="AA35" s="568"/>
      <c r="AB35" s="568"/>
      <c r="AC35" s="568"/>
      <c r="AD35" s="568"/>
      <c r="AE35" s="568"/>
      <c r="AF35" s="568"/>
      <c r="AG35" s="568"/>
      <c r="AH35" s="568"/>
      <c r="AI35" s="568"/>
      <c r="AJ35" s="568"/>
      <c r="AK35" s="568"/>
      <c r="AL35" s="568"/>
      <c r="AM35" s="124"/>
      <c r="AN35" s="124"/>
      <c r="AO35" s="122"/>
      <c r="AP35" s="118"/>
    </row>
    <row r="36" spans="2:42" ht="12.75" x14ac:dyDescent="0.2">
      <c r="B36" s="117"/>
      <c r="C36" s="568" t="s">
        <v>3727</v>
      </c>
      <c r="D36" s="568"/>
      <c r="E36" s="568"/>
      <c r="F36" s="568"/>
      <c r="G36" s="568"/>
      <c r="H36" s="568"/>
      <c r="I36" s="568"/>
      <c r="J36" s="568"/>
      <c r="K36" s="568"/>
      <c r="L36" s="568"/>
      <c r="M36" s="568"/>
      <c r="N36" s="568"/>
      <c r="O36" s="568"/>
      <c r="P36" s="568"/>
      <c r="Q36" s="568"/>
      <c r="R36" s="568"/>
      <c r="S36" s="568"/>
      <c r="T36" s="568"/>
      <c r="U36" s="568"/>
      <c r="V36" s="568"/>
      <c r="W36" s="568"/>
      <c r="X36" s="568"/>
      <c r="Y36" s="568"/>
      <c r="Z36" s="568"/>
      <c r="AA36" s="568"/>
      <c r="AB36" s="568"/>
      <c r="AC36" s="568"/>
      <c r="AD36" s="568"/>
      <c r="AE36" s="568"/>
      <c r="AF36" s="568"/>
      <c r="AG36" s="568"/>
      <c r="AH36" s="568"/>
      <c r="AI36" s="568"/>
      <c r="AJ36" s="568"/>
      <c r="AK36" s="568"/>
      <c r="AL36" s="568"/>
      <c r="AM36" s="124"/>
      <c r="AN36" s="124"/>
      <c r="AO36" s="122"/>
      <c r="AP36" s="118"/>
    </row>
    <row r="37" spans="2:42" ht="25.5" customHeight="1" x14ac:dyDescent="0.2">
      <c r="B37" s="117"/>
      <c r="C37" s="568" t="s">
        <v>3739</v>
      </c>
      <c r="D37" s="568"/>
      <c r="E37" s="568"/>
      <c r="F37" s="568"/>
      <c r="G37" s="568"/>
      <c r="H37" s="568"/>
      <c r="I37" s="568"/>
      <c r="J37" s="568"/>
      <c r="K37" s="568"/>
      <c r="L37" s="568"/>
      <c r="M37" s="568"/>
      <c r="N37" s="568"/>
      <c r="O37" s="568"/>
      <c r="P37" s="568"/>
      <c r="Q37" s="568"/>
      <c r="R37" s="568"/>
      <c r="S37" s="568"/>
      <c r="T37" s="568"/>
      <c r="U37" s="568"/>
      <c r="V37" s="568"/>
      <c r="W37" s="568"/>
      <c r="X37" s="568"/>
      <c r="Y37" s="568"/>
      <c r="Z37" s="568"/>
      <c r="AA37" s="568"/>
      <c r="AB37" s="568"/>
      <c r="AC37" s="568"/>
      <c r="AD37" s="568"/>
      <c r="AE37" s="568"/>
      <c r="AF37" s="568"/>
      <c r="AG37" s="568"/>
      <c r="AH37" s="568"/>
      <c r="AI37" s="568"/>
      <c r="AJ37" s="568"/>
      <c r="AK37" s="568"/>
      <c r="AL37" s="568"/>
      <c r="AM37" s="571" t="str">
        <f>LISTAS!D40</f>
        <v/>
      </c>
      <c r="AN37" s="571"/>
      <c r="AO37" s="122"/>
      <c r="AP37" s="118"/>
    </row>
    <row r="38" spans="2:42" ht="25.5" customHeight="1" x14ac:dyDescent="0.2">
      <c r="B38" s="117"/>
      <c r="C38" s="568" t="s">
        <v>3650</v>
      </c>
      <c r="D38" s="568"/>
      <c r="E38" s="568"/>
      <c r="F38" s="568"/>
      <c r="G38" s="568"/>
      <c r="H38" s="568"/>
      <c r="I38" s="568"/>
      <c r="J38" s="568"/>
      <c r="K38" s="568"/>
      <c r="L38" s="568"/>
      <c r="M38" s="568"/>
      <c r="N38" s="568"/>
      <c r="O38" s="568"/>
      <c r="P38" s="568"/>
      <c r="Q38" s="568"/>
      <c r="R38" s="568"/>
      <c r="S38" s="568"/>
      <c r="T38" s="568"/>
      <c r="U38" s="568"/>
      <c r="V38" s="568"/>
      <c r="W38" s="568"/>
      <c r="X38" s="568"/>
      <c r="Y38" s="568"/>
      <c r="Z38" s="568"/>
      <c r="AA38" s="568"/>
      <c r="AB38" s="568"/>
      <c r="AC38" s="568"/>
      <c r="AD38" s="568"/>
      <c r="AE38" s="568"/>
      <c r="AF38" s="568"/>
      <c r="AG38" s="568"/>
      <c r="AH38" s="568"/>
      <c r="AI38" s="568"/>
      <c r="AJ38" s="568"/>
      <c r="AK38" s="568"/>
      <c r="AL38" s="568"/>
      <c r="AM38" s="571" t="str">
        <f>LISTAS!D41</f>
        <v/>
      </c>
      <c r="AN38" s="571"/>
      <c r="AO38" s="122"/>
      <c r="AP38" s="118"/>
    </row>
    <row r="39" spans="2:42" ht="25.5" customHeight="1" x14ac:dyDescent="0.2">
      <c r="B39" s="117"/>
      <c r="C39" s="568" t="s">
        <v>3651</v>
      </c>
      <c r="D39" s="568"/>
      <c r="E39" s="568"/>
      <c r="F39" s="568"/>
      <c r="G39" s="568"/>
      <c r="H39" s="568"/>
      <c r="I39" s="568"/>
      <c r="J39" s="568"/>
      <c r="K39" s="568"/>
      <c r="L39" s="568"/>
      <c r="M39" s="568"/>
      <c r="N39" s="568"/>
      <c r="O39" s="568"/>
      <c r="P39" s="568"/>
      <c r="Q39" s="568"/>
      <c r="R39" s="568"/>
      <c r="S39" s="568"/>
      <c r="T39" s="568"/>
      <c r="U39" s="568"/>
      <c r="V39" s="568"/>
      <c r="W39" s="568"/>
      <c r="X39" s="568"/>
      <c r="Y39" s="568"/>
      <c r="Z39" s="568"/>
      <c r="AA39" s="568"/>
      <c r="AB39" s="568"/>
      <c r="AC39" s="568"/>
      <c r="AD39" s="568"/>
      <c r="AE39" s="568"/>
      <c r="AF39" s="568"/>
      <c r="AG39" s="568"/>
      <c r="AH39" s="568"/>
      <c r="AI39" s="568"/>
      <c r="AJ39" s="568"/>
      <c r="AK39" s="568"/>
      <c r="AL39" s="568"/>
      <c r="AM39" s="571" t="str">
        <f>LISTAS!D42</f>
        <v/>
      </c>
      <c r="AN39" s="571"/>
      <c r="AO39" s="122"/>
      <c r="AP39" s="118"/>
    </row>
    <row r="40" spans="2:42" ht="25.5" customHeight="1" x14ac:dyDescent="0.2">
      <c r="B40" s="117"/>
      <c r="C40" s="568" t="s">
        <v>3832</v>
      </c>
      <c r="D40" s="568"/>
      <c r="E40" s="568"/>
      <c r="F40" s="568"/>
      <c r="G40" s="568"/>
      <c r="H40" s="568"/>
      <c r="I40" s="568"/>
      <c r="J40" s="568"/>
      <c r="K40" s="568"/>
      <c r="L40" s="568"/>
      <c r="M40" s="568"/>
      <c r="N40" s="568"/>
      <c r="O40" s="568"/>
      <c r="P40" s="568"/>
      <c r="Q40" s="568"/>
      <c r="R40" s="568"/>
      <c r="S40" s="568"/>
      <c r="T40" s="568"/>
      <c r="U40" s="568"/>
      <c r="V40" s="568"/>
      <c r="W40" s="568"/>
      <c r="X40" s="568"/>
      <c r="Y40" s="568"/>
      <c r="Z40" s="568"/>
      <c r="AA40" s="568"/>
      <c r="AB40" s="568"/>
      <c r="AC40" s="568"/>
      <c r="AD40" s="568"/>
      <c r="AE40" s="568"/>
      <c r="AF40" s="568"/>
      <c r="AG40" s="568"/>
      <c r="AH40" s="568"/>
      <c r="AI40" s="568"/>
      <c r="AJ40" s="568"/>
      <c r="AK40" s="568"/>
      <c r="AL40" s="568"/>
      <c r="AM40" s="571" t="str">
        <f>LISTAS!D43</f>
        <v/>
      </c>
      <c r="AN40" s="571"/>
      <c r="AO40" s="122"/>
      <c r="AP40" s="118"/>
    </row>
    <row r="41" spans="2:42" ht="12.75" x14ac:dyDescent="0.2">
      <c r="B41" s="117"/>
      <c r="C41" s="569" t="s">
        <v>1801</v>
      </c>
      <c r="D41" s="569"/>
      <c r="E41" s="569"/>
      <c r="F41" s="569"/>
      <c r="G41" s="569"/>
      <c r="H41" s="569"/>
      <c r="I41" s="569"/>
      <c r="J41" s="569"/>
      <c r="K41" s="569"/>
      <c r="L41" s="569"/>
      <c r="M41" s="569"/>
      <c r="N41" s="569"/>
      <c r="O41" s="569"/>
      <c r="P41" s="569"/>
      <c r="Q41" s="569"/>
      <c r="R41" s="569"/>
      <c r="S41" s="569"/>
      <c r="T41" s="569"/>
      <c r="U41" s="569"/>
      <c r="V41" s="569"/>
      <c r="W41" s="569"/>
      <c r="X41" s="569"/>
      <c r="Y41" s="569"/>
      <c r="Z41" s="569"/>
      <c r="AA41" s="569"/>
      <c r="AB41" s="569"/>
      <c r="AC41" s="569"/>
      <c r="AD41" s="569"/>
      <c r="AE41" s="569"/>
      <c r="AF41" s="569"/>
      <c r="AG41" s="569"/>
      <c r="AH41" s="569"/>
      <c r="AI41" s="569"/>
      <c r="AJ41" s="569"/>
      <c r="AK41" s="569"/>
      <c r="AL41" s="569"/>
      <c r="AM41" s="122"/>
      <c r="AN41" s="122"/>
      <c r="AO41" s="122"/>
      <c r="AP41" s="118"/>
    </row>
    <row r="42" spans="2:42" ht="25.5" customHeight="1" x14ac:dyDescent="0.2">
      <c r="B42" s="117"/>
      <c r="C42" s="570" t="str">
        <f>LISTAS!D44</f>
        <v/>
      </c>
      <c r="D42" s="570"/>
      <c r="E42" s="570"/>
      <c r="F42" s="570"/>
      <c r="G42" s="570"/>
      <c r="H42" s="570"/>
      <c r="I42" s="570"/>
      <c r="J42" s="570"/>
      <c r="K42" s="570"/>
      <c r="L42" s="570"/>
      <c r="M42" s="570"/>
      <c r="N42" s="570"/>
      <c r="O42" s="570"/>
      <c r="P42" s="570"/>
      <c r="Q42" s="570"/>
      <c r="R42" s="570"/>
      <c r="S42" s="570"/>
      <c r="T42" s="570"/>
      <c r="U42" s="570"/>
      <c r="V42" s="570"/>
      <c r="W42" s="570"/>
      <c r="X42" s="570"/>
      <c r="Y42" s="570"/>
      <c r="Z42" s="570"/>
      <c r="AA42" s="570"/>
      <c r="AB42" s="570"/>
      <c r="AC42" s="570"/>
      <c r="AD42" s="570"/>
      <c r="AE42" s="570"/>
      <c r="AF42" s="570"/>
      <c r="AG42" s="570"/>
      <c r="AH42" s="570"/>
      <c r="AI42" s="570"/>
      <c r="AJ42" s="570"/>
      <c r="AK42" s="570"/>
      <c r="AL42" s="570"/>
      <c r="AM42" s="124"/>
      <c r="AN42" s="124"/>
      <c r="AO42" s="122"/>
      <c r="AP42" s="118"/>
    </row>
    <row r="43" spans="2:42" ht="12.75" x14ac:dyDescent="0.2">
      <c r="B43" s="117"/>
      <c r="C43" s="569"/>
      <c r="D43" s="569"/>
      <c r="E43" s="569"/>
      <c r="F43" s="569"/>
      <c r="G43" s="569"/>
      <c r="H43" s="569"/>
      <c r="I43" s="569"/>
      <c r="J43" s="569"/>
      <c r="K43" s="569"/>
      <c r="L43" s="569"/>
      <c r="M43" s="569"/>
      <c r="N43" s="569"/>
      <c r="O43" s="569"/>
      <c r="P43" s="569"/>
      <c r="Q43" s="569"/>
      <c r="R43" s="569"/>
      <c r="S43" s="569"/>
      <c r="T43" s="569"/>
      <c r="U43" s="569"/>
      <c r="V43" s="569"/>
      <c r="W43" s="569"/>
      <c r="X43" s="569"/>
      <c r="Y43" s="569"/>
      <c r="Z43" s="569"/>
      <c r="AA43" s="569"/>
      <c r="AB43" s="569"/>
      <c r="AC43" s="569"/>
      <c r="AD43" s="569"/>
      <c r="AE43" s="569"/>
      <c r="AF43" s="569"/>
      <c r="AG43" s="569"/>
      <c r="AH43" s="569"/>
      <c r="AI43" s="569"/>
      <c r="AJ43" s="569"/>
      <c r="AK43" s="569"/>
      <c r="AL43" s="569"/>
      <c r="AM43" s="124"/>
      <c r="AN43" s="124"/>
      <c r="AO43" s="122"/>
      <c r="AP43" s="118"/>
    </row>
    <row r="44" spans="2:42" ht="12.75" x14ac:dyDescent="0.2">
      <c r="B44" s="117">
        <v>2</v>
      </c>
      <c r="C44" s="568" t="s">
        <v>3669</v>
      </c>
      <c r="D44" s="568"/>
      <c r="E44" s="568"/>
      <c r="F44" s="568"/>
      <c r="G44" s="568"/>
      <c r="H44" s="568"/>
      <c r="I44" s="568"/>
      <c r="J44" s="568"/>
      <c r="K44" s="568"/>
      <c r="L44" s="568"/>
      <c r="M44" s="568"/>
      <c r="N44" s="568"/>
      <c r="O44" s="568"/>
      <c r="P44" s="568"/>
      <c r="Q44" s="568"/>
      <c r="R44" s="568"/>
      <c r="S44" s="568"/>
      <c r="T44" s="568"/>
      <c r="U44" s="568"/>
      <c r="V44" s="568"/>
      <c r="W44" s="568"/>
      <c r="X44" s="568"/>
      <c r="Y44" s="568"/>
      <c r="Z44" s="568"/>
      <c r="AA44" s="568"/>
      <c r="AB44" s="568"/>
      <c r="AC44" s="568"/>
      <c r="AD44" s="568"/>
      <c r="AE44" s="568"/>
      <c r="AF44" s="568"/>
      <c r="AG44" s="568"/>
      <c r="AH44" s="568"/>
      <c r="AI44" s="568"/>
      <c r="AJ44" s="568"/>
      <c r="AK44" s="568"/>
      <c r="AL44" s="568"/>
      <c r="AM44" s="124"/>
      <c r="AN44" s="124"/>
      <c r="AO44" s="122"/>
      <c r="AP44" s="118"/>
    </row>
    <row r="45" spans="2:42" ht="12.75" x14ac:dyDescent="0.2">
      <c r="B45" s="117"/>
      <c r="C45" s="568" t="s">
        <v>3670</v>
      </c>
      <c r="D45" s="568"/>
      <c r="E45" s="568"/>
      <c r="F45" s="568"/>
      <c r="G45" s="568"/>
      <c r="H45" s="568"/>
      <c r="I45" s="568"/>
      <c r="J45" s="568"/>
      <c r="K45" s="568"/>
      <c r="L45" s="568"/>
      <c r="M45" s="568"/>
      <c r="N45" s="568"/>
      <c r="O45" s="568"/>
      <c r="P45" s="568"/>
      <c r="Q45" s="568"/>
      <c r="R45" s="568"/>
      <c r="S45" s="568"/>
      <c r="T45" s="568"/>
      <c r="U45" s="568"/>
      <c r="V45" s="568"/>
      <c r="W45" s="568"/>
      <c r="X45" s="568"/>
      <c r="Y45" s="568"/>
      <c r="Z45" s="568"/>
      <c r="AA45" s="568"/>
      <c r="AB45" s="568"/>
      <c r="AC45" s="568"/>
      <c r="AD45" s="568"/>
      <c r="AE45" s="568"/>
      <c r="AF45" s="568"/>
      <c r="AG45" s="568"/>
      <c r="AH45" s="568"/>
      <c r="AI45" s="568"/>
      <c r="AJ45" s="568"/>
      <c r="AK45" s="568"/>
      <c r="AL45" s="568"/>
      <c r="AM45" s="124"/>
      <c r="AN45" s="124"/>
      <c r="AO45" s="122"/>
      <c r="AP45" s="118"/>
    </row>
    <row r="46" spans="2:42" ht="25.5" customHeight="1" x14ac:dyDescent="0.2">
      <c r="B46" s="117"/>
      <c r="C46" s="568" t="s">
        <v>3740</v>
      </c>
      <c r="D46" s="568"/>
      <c r="E46" s="568"/>
      <c r="F46" s="568"/>
      <c r="G46" s="568"/>
      <c r="H46" s="568"/>
      <c r="I46" s="568"/>
      <c r="J46" s="568"/>
      <c r="K46" s="568"/>
      <c r="L46" s="568"/>
      <c r="M46" s="568"/>
      <c r="N46" s="568"/>
      <c r="O46" s="568"/>
      <c r="P46" s="568"/>
      <c r="Q46" s="568"/>
      <c r="R46" s="568"/>
      <c r="S46" s="568"/>
      <c r="T46" s="568"/>
      <c r="U46" s="568"/>
      <c r="V46" s="568"/>
      <c r="W46" s="568"/>
      <c r="X46" s="568"/>
      <c r="Y46" s="568"/>
      <c r="Z46" s="568"/>
      <c r="AA46" s="568"/>
      <c r="AB46" s="568"/>
      <c r="AC46" s="568"/>
      <c r="AD46" s="568"/>
      <c r="AE46" s="568"/>
      <c r="AF46" s="568"/>
      <c r="AG46" s="568"/>
      <c r="AH46" s="568"/>
      <c r="AI46" s="568"/>
      <c r="AJ46" s="568"/>
      <c r="AK46" s="568"/>
      <c r="AL46" s="568"/>
      <c r="AM46" s="571" t="str">
        <f>LISTAS!D46</f>
        <v/>
      </c>
      <c r="AN46" s="571"/>
      <c r="AO46" s="122"/>
      <c r="AP46" s="118"/>
    </row>
    <row r="47" spans="2:42" ht="37.5" customHeight="1" x14ac:dyDescent="0.2">
      <c r="B47" s="117"/>
      <c r="C47" s="568" t="s">
        <v>3741</v>
      </c>
      <c r="D47" s="568"/>
      <c r="E47" s="568"/>
      <c r="F47" s="568"/>
      <c r="G47" s="568"/>
      <c r="H47" s="568"/>
      <c r="I47" s="568"/>
      <c r="J47" s="568"/>
      <c r="K47" s="568"/>
      <c r="L47" s="568"/>
      <c r="M47" s="568"/>
      <c r="N47" s="568"/>
      <c r="O47" s="568"/>
      <c r="P47" s="568"/>
      <c r="Q47" s="568"/>
      <c r="R47" s="568"/>
      <c r="S47" s="568"/>
      <c r="T47" s="568"/>
      <c r="U47" s="568"/>
      <c r="V47" s="568"/>
      <c r="W47" s="568"/>
      <c r="X47" s="568"/>
      <c r="Y47" s="568"/>
      <c r="Z47" s="568"/>
      <c r="AA47" s="568"/>
      <c r="AB47" s="568"/>
      <c r="AC47" s="568"/>
      <c r="AD47" s="568"/>
      <c r="AE47" s="568"/>
      <c r="AF47" s="568"/>
      <c r="AG47" s="568"/>
      <c r="AH47" s="568"/>
      <c r="AI47" s="568"/>
      <c r="AJ47" s="568"/>
      <c r="AK47" s="568"/>
      <c r="AL47" s="568"/>
      <c r="AM47" s="571" t="str">
        <f>LISTAS!D47</f>
        <v/>
      </c>
      <c r="AN47" s="571"/>
      <c r="AO47" s="122"/>
      <c r="AP47" s="118"/>
    </row>
    <row r="48" spans="2:42" ht="37.5" customHeight="1" x14ac:dyDescent="0.2">
      <c r="B48" s="117"/>
      <c r="C48" s="568" t="s">
        <v>3742</v>
      </c>
      <c r="D48" s="568"/>
      <c r="E48" s="568"/>
      <c r="F48" s="568"/>
      <c r="G48" s="568"/>
      <c r="H48" s="568"/>
      <c r="I48" s="568"/>
      <c r="J48" s="568"/>
      <c r="K48" s="568"/>
      <c r="L48" s="568"/>
      <c r="M48" s="568"/>
      <c r="N48" s="568"/>
      <c r="O48" s="568"/>
      <c r="P48" s="568"/>
      <c r="Q48" s="568"/>
      <c r="R48" s="568"/>
      <c r="S48" s="568"/>
      <c r="T48" s="568"/>
      <c r="U48" s="568"/>
      <c r="V48" s="568"/>
      <c r="W48" s="568"/>
      <c r="X48" s="568"/>
      <c r="Y48" s="568"/>
      <c r="Z48" s="568"/>
      <c r="AA48" s="568"/>
      <c r="AB48" s="568"/>
      <c r="AC48" s="568"/>
      <c r="AD48" s="568"/>
      <c r="AE48" s="568"/>
      <c r="AF48" s="568"/>
      <c r="AG48" s="568"/>
      <c r="AH48" s="568"/>
      <c r="AI48" s="568"/>
      <c r="AJ48" s="568"/>
      <c r="AK48" s="568"/>
      <c r="AL48" s="568"/>
      <c r="AM48" s="571" t="str">
        <f>LISTAS!D48</f>
        <v/>
      </c>
      <c r="AN48" s="571"/>
      <c r="AO48" s="122"/>
      <c r="AP48" s="118"/>
    </row>
    <row r="49" spans="2:42" ht="37.5" customHeight="1" x14ac:dyDescent="0.2">
      <c r="B49" s="117"/>
      <c r="C49" s="568" t="s">
        <v>3743</v>
      </c>
      <c r="D49" s="568"/>
      <c r="E49" s="568"/>
      <c r="F49" s="568"/>
      <c r="G49" s="568"/>
      <c r="H49" s="568"/>
      <c r="I49" s="568"/>
      <c r="J49" s="568"/>
      <c r="K49" s="568"/>
      <c r="L49" s="568"/>
      <c r="M49" s="568"/>
      <c r="N49" s="568"/>
      <c r="O49" s="568"/>
      <c r="P49" s="568"/>
      <c r="Q49" s="568"/>
      <c r="R49" s="568"/>
      <c r="S49" s="568"/>
      <c r="T49" s="568"/>
      <c r="U49" s="568"/>
      <c r="V49" s="568"/>
      <c r="W49" s="568"/>
      <c r="X49" s="568"/>
      <c r="Y49" s="568"/>
      <c r="Z49" s="568"/>
      <c r="AA49" s="568"/>
      <c r="AB49" s="568"/>
      <c r="AC49" s="568"/>
      <c r="AD49" s="568"/>
      <c r="AE49" s="568"/>
      <c r="AF49" s="568"/>
      <c r="AG49" s="568"/>
      <c r="AH49" s="568"/>
      <c r="AI49" s="568"/>
      <c r="AJ49" s="568"/>
      <c r="AK49" s="568"/>
      <c r="AL49" s="568"/>
      <c r="AM49" s="571" t="str">
        <f>LISTAS!D49</f>
        <v/>
      </c>
      <c r="AN49" s="571"/>
      <c r="AO49" s="122"/>
      <c r="AP49" s="118"/>
    </row>
    <row r="50" spans="2:42" ht="12.75" x14ac:dyDescent="0.2">
      <c r="B50" s="117"/>
      <c r="C50" s="569" t="s">
        <v>1801</v>
      </c>
      <c r="D50" s="569"/>
      <c r="E50" s="569"/>
      <c r="F50" s="569"/>
      <c r="G50" s="569"/>
      <c r="H50" s="569"/>
      <c r="I50" s="569"/>
      <c r="J50" s="569"/>
      <c r="K50" s="569"/>
      <c r="L50" s="569"/>
      <c r="M50" s="569"/>
      <c r="N50" s="569"/>
      <c r="O50" s="569"/>
      <c r="P50" s="569"/>
      <c r="Q50" s="569"/>
      <c r="R50" s="569"/>
      <c r="S50" s="569"/>
      <c r="T50" s="569"/>
      <c r="U50" s="569"/>
      <c r="V50" s="569"/>
      <c r="W50" s="569"/>
      <c r="X50" s="569"/>
      <c r="Y50" s="569"/>
      <c r="Z50" s="569"/>
      <c r="AA50" s="569"/>
      <c r="AB50" s="569"/>
      <c r="AC50" s="569"/>
      <c r="AD50" s="569"/>
      <c r="AE50" s="569"/>
      <c r="AF50" s="569"/>
      <c r="AG50" s="569"/>
      <c r="AH50" s="569"/>
      <c r="AI50" s="569"/>
      <c r="AJ50" s="569"/>
      <c r="AK50" s="569"/>
      <c r="AL50" s="569"/>
      <c r="AM50" s="122"/>
      <c r="AN50" s="122"/>
      <c r="AO50" s="122"/>
      <c r="AP50" s="118"/>
    </row>
    <row r="51" spans="2:42" ht="25.5" customHeight="1" x14ac:dyDescent="0.2">
      <c r="B51" s="117"/>
      <c r="C51" s="570" t="str">
        <f>LISTAS!D50</f>
        <v/>
      </c>
      <c r="D51" s="570"/>
      <c r="E51" s="570"/>
      <c r="F51" s="570"/>
      <c r="G51" s="570"/>
      <c r="H51" s="570"/>
      <c r="I51" s="570"/>
      <c r="J51" s="570"/>
      <c r="K51" s="570"/>
      <c r="L51" s="570"/>
      <c r="M51" s="570"/>
      <c r="N51" s="570"/>
      <c r="O51" s="570"/>
      <c r="P51" s="570"/>
      <c r="Q51" s="570"/>
      <c r="R51" s="570"/>
      <c r="S51" s="570"/>
      <c r="T51" s="570"/>
      <c r="U51" s="570"/>
      <c r="V51" s="570"/>
      <c r="W51" s="570"/>
      <c r="X51" s="570"/>
      <c r="Y51" s="570"/>
      <c r="Z51" s="570"/>
      <c r="AA51" s="570"/>
      <c r="AB51" s="570"/>
      <c r="AC51" s="570"/>
      <c r="AD51" s="570"/>
      <c r="AE51" s="570"/>
      <c r="AF51" s="570"/>
      <c r="AG51" s="570"/>
      <c r="AH51" s="570"/>
      <c r="AI51" s="570"/>
      <c r="AJ51" s="570"/>
      <c r="AK51" s="570"/>
      <c r="AL51" s="570"/>
      <c r="AM51" s="124"/>
      <c r="AN51" s="124"/>
      <c r="AO51" s="122"/>
      <c r="AP51" s="118"/>
    </row>
    <row r="52" spans="2:42" ht="12.75" x14ac:dyDescent="0.2">
      <c r="B52" s="117"/>
      <c r="C52" s="569"/>
      <c r="D52" s="569"/>
      <c r="E52" s="569"/>
      <c r="F52" s="569"/>
      <c r="G52" s="569"/>
      <c r="H52" s="569"/>
      <c r="I52" s="569"/>
      <c r="J52" s="569"/>
      <c r="K52" s="569"/>
      <c r="L52" s="569"/>
      <c r="M52" s="569"/>
      <c r="N52" s="569"/>
      <c r="O52" s="569"/>
      <c r="P52" s="569"/>
      <c r="Q52" s="569"/>
      <c r="R52" s="569"/>
      <c r="S52" s="569"/>
      <c r="T52" s="569"/>
      <c r="U52" s="569"/>
      <c r="V52" s="569"/>
      <c r="W52" s="569"/>
      <c r="X52" s="569"/>
      <c r="Y52" s="569"/>
      <c r="Z52" s="569"/>
      <c r="AA52" s="569"/>
      <c r="AB52" s="569"/>
      <c r="AC52" s="569"/>
      <c r="AD52" s="569"/>
      <c r="AE52" s="569"/>
      <c r="AF52" s="569"/>
      <c r="AG52" s="569"/>
      <c r="AH52" s="569"/>
      <c r="AI52" s="569"/>
      <c r="AJ52" s="569"/>
      <c r="AK52" s="569"/>
      <c r="AL52" s="569"/>
      <c r="AM52" s="124"/>
      <c r="AN52" s="124"/>
      <c r="AO52" s="122"/>
      <c r="AP52" s="118"/>
    </row>
    <row r="53" spans="2:42" ht="12.75" x14ac:dyDescent="0.2">
      <c r="B53" s="117">
        <v>3</v>
      </c>
      <c r="C53" s="568" t="s">
        <v>3657</v>
      </c>
      <c r="D53" s="568"/>
      <c r="E53" s="568"/>
      <c r="F53" s="568"/>
      <c r="G53" s="568"/>
      <c r="H53" s="568"/>
      <c r="I53" s="568"/>
      <c r="J53" s="568"/>
      <c r="K53" s="568"/>
      <c r="L53" s="568"/>
      <c r="M53" s="568"/>
      <c r="N53" s="568"/>
      <c r="O53" s="568"/>
      <c r="P53" s="568"/>
      <c r="Q53" s="568"/>
      <c r="R53" s="568"/>
      <c r="S53" s="568"/>
      <c r="T53" s="568"/>
      <c r="U53" s="568"/>
      <c r="V53" s="568"/>
      <c r="W53" s="568"/>
      <c r="X53" s="568"/>
      <c r="Y53" s="568"/>
      <c r="Z53" s="568"/>
      <c r="AA53" s="568"/>
      <c r="AB53" s="568"/>
      <c r="AC53" s="568"/>
      <c r="AD53" s="568"/>
      <c r="AE53" s="568"/>
      <c r="AF53" s="568"/>
      <c r="AG53" s="568"/>
      <c r="AH53" s="568"/>
      <c r="AI53" s="568"/>
      <c r="AJ53" s="568"/>
      <c r="AK53" s="568"/>
      <c r="AL53" s="568"/>
      <c r="AM53" s="124"/>
      <c r="AN53" s="124"/>
      <c r="AO53" s="122"/>
      <c r="AP53" s="118"/>
    </row>
    <row r="54" spans="2:42" ht="12.75" x14ac:dyDescent="0.2">
      <c r="B54" s="117"/>
      <c r="C54" s="568" t="s">
        <v>3667</v>
      </c>
      <c r="D54" s="568"/>
      <c r="E54" s="568"/>
      <c r="F54" s="568"/>
      <c r="G54" s="568"/>
      <c r="H54" s="568"/>
      <c r="I54" s="568"/>
      <c r="J54" s="568"/>
      <c r="K54" s="568"/>
      <c r="L54" s="568"/>
      <c r="M54" s="568"/>
      <c r="N54" s="568"/>
      <c r="O54" s="568"/>
      <c r="P54" s="568"/>
      <c r="Q54" s="568"/>
      <c r="R54" s="568"/>
      <c r="S54" s="568"/>
      <c r="T54" s="568"/>
      <c r="U54" s="568"/>
      <c r="V54" s="568"/>
      <c r="W54" s="568"/>
      <c r="X54" s="568"/>
      <c r="Y54" s="568"/>
      <c r="Z54" s="568"/>
      <c r="AA54" s="568"/>
      <c r="AB54" s="568"/>
      <c r="AC54" s="568"/>
      <c r="AD54" s="568"/>
      <c r="AE54" s="568"/>
      <c r="AF54" s="568"/>
      <c r="AG54" s="568"/>
      <c r="AH54" s="568"/>
      <c r="AI54" s="568"/>
      <c r="AJ54" s="568"/>
      <c r="AK54" s="568"/>
      <c r="AL54" s="568"/>
      <c r="AM54" s="124"/>
      <c r="AN54" s="124"/>
      <c r="AO54" s="122"/>
      <c r="AP54" s="118"/>
    </row>
    <row r="55" spans="2:42" ht="25.5" customHeight="1" x14ac:dyDescent="0.2">
      <c r="B55" s="117"/>
      <c r="C55" s="568" t="s">
        <v>3797</v>
      </c>
      <c r="D55" s="568"/>
      <c r="E55" s="568"/>
      <c r="F55" s="568"/>
      <c r="G55" s="568"/>
      <c r="H55" s="568"/>
      <c r="I55" s="568"/>
      <c r="J55" s="568"/>
      <c r="K55" s="568"/>
      <c r="L55" s="568"/>
      <c r="M55" s="568"/>
      <c r="N55" s="568"/>
      <c r="O55" s="568"/>
      <c r="P55" s="568"/>
      <c r="Q55" s="568"/>
      <c r="R55" s="568"/>
      <c r="S55" s="568"/>
      <c r="T55" s="568"/>
      <c r="U55" s="568"/>
      <c r="V55" s="568"/>
      <c r="W55" s="568"/>
      <c r="X55" s="568"/>
      <c r="Y55" s="568"/>
      <c r="Z55" s="568"/>
      <c r="AA55" s="568"/>
      <c r="AB55" s="568"/>
      <c r="AC55" s="568"/>
      <c r="AD55" s="568"/>
      <c r="AE55" s="568"/>
      <c r="AF55" s="568"/>
      <c r="AG55" s="568"/>
      <c r="AH55" s="568"/>
      <c r="AI55" s="568"/>
      <c r="AJ55" s="568"/>
      <c r="AK55" s="568"/>
      <c r="AL55" s="568"/>
      <c r="AM55" s="571" t="str">
        <f>LISTAS!D52</f>
        <v/>
      </c>
      <c r="AN55" s="571"/>
      <c r="AO55" s="122"/>
      <c r="AP55" s="118"/>
    </row>
    <row r="56" spans="2:42" ht="25.5" customHeight="1" x14ac:dyDescent="0.2">
      <c r="B56" s="117"/>
      <c r="C56" s="568" t="s">
        <v>3798</v>
      </c>
      <c r="D56" s="568"/>
      <c r="E56" s="568"/>
      <c r="F56" s="568"/>
      <c r="G56" s="568"/>
      <c r="H56" s="568"/>
      <c r="I56" s="568"/>
      <c r="J56" s="568"/>
      <c r="K56" s="568"/>
      <c r="L56" s="568"/>
      <c r="M56" s="568"/>
      <c r="N56" s="568"/>
      <c r="O56" s="568"/>
      <c r="P56" s="568"/>
      <c r="Q56" s="568"/>
      <c r="R56" s="568"/>
      <c r="S56" s="568"/>
      <c r="T56" s="568"/>
      <c r="U56" s="568"/>
      <c r="V56" s="568"/>
      <c r="W56" s="568"/>
      <c r="X56" s="568"/>
      <c r="Y56" s="568"/>
      <c r="Z56" s="568"/>
      <c r="AA56" s="568"/>
      <c r="AB56" s="568"/>
      <c r="AC56" s="568"/>
      <c r="AD56" s="568"/>
      <c r="AE56" s="568"/>
      <c r="AF56" s="568"/>
      <c r="AG56" s="568"/>
      <c r="AH56" s="568"/>
      <c r="AI56" s="568"/>
      <c r="AJ56" s="568"/>
      <c r="AK56" s="568"/>
      <c r="AL56" s="568"/>
      <c r="AM56" s="571" t="str">
        <f>LISTAS!D53</f>
        <v/>
      </c>
      <c r="AN56" s="571"/>
      <c r="AO56" s="122"/>
      <c r="AP56" s="118"/>
    </row>
    <row r="57" spans="2:42" ht="25.5" customHeight="1" x14ac:dyDescent="0.2">
      <c r="B57" s="117"/>
      <c r="C57" s="568" t="s">
        <v>3744</v>
      </c>
      <c r="D57" s="568"/>
      <c r="E57" s="568"/>
      <c r="F57" s="568"/>
      <c r="G57" s="568"/>
      <c r="H57" s="568"/>
      <c r="I57" s="568"/>
      <c r="J57" s="568"/>
      <c r="K57" s="568"/>
      <c r="L57" s="568"/>
      <c r="M57" s="568"/>
      <c r="N57" s="568"/>
      <c r="O57" s="568"/>
      <c r="P57" s="568"/>
      <c r="Q57" s="568"/>
      <c r="R57" s="568"/>
      <c r="S57" s="568"/>
      <c r="T57" s="568"/>
      <c r="U57" s="568"/>
      <c r="V57" s="568"/>
      <c r="W57" s="568"/>
      <c r="X57" s="568"/>
      <c r="Y57" s="568"/>
      <c r="Z57" s="568"/>
      <c r="AA57" s="568"/>
      <c r="AB57" s="568"/>
      <c r="AC57" s="568"/>
      <c r="AD57" s="568"/>
      <c r="AE57" s="568"/>
      <c r="AF57" s="568"/>
      <c r="AG57" s="568"/>
      <c r="AH57" s="568"/>
      <c r="AI57" s="568"/>
      <c r="AJ57" s="568"/>
      <c r="AK57" s="568"/>
      <c r="AL57" s="568"/>
      <c r="AM57" s="571" t="str">
        <f>LISTAS!D54</f>
        <v/>
      </c>
      <c r="AN57" s="571"/>
      <c r="AO57" s="122"/>
      <c r="AP57" s="118"/>
    </row>
    <row r="58" spans="2:42" ht="25.5" customHeight="1" x14ac:dyDescent="0.2">
      <c r="B58" s="117"/>
      <c r="C58" s="568" t="s">
        <v>3799</v>
      </c>
      <c r="D58" s="568"/>
      <c r="E58" s="568"/>
      <c r="F58" s="568"/>
      <c r="G58" s="568"/>
      <c r="H58" s="568"/>
      <c r="I58" s="568"/>
      <c r="J58" s="568"/>
      <c r="K58" s="568"/>
      <c r="L58" s="568"/>
      <c r="M58" s="568"/>
      <c r="N58" s="568"/>
      <c r="O58" s="568"/>
      <c r="P58" s="568"/>
      <c r="Q58" s="568"/>
      <c r="R58" s="568"/>
      <c r="S58" s="568"/>
      <c r="T58" s="568"/>
      <c r="U58" s="568"/>
      <c r="V58" s="568"/>
      <c r="W58" s="568"/>
      <c r="X58" s="568"/>
      <c r="Y58" s="568"/>
      <c r="Z58" s="568"/>
      <c r="AA58" s="568"/>
      <c r="AB58" s="568"/>
      <c r="AC58" s="568"/>
      <c r="AD58" s="568"/>
      <c r="AE58" s="568"/>
      <c r="AF58" s="568"/>
      <c r="AG58" s="568"/>
      <c r="AH58" s="568"/>
      <c r="AI58" s="568"/>
      <c r="AJ58" s="568"/>
      <c r="AK58" s="568"/>
      <c r="AL58" s="568"/>
      <c r="AM58" s="571" t="str">
        <f>LISTAS!D55</f>
        <v/>
      </c>
      <c r="AN58" s="571"/>
      <c r="AO58" s="122"/>
      <c r="AP58" s="118"/>
    </row>
    <row r="59" spans="2:42" ht="12.75" x14ac:dyDescent="0.2">
      <c r="B59" s="117"/>
      <c r="C59" s="569" t="s">
        <v>1801</v>
      </c>
      <c r="D59" s="569"/>
      <c r="E59" s="569"/>
      <c r="F59" s="569"/>
      <c r="G59" s="569"/>
      <c r="H59" s="569"/>
      <c r="I59" s="569"/>
      <c r="J59" s="569"/>
      <c r="K59" s="569"/>
      <c r="L59" s="569"/>
      <c r="M59" s="569"/>
      <c r="N59" s="569"/>
      <c r="O59" s="569"/>
      <c r="P59" s="569"/>
      <c r="Q59" s="569"/>
      <c r="R59" s="569"/>
      <c r="S59" s="569"/>
      <c r="T59" s="569"/>
      <c r="U59" s="569"/>
      <c r="V59" s="569"/>
      <c r="W59" s="569"/>
      <c r="X59" s="569"/>
      <c r="Y59" s="569"/>
      <c r="Z59" s="569"/>
      <c r="AA59" s="569"/>
      <c r="AB59" s="569"/>
      <c r="AC59" s="569"/>
      <c r="AD59" s="569"/>
      <c r="AE59" s="569"/>
      <c r="AF59" s="569"/>
      <c r="AG59" s="569"/>
      <c r="AH59" s="569"/>
      <c r="AI59" s="569"/>
      <c r="AJ59" s="569"/>
      <c r="AK59" s="569"/>
      <c r="AL59" s="569"/>
      <c r="AM59" s="122"/>
      <c r="AN59" s="122"/>
      <c r="AO59" s="122"/>
      <c r="AP59" s="118"/>
    </row>
    <row r="60" spans="2:42" ht="25.5" customHeight="1" x14ac:dyDescent="0.2">
      <c r="B60" s="117"/>
      <c r="C60" s="570" t="str">
        <f>LISTAS!D56</f>
        <v/>
      </c>
      <c r="D60" s="570"/>
      <c r="E60" s="570"/>
      <c r="F60" s="570"/>
      <c r="G60" s="570"/>
      <c r="H60" s="570"/>
      <c r="I60" s="570"/>
      <c r="J60" s="570"/>
      <c r="K60" s="570"/>
      <c r="L60" s="570"/>
      <c r="M60" s="570"/>
      <c r="N60" s="570"/>
      <c r="O60" s="570"/>
      <c r="P60" s="570"/>
      <c r="Q60" s="570"/>
      <c r="R60" s="570"/>
      <c r="S60" s="570"/>
      <c r="T60" s="570"/>
      <c r="U60" s="570"/>
      <c r="V60" s="570"/>
      <c r="W60" s="570"/>
      <c r="X60" s="570"/>
      <c r="Y60" s="570"/>
      <c r="Z60" s="570"/>
      <c r="AA60" s="570"/>
      <c r="AB60" s="570"/>
      <c r="AC60" s="570"/>
      <c r="AD60" s="570"/>
      <c r="AE60" s="570"/>
      <c r="AF60" s="570"/>
      <c r="AG60" s="570"/>
      <c r="AH60" s="570"/>
      <c r="AI60" s="570"/>
      <c r="AJ60" s="570"/>
      <c r="AK60" s="570"/>
      <c r="AL60" s="570"/>
      <c r="AM60" s="124"/>
      <c r="AN60" s="124"/>
      <c r="AO60" s="122"/>
      <c r="AP60" s="118"/>
    </row>
    <row r="61" spans="2:42" ht="12.75" x14ac:dyDescent="0.2">
      <c r="B61" s="117"/>
      <c r="C61" s="569"/>
      <c r="D61" s="569"/>
      <c r="E61" s="569"/>
      <c r="F61" s="569"/>
      <c r="G61" s="569"/>
      <c r="H61" s="569"/>
      <c r="I61" s="569"/>
      <c r="J61" s="569"/>
      <c r="K61" s="569"/>
      <c r="L61" s="569"/>
      <c r="M61" s="569"/>
      <c r="N61" s="569"/>
      <c r="O61" s="569"/>
      <c r="P61" s="569"/>
      <c r="Q61" s="569"/>
      <c r="R61" s="569"/>
      <c r="S61" s="569"/>
      <c r="T61" s="569"/>
      <c r="U61" s="569"/>
      <c r="V61" s="569"/>
      <c r="W61" s="569"/>
      <c r="X61" s="569"/>
      <c r="Y61" s="569"/>
      <c r="Z61" s="569"/>
      <c r="AA61" s="569"/>
      <c r="AB61" s="569"/>
      <c r="AC61" s="569"/>
      <c r="AD61" s="569"/>
      <c r="AE61" s="569"/>
      <c r="AF61" s="569"/>
      <c r="AG61" s="569"/>
      <c r="AH61" s="569"/>
      <c r="AI61" s="569"/>
      <c r="AJ61" s="569"/>
      <c r="AK61" s="569"/>
      <c r="AL61" s="569"/>
      <c r="AM61" s="124"/>
      <c r="AN61" s="124"/>
      <c r="AO61" s="122"/>
      <c r="AP61" s="118"/>
    </row>
    <row r="62" spans="2:42" ht="12.75" x14ac:dyDescent="0.2">
      <c r="B62" s="117"/>
      <c r="C62" s="568" t="s">
        <v>3728</v>
      </c>
      <c r="D62" s="568"/>
      <c r="E62" s="568"/>
      <c r="F62" s="568"/>
      <c r="G62" s="568"/>
      <c r="H62" s="568"/>
      <c r="I62" s="568"/>
      <c r="J62" s="568"/>
      <c r="K62" s="568"/>
      <c r="L62" s="568"/>
      <c r="M62" s="568"/>
      <c r="N62" s="568"/>
      <c r="O62" s="568"/>
      <c r="P62" s="568"/>
      <c r="Q62" s="568"/>
      <c r="R62" s="568"/>
      <c r="S62" s="568"/>
      <c r="T62" s="568"/>
      <c r="U62" s="568"/>
      <c r="V62" s="568"/>
      <c r="W62" s="568"/>
      <c r="X62" s="568"/>
      <c r="Y62" s="568"/>
      <c r="Z62" s="568"/>
      <c r="AA62" s="568"/>
      <c r="AB62" s="568"/>
      <c r="AC62" s="568"/>
      <c r="AD62" s="568"/>
      <c r="AE62" s="568"/>
      <c r="AF62" s="568"/>
      <c r="AG62" s="568"/>
      <c r="AH62" s="568"/>
      <c r="AI62" s="568"/>
      <c r="AJ62" s="568"/>
      <c r="AK62" s="568"/>
      <c r="AL62" s="568"/>
      <c r="AM62" s="124"/>
      <c r="AN62" s="124"/>
      <c r="AO62" s="122"/>
      <c r="AP62" s="118"/>
    </row>
    <row r="63" spans="2:42" ht="12.75" x14ac:dyDescent="0.2">
      <c r="B63" s="117"/>
      <c r="C63" s="568" t="s">
        <v>3745</v>
      </c>
      <c r="D63" s="568"/>
      <c r="E63" s="568"/>
      <c r="F63" s="568"/>
      <c r="G63" s="568"/>
      <c r="H63" s="568"/>
      <c r="I63" s="568"/>
      <c r="J63" s="568"/>
      <c r="K63" s="568"/>
      <c r="L63" s="568"/>
      <c r="M63" s="568"/>
      <c r="N63" s="568"/>
      <c r="O63" s="568"/>
      <c r="P63" s="568"/>
      <c r="Q63" s="568"/>
      <c r="R63" s="568"/>
      <c r="S63" s="568"/>
      <c r="T63" s="568"/>
      <c r="U63" s="568"/>
      <c r="V63" s="568"/>
      <c r="W63" s="568"/>
      <c r="X63" s="568"/>
      <c r="Y63" s="568"/>
      <c r="Z63" s="568"/>
      <c r="AA63" s="568"/>
      <c r="AB63" s="568"/>
      <c r="AC63" s="568"/>
      <c r="AD63" s="568"/>
      <c r="AE63" s="568"/>
      <c r="AF63" s="568"/>
      <c r="AG63" s="568"/>
      <c r="AH63" s="568"/>
      <c r="AI63" s="568"/>
      <c r="AJ63" s="568"/>
      <c r="AK63" s="568"/>
      <c r="AL63" s="568"/>
      <c r="AM63" s="571" t="str">
        <f>LISTAS!D57</f>
        <v/>
      </c>
      <c r="AN63" s="571"/>
      <c r="AO63" s="122"/>
      <c r="AP63" s="118"/>
    </row>
    <row r="64" spans="2:42" ht="25.5" customHeight="1" x14ac:dyDescent="0.2">
      <c r="B64" s="117"/>
      <c r="C64" s="568" t="s">
        <v>3746</v>
      </c>
      <c r="D64" s="568"/>
      <c r="E64" s="568"/>
      <c r="F64" s="568"/>
      <c r="G64" s="568"/>
      <c r="H64" s="568"/>
      <c r="I64" s="568"/>
      <c r="J64" s="568"/>
      <c r="K64" s="568"/>
      <c r="L64" s="568"/>
      <c r="M64" s="568"/>
      <c r="N64" s="568"/>
      <c r="O64" s="568"/>
      <c r="P64" s="568"/>
      <c r="Q64" s="568"/>
      <c r="R64" s="568"/>
      <c r="S64" s="568"/>
      <c r="T64" s="568"/>
      <c r="U64" s="568"/>
      <c r="V64" s="568"/>
      <c r="W64" s="568"/>
      <c r="X64" s="568"/>
      <c r="Y64" s="568"/>
      <c r="Z64" s="568"/>
      <c r="AA64" s="568"/>
      <c r="AB64" s="568"/>
      <c r="AC64" s="568"/>
      <c r="AD64" s="568"/>
      <c r="AE64" s="568"/>
      <c r="AF64" s="568"/>
      <c r="AG64" s="568"/>
      <c r="AH64" s="568"/>
      <c r="AI64" s="568"/>
      <c r="AJ64" s="568"/>
      <c r="AK64" s="568"/>
      <c r="AL64" s="568"/>
      <c r="AM64" s="571" t="str">
        <f>LISTAS!D58</f>
        <v/>
      </c>
      <c r="AN64" s="571"/>
      <c r="AO64" s="122"/>
      <c r="AP64" s="118"/>
    </row>
    <row r="65" spans="2:42" ht="25.5" customHeight="1" x14ac:dyDescent="0.2">
      <c r="B65" s="117"/>
      <c r="C65" s="568" t="s">
        <v>3747</v>
      </c>
      <c r="D65" s="568"/>
      <c r="E65" s="568"/>
      <c r="F65" s="568"/>
      <c r="G65" s="568"/>
      <c r="H65" s="568"/>
      <c r="I65" s="568"/>
      <c r="J65" s="568"/>
      <c r="K65" s="568"/>
      <c r="L65" s="568"/>
      <c r="M65" s="568"/>
      <c r="N65" s="568"/>
      <c r="O65" s="568"/>
      <c r="P65" s="568"/>
      <c r="Q65" s="568"/>
      <c r="R65" s="568"/>
      <c r="S65" s="568"/>
      <c r="T65" s="568"/>
      <c r="U65" s="568"/>
      <c r="V65" s="568"/>
      <c r="W65" s="568"/>
      <c r="X65" s="568"/>
      <c r="Y65" s="568"/>
      <c r="Z65" s="568"/>
      <c r="AA65" s="568"/>
      <c r="AB65" s="568"/>
      <c r="AC65" s="568"/>
      <c r="AD65" s="568"/>
      <c r="AE65" s="568"/>
      <c r="AF65" s="568"/>
      <c r="AG65" s="568"/>
      <c r="AH65" s="568"/>
      <c r="AI65" s="568"/>
      <c r="AJ65" s="568"/>
      <c r="AK65" s="568"/>
      <c r="AL65" s="568"/>
      <c r="AM65" s="571" t="str">
        <f>LISTAS!D59</f>
        <v/>
      </c>
      <c r="AN65" s="571"/>
      <c r="AO65" s="122"/>
      <c r="AP65" s="118"/>
    </row>
    <row r="66" spans="2:42" ht="12.75" x14ac:dyDescent="0.2">
      <c r="B66" s="117"/>
      <c r="C66" s="568" t="s">
        <v>3748</v>
      </c>
      <c r="D66" s="568"/>
      <c r="E66" s="568"/>
      <c r="F66" s="568"/>
      <c r="G66" s="568"/>
      <c r="H66" s="568"/>
      <c r="I66" s="568"/>
      <c r="J66" s="568"/>
      <c r="K66" s="568"/>
      <c r="L66" s="568"/>
      <c r="M66" s="568"/>
      <c r="N66" s="568"/>
      <c r="O66" s="568"/>
      <c r="P66" s="568"/>
      <c r="Q66" s="568"/>
      <c r="R66" s="568"/>
      <c r="S66" s="568"/>
      <c r="T66" s="568"/>
      <c r="U66" s="568"/>
      <c r="V66" s="568"/>
      <c r="W66" s="568"/>
      <c r="X66" s="568"/>
      <c r="Y66" s="568"/>
      <c r="Z66" s="568"/>
      <c r="AA66" s="568"/>
      <c r="AB66" s="568"/>
      <c r="AC66" s="568"/>
      <c r="AD66" s="568"/>
      <c r="AE66" s="568"/>
      <c r="AF66" s="568"/>
      <c r="AG66" s="568"/>
      <c r="AH66" s="568"/>
      <c r="AI66" s="568"/>
      <c r="AJ66" s="568"/>
      <c r="AK66" s="568"/>
      <c r="AL66" s="568"/>
      <c r="AM66" s="571" t="str">
        <f>LISTAS!D60</f>
        <v/>
      </c>
      <c r="AN66" s="571"/>
      <c r="AO66" s="122"/>
      <c r="AP66" s="118"/>
    </row>
    <row r="67" spans="2:42" ht="12.75" x14ac:dyDescent="0.2">
      <c r="B67" s="117"/>
      <c r="C67" s="569" t="s">
        <v>1801</v>
      </c>
      <c r="D67" s="569"/>
      <c r="E67" s="569"/>
      <c r="F67" s="569"/>
      <c r="G67" s="569"/>
      <c r="H67" s="569"/>
      <c r="I67" s="569"/>
      <c r="J67" s="569"/>
      <c r="K67" s="569"/>
      <c r="L67" s="569"/>
      <c r="M67" s="569"/>
      <c r="N67" s="569"/>
      <c r="O67" s="569"/>
      <c r="P67" s="569"/>
      <c r="Q67" s="569"/>
      <c r="R67" s="569"/>
      <c r="S67" s="569"/>
      <c r="T67" s="569"/>
      <c r="U67" s="569"/>
      <c r="V67" s="569"/>
      <c r="W67" s="569"/>
      <c r="X67" s="569"/>
      <c r="Y67" s="569"/>
      <c r="Z67" s="569"/>
      <c r="AA67" s="569"/>
      <c r="AB67" s="569"/>
      <c r="AC67" s="569"/>
      <c r="AD67" s="569"/>
      <c r="AE67" s="569"/>
      <c r="AF67" s="569"/>
      <c r="AG67" s="569"/>
      <c r="AH67" s="569"/>
      <c r="AI67" s="569"/>
      <c r="AJ67" s="569"/>
      <c r="AK67" s="569"/>
      <c r="AL67" s="569"/>
      <c r="AM67" s="122"/>
      <c r="AN67" s="122"/>
      <c r="AO67" s="122"/>
      <c r="AP67" s="118"/>
    </row>
    <row r="68" spans="2:42" ht="25.5" customHeight="1" x14ac:dyDescent="0.2">
      <c r="B68" s="117"/>
      <c r="C68" s="570" t="str">
        <f>LISTAS!D61</f>
        <v/>
      </c>
      <c r="D68" s="570"/>
      <c r="E68" s="570"/>
      <c r="F68" s="570"/>
      <c r="G68" s="570"/>
      <c r="H68" s="570"/>
      <c r="I68" s="570"/>
      <c r="J68" s="570"/>
      <c r="K68" s="570"/>
      <c r="L68" s="570"/>
      <c r="M68" s="570"/>
      <c r="N68" s="570"/>
      <c r="O68" s="570"/>
      <c r="P68" s="570"/>
      <c r="Q68" s="570"/>
      <c r="R68" s="570"/>
      <c r="S68" s="570"/>
      <c r="T68" s="570"/>
      <c r="U68" s="570"/>
      <c r="V68" s="570"/>
      <c r="W68" s="570"/>
      <c r="X68" s="570"/>
      <c r="Y68" s="570"/>
      <c r="Z68" s="570"/>
      <c r="AA68" s="570"/>
      <c r="AB68" s="570"/>
      <c r="AC68" s="570"/>
      <c r="AD68" s="570"/>
      <c r="AE68" s="570"/>
      <c r="AF68" s="570"/>
      <c r="AG68" s="570"/>
      <c r="AH68" s="570"/>
      <c r="AI68" s="570"/>
      <c r="AJ68" s="570"/>
      <c r="AK68" s="570"/>
      <c r="AL68" s="570"/>
      <c r="AM68" s="124"/>
      <c r="AN68" s="124"/>
      <c r="AO68" s="122"/>
      <c r="AP68" s="118"/>
    </row>
    <row r="69" spans="2:42" ht="12.75" x14ac:dyDescent="0.2">
      <c r="B69" s="117"/>
      <c r="C69" s="569"/>
      <c r="D69" s="569"/>
      <c r="E69" s="569"/>
      <c r="F69" s="569"/>
      <c r="G69" s="569"/>
      <c r="H69" s="569"/>
      <c r="I69" s="569"/>
      <c r="J69" s="569"/>
      <c r="K69" s="569"/>
      <c r="L69" s="569"/>
      <c r="M69" s="569"/>
      <c r="N69" s="569"/>
      <c r="O69" s="569"/>
      <c r="P69" s="569"/>
      <c r="Q69" s="569"/>
      <c r="R69" s="569"/>
      <c r="S69" s="569"/>
      <c r="T69" s="569"/>
      <c r="U69" s="569"/>
      <c r="V69" s="569"/>
      <c r="W69" s="569"/>
      <c r="X69" s="569"/>
      <c r="Y69" s="569"/>
      <c r="Z69" s="569"/>
      <c r="AA69" s="569"/>
      <c r="AB69" s="569"/>
      <c r="AC69" s="569"/>
      <c r="AD69" s="569"/>
      <c r="AE69" s="569"/>
      <c r="AF69" s="569"/>
      <c r="AG69" s="569"/>
      <c r="AH69" s="569"/>
      <c r="AI69" s="569"/>
      <c r="AJ69" s="569"/>
      <c r="AK69" s="569"/>
      <c r="AL69" s="569"/>
      <c r="AM69" s="124"/>
      <c r="AN69" s="124"/>
      <c r="AO69" s="122"/>
      <c r="AP69" s="118"/>
    </row>
    <row r="70" spans="2:42" ht="12.75" x14ac:dyDescent="0.2">
      <c r="B70" s="117"/>
      <c r="C70" s="568" t="s">
        <v>3729</v>
      </c>
      <c r="D70" s="568"/>
      <c r="E70" s="568"/>
      <c r="F70" s="568"/>
      <c r="G70" s="568"/>
      <c r="H70" s="568"/>
      <c r="I70" s="568"/>
      <c r="J70" s="568"/>
      <c r="K70" s="568"/>
      <c r="L70" s="568"/>
      <c r="M70" s="568"/>
      <c r="N70" s="568"/>
      <c r="O70" s="568"/>
      <c r="P70" s="568"/>
      <c r="Q70" s="568"/>
      <c r="R70" s="568"/>
      <c r="S70" s="568"/>
      <c r="T70" s="568"/>
      <c r="U70" s="568"/>
      <c r="V70" s="568"/>
      <c r="W70" s="568"/>
      <c r="X70" s="568"/>
      <c r="Y70" s="568"/>
      <c r="Z70" s="568"/>
      <c r="AA70" s="568"/>
      <c r="AB70" s="568"/>
      <c r="AC70" s="568"/>
      <c r="AD70" s="568"/>
      <c r="AE70" s="568"/>
      <c r="AF70" s="568"/>
      <c r="AG70" s="568"/>
      <c r="AH70" s="568"/>
      <c r="AI70" s="568"/>
      <c r="AJ70" s="568"/>
      <c r="AK70" s="568"/>
      <c r="AL70" s="568"/>
      <c r="AM70" s="124"/>
      <c r="AN70" s="124"/>
      <c r="AO70" s="122"/>
      <c r="AP70" s="118"/>
    </row>
    <row r="71" spans="2:42" ht="12.75" x14ac:dyDescent="0.2">
      <c r="B71" s="117"/>
      <c r="C71" s="568" t="s">
        <v>3749</v>
      </c>
      <c r="D71" s="568"/>
      <c r="E71" s="568"/>
      <c r="F71" s="568"/>
      <c r="G71" s="568"/>
      <c r="H71" s="568"/>
      <c r="I71" s="568"/>
      <c r="J71" s="568"/>
      <c r="K71" s="568"/>
      <c r="L71" s="568"/>
      <c r="M71" s="568"/>
      <c r="N71" s="568"/>
      <c r="O71" s="568"/>
      <c r="P71" s="568"/>
      <c r="Q71" s="568"/>
      <c r="R71" s="568"/>
      <c r="S71" s="568"/>
      <c r="T71" s="568"/>
      <c r="U71" s="568"/>
      <c r="V71" s="568"/>
      <c r="W71" s="568"/>
      <c r="X71" s="568"/>
      <c r="Y71" s="568"/>
      <c r="Z71" s="568"/>
      <c r="AA71" s="568"/>
      <c r="AB71" s="568"/>
      <c r="AC71" s="568"/>
      <c r="AD71" s="568"/>
      <c r="AE71" s="568"/>
      <c r="AF71" s="568"/>
      <c r="AG71" s="568"/>
      <c r="AH71" s="568"/>
      <c r="AI71" s="568"/>
      <c r="AJ71" s="568"/>
      <c r="AK71" s="568"/>
      <c r="AL71" s="568"/>
      <c r="AM71" s="571" t="str">
        <f>LISTAS!D62</f>
        <v/>
      </c>
      <c r="AN71" s="571"/>
      <c r="AO71" s="122"/>
      <c r="AP71" s="118"/>
    </row>
    <row r="72" spans="2:42" ht="12.75" x14ac:dyDescent="0.2">
      <c r="B72" s="117"/>
      <c r="C72" s="568" t="s">
        <v>3750</v>
      </c>
      <c r="D72" s="568"/>
      <c r="E72" s="568"/>
      <c r="F72" s="568"/>
      <c r="G72" s="568"/>
      <c r="H72" s="568"/>
      <c r="I72" s="568"/>
      <c r="J72" s="568"/>
      <c r="K72" s="568"/>
      <c r="L72" s="568"/>
      <c r="M72" s="568"/>
      <c r="N72" s="568"/>
      <c r="O72" s="568"/>
      <c r="P72" s="568"/>
      <c r="Q72" s="568"/>
      <c r="R72" s="568"/>
      <c r="S72" s="568"/>
      <c r="T72" s="568"/>
      <c r="U72" s="568"/>
      <c r="V72" s="568"/>
      <c r="W72" s="568"/>
      <c r="X72" s="568"/>
      <c r="Y72" s="568"/>
      <c r="Z72" s="568"/>
      <c r="AA72" s="568"/>
      <c r="AB72" s="568"/>
      <c r="AC72" s="568"/>
      <c r="AD72" s="568"/>
      <c r="AE72" s="568"/>
      <c r="AF72" s="568"/>
      <c r="AG72" s="568"/>
      <c r="AH72" s="568"/>
      <c r="AI72" s="568"/>
      <c r="AJ72" s="568"/>
      <c r="AK72" s="568"/>
      <c r="AL72" s="568"/>
      <c r="AM72" s="571" t="str">
        <f>LISTAS!D63</f>
        <v/>
      </c>
      <c r="AN72" s="571"/>
      <c r="AO72" s="122"/>
      <c r="AP72" s="118"/>
    </row>
    <row r="73" spans="2:42" ht="25.5" customHeight="1" x14ac:dyDescent="0.2">
      <c r="B73" s="117"/>
      <c r="C73" s="568" t="s">
        <v>3751</v>
      </c>
      <c r="D73" s="568"/>
      <c r="E73" s="568"/>
      <c r="F73" s="568"/>
      <c r="G73" s="568"/>
      <c r="H73" s="568"/>
      <c r="I73" s="568"/>
      <c r="J73" s="568"/>
      <c r="K73" s="568"/>
      <c r="L73" s="568"/>
      <c r="M73" s="568"/>
      <c r="N73" s="568"/>
      <c r="O73" s="568"/>
      <c r="P73" s="568"/>
      <c r="Q73" s="568"/>
      <c r="R73" s="568"/>
      <c r="S73" s="568"/>
      <c r="T73" s="568"/>
      <c r="U73" s="568"/>
      <c r="V73" s="568"/>
      <c r="W73" s="568"/>
      <c r="X73" s="568"/>
      <c r="Y73" s="568"/>
      <c r="Z73" s="568"/>
      <c r="AA73" s="568"/>
      <c r="AB73" s="568"/>
      <c r="AC73" s="568"/>
      <c r="AD73" s="568"/>
      <c r="AE73" s="568"/>
      <c r="AF73" s="568"/>
      <c r="AG73" s="568"/>
      <c r="AH73" s="568"/>
      <c r="AI73" s="568"/>
      <c r="AJ73" s="568"/>
      <c r="AK73" s="568"/>
      <c r="AL73" s="568"/>
      <c r="AM73" s="571" t="str">
        <f>LISTAS!D64</f>
        <v/>
      </c>
      <c r="AN73" s="571"/>
      <c r="AO73" s="122"/>
      <c r="AP73" s="118"/>
    </row>
    <row r="74" spans="2:42" ht="12.75" x14ac:dyDescent="0.2">
      <c r="B74" s="117"/>
      <c r="C74" s="568" t="s">
        <v>3752</v>
      </c>
      <c r="D74" s="568"/>
      <c r="E74" s="568"/>
      <c r="F74" s="568"/>
      <c r="G74" s="568"/>
      <c r="H74" s="568"/>
      <c r="I74" s="568"/>
      <c r="J74" s="568"/>
      <c r="K74" s="568"/>
      <c r="L74" s="568"/>
      <c r="M74" s="568"/>
      <c r="N74" s="568"/>
      <c r="O74" s="568"/>
      <c r="P74" s="568"/>
      <c r="Q74" s="568"/>
      <c r="R74" s="568"/>
      <c r="S74" s="568"/>
      <c r="T74" s="568"/>
      <c r="U74" s="568"/>
      <c r="V74" s="568"/>
      <c r="W74" s="568"/>
      <c r="X74" s="568"/>
      <c r="Y74" s="568"/>
      <c r="Z74" s="568"/>
      <c r="AA74" s="568"/>
      <c r="AB74" s="568"/>
      <c r="AC74" s="568"/>
      <c r="AD74" s="568"/>
      <c r="AE74" s="568"/>
      <c r="AF74" s="568"/>
      <c r="AG74" s="568"/>
      <c r="AH74" s="568"/>
      <c r="AI74" s="568"/>
      <c r="AJ74" s="568"/>
      <c r="AK74" s="568"/>
      <c r="AL74" s="568"/>
      <c r="AM74" s="571" t="str">
        <f>LISTAS!D65</f>
        <v/>
      </c>
      <c r="AN74" s="571"/>
      <c r="AO74" s="122"/>
      <c r="AP74" s="118"/>
    </row>
    <row r="75" spans="2:42" ht="12.75" x14ac:dyDescent="0.2">
      <c r="B75" s="117"/>
      <c r="C75" s="569" t="s">
        <v>1801</v>
      </c>
      <c r="D75" s="569"/>
      <c r="E75" s="569"/>
      <c r="F75" s="569"/>
      <c r="G75" s="569"/>
      <c r="H75" s="569"/>
      <c r="I75" s="569"/>
      <c r="J75" s="569"/>
      <c r="K75" s="569"/>
      <c r="L75" s="569"/>
      <c r="M75" s="569"/>
      <c r="N75" s="569"/>
      <c r="O75" s="569"/>
      <c r="P75" s="569"/>
      <c r="Q75" s="569"/>
      <c r="R75" s="569"/>
      <c r="S75" s="569"/>
      <c r="T75" s="569"/>
      <c r="U75" s="569"/>
      <c r="V75" s="569"/>
      <c r="W75" s="569"/>
      <c r="X75" s="569"/>
      <c r="Y75" s="569"/>
      <c r="Z75" s="569"/>
      <c r="AA75" s="569"/>
      <c r="AB75" s="569"/>
      <c r="AC75" s="569"/>
      <c r="AD75" s="569"/>
      <c r="AE75" s="569"/>
      <c r="AF75" s="569"/>
      <c r="AG75" s="569"/>
      <c r="AH75" s="569"/>
      <c r="AI75" s="569"/>
      <c r="AJ75" s="569"/>
      <c r="AK75" s="569"/>
      <c r="AL75" s="569"/>
      <c r="AM75" s="122"/>
      <c r="AN75" s="122"/>
      <c r="AO75" s="122"/>
      <c r="AP75" s="118"/>
    </row>
    <row r="76" spans="2:42" ht="25.5" customHeight="1" x14ac:dyDescent="0.2">
      <c r="B76" s="117"/>
      <c r="C76" s="570" t="str">
        <f>LISTAS!D66</f>
        <v/>
      </c>
      <c r="D76" s="570"/>
      <c r="E76" s="570"/>
      <c r="F76" s="570"/>
      <c r="G76" s="570"/>
      <c r="H76" s="570"/>
      <c r="I76" s="570"/>
      <c r="J76" s="570"/>
      <c r="K76" s="570"/>
      <c r="L76" s="570"/>
      <c r="M76" s="570"/>
      <c r="N76" s="570"/>
      <c r="O76" s="570"/>
      <c r="P76" s="570"/>
      <c r="Q76" s="570"/>
      <c r="R76" s="570"/>
      <c r="S76" s="570"/>
      <c r="T76" s="570"/>
      <c r="U76" s="570"/>
      <c r="V76" s="570"/>
      <c r="W76" s="570"/>
      <c r="X76" s="570"/>
      <c r="Y76" s="570"/>
      <c r="Z76" s="570"/>
      <c r="AA76" s="570"/>
      <c r="AB76" s="570"/>
      <c r="AC76" s="570"/>
      <c r="AD76" s="570"/>
      <c r="AE76" s="570"/>
      <c r="AF76" s="570"/>
      <c r="AG76" s="570"/>
      <c r="AH76" s="570"/>
      <c r="AI76" s="570"/>
      <c r="AJ76" s="570"/>
      <c r="AK76" s="570"/>
      <c r="AL76" s="570"/>
      <c r="AM76" s="124"/>
      <c r="AN76" s="124"/>
      <c r="AO76" s="122"/>
      <c r="AP76" s="118"/>
    </row>
    <row r="77" spans="2:42" ht="12.75" x14ac:dyDescent="0.2">
      <c r="B77" s="117"/>
      <c r="C77" s="569"/>
      <c r="D77" s="569"/>
      <c r="E77" s="569"/>
      <c r="F77" s="569"/>
      <c r="G77" s="569"/>
      <c r="H77" s="569"/>
      <c r="I77" s="569"/>
      <c r="J77" s="569"/>
      <c r="K77" s="569"/>
      <c r="L77" s="569"/>
      <c r="M77" s="569"/>
      <c r="N77" s="569"/>
      <c r="O77" s="569"/>
      <c r="P77" s="569"/>
      <c r="Q77" s="569"/>
      <c r="R77" s="569"/>
      <c r="S77" s="569"/>
      <c r="T77" s="569"/>
      <c r="U77" s="569"/>
      <c r="V77" s="569"/>
      <c r="W77" s="569"/>
      <c r="X77" s="569"/>
      <c r="Y77" s="569"/>
      <c r="Z77" s="569"/>
      <c r="AA77" s="569"/>
      <c r="AB77" s="569"/>
      <c r="AC77" s="569"/>
      <c r="AD77" s="569"/>
      <c r="AE77" s="569"/>
      <c r="AF77" s="569"/>
      <c r="AG77" s="569"/>
      <c r="AH77" s="569"/>
      <c r="AI77" s="569"/>
      <c r="AJ77" s="569"/>
      <c r="AK77" s="569"/>
      <c r="AL77" s="569"/>
      <c r="AM77" s="124"/>
      <c r="AN77" s="124"/>
      <c r="AO77" s="122"/>
      <c r="AP77" s="118"/>
    </row>
    <row r="78" spans="2:42" ht="12.75" x14ac:dyDescent="0.2">
      <c r="B78" s="117"/>
      <c r="C78" s="568" t="s">
        <v>3668</v>
      </c>
      <c r="D78" s="568"/>
      <c r="E78" s="568"/>
      <c r="F78" s="568"/>
      <c r="G78" s="568"/>
      <c r="H78" s="568"/>
      <c r="I78" s="568"/>
      <c r="J78" s="568"/>
      <c r="K78" s="568"/>
      <c r="L78" s="568"/>
      <c r="M78" s="568"/>
      <c r="N78" s="568"/>
      <c r="O78" s="568"/>
      <c r="P78" s="568"/>
      <c r="Q78" s="568"/>
      <c r="R78" s="568"/>
      <c r="S78" s="568"/>
      <c r="T78" s="568"/>
      <c r="U78" s="568"/>
      <c r="V78" s="568"/>
      <c r="W78" s="568"/>
      <c r="X78" s="568"/>
      <c r="Y78" s="568"/>
      <c r="Z78" s="568"/>
      <c r="AA78" s="568"/>
      <c r="AB78" s="568"/>
      <c r="AC78" s="568"/>
      <c r="AD78" s="568"/>
      <c r="AE78" s="568"/>
      <c r="AF78" s="568"/>
      <c r="AG78" s="568"/>
      <c r="AH78" s="568"/>
      <c r="AI78" s="568"/>
      <c r="AJ78" s="568"/>
      <c r="AK78" s="568"/>
      <c r="AL78" s="568"/>
      <c r="AM78" s="124"/>
      <c r="AN78" s="124"/>
      <c r="AO78" s="122"/>
      <c r="AP78" s="118"/>
    </row>
    <row r="79" spans="2:42" ht="12.75" x14ac:dyDescent="0.2">
      <c r="B79" s="117"/>
      <c r="C79" s="568" t="s">
        <v>3753</v>
      </c>
      <c r="D79" s="568"/>
      <c r="E79" s="568"/>
      <c r="F79" s="568"/>
      <c r="G79" s="568"/>
      <c r="H79" s="568"/>
      <c r="I79" s="568"/>
      <c r="J79" s="568"/>
      <c r="K79" s="568"/>
      <c r="L79" s="568"/>
      <c r="M79" s="568"/>
      <c r="N79" s="568"/>
      <c r="O79" s="568"/>
      <c r="P79" s="568"/>
      <c r="Q79" s="568"/>
      <c r="R79" s="568"/>
      <c r="S79" s="568"/>
      <c r="T79" s="568"/>
      <c r="U79" s="568"/>
      <c r="V79" s="568"/>
      <c r="W79" s="568"/>
      <c r="X79" s="568"/>
      <c r="Y79" s="568"/>
      <c r="Z79" s="568"/>
      <c r="AA79" s="568"/>
      <c r="AB79" s="568"/>
      <c r="AC79" s="568"/>
      <c r="AD79" s="568"/>
      <c r="AE79" s="568"/>
      <c r="AF79" s="568"/>
      <c r="AG79" s="568"/>
      <c r="AH79" s="568"/>
      <c r="AI79" s="568"/>
      <c r="AJ79" s="568"/>
      <c r="AK79" s="568"/>
      <c r="AL79" s="568"/>
      <c r="AM79" s="571" t="str">
        <f>LISTAS!D67</f>
        <v/>
      </c>
      <c r="AN79" s="571"/>
      <c r="AO79" s="122"/>
      <c r="AP79" s="118"/>
    </row>
    <row r="80" spans="2:42" ht="12.75" x14ac:dyDescent="0.2">
      <c r="B80" s="117"/>
      <c r="C80" s="568" t="s">
        <v>3754</v>
      </c>
      <c r="D80" s="568"/>
      <c r="E80" s="568"/>
      <c r="F80" s="568"/>
      <c r="G80" s="568"/>
      <c r="H80" s="568"/>
      <c r="I80" s="568"/>
      <c r="J80" s="568"/>
      <c r="K80" s="568"/>
      <c r="L80" s="568"/>
      <c r="M80" s="568"/>
      <c r="N80" s="568"/>
      <c r="O80" s="568"/>
      <c r="P80" s="568"/>
      <c r="Q80" s="568"/>
      <c r="R80" s="568"/>
      <c r="S80" s="568"/>
      <c r="T80" s="568"/>
      <c r="U80" s="568"/>
      <c r="V80" s="568"/>
      <c r="W80" s="568"/>
      <c r="X80" s="568"/>
      <c r="Y80" s="568"/>
      <c r="Z80" s="568"/>
      <c r="AA80" s="568"/>
      <c r="AB80" s="568"/>
      <c r="AC80" s="568"/>
      <c r="AD80" s="568"/>
      <c r="AE80" s="568"/>
      <c r="AF80" s="568"/>
      <c r="AG80" s="568"/>
      <c r="AH80" s="568"/>
      <c r="AI80" s="568"/>
      <c r="AJ80" s="568"/>
      <c r="AK80" s="568"/>
      <c r="AL80" s="568"/>
      <c r="AM80" s="571" t="str">
        <f>LISTAS!D68</f>
        <v/>
      </c>
      <c r="AN80" s="571"/>
      <c r="AO80" s="122"/>
      <c r="AP80" s="118"/>
    </row>
    <row r="81" spans="2:42" ht="37.5" customHeight="1" x14ac:dyDescent="0.2">
      <c r="B81" s="117"/>
      <c r="C81" s="568" t="s">
        <v>3755</v>
      </c>
      <c r="D81" s="568"/>
      <c r="E81" s="568"/>
      <c r="F81" s="568"/>
      <c r="G81" s="568"/>
      <c r="H81" s="568"/>
      <c r="I81" s="568"/>
      <c r="J81" s="568"/>
      <c r="K81" s="568"/>
      <c r="L81" s="568"/>
      <c r="M81" s="568"/>
      <c r="N81" s="568"/>
      <c r="O81" s="568"/>
      <c r="P81" s="568"/>
      <c r="Q81" s="568"/>
      <c r="R81" s="568"/>
      <c r="S81" s="568"/>
      <c r="T81" s="568"/>
      <c r="U81" s="568"/>
      <c r="V81" s="568"/>
      <c r="W81" s="568"/>
      <c r="X81" s="568"/>
      <c r="Y81" s="568"/>
      <c r="Z81" s="568"/>
      <c r="AA81" s="568"/>
      <c r="AB81" s="568"/>
      <c r="AC81" s="568"/>
      <c r="AD81" s="568"/>
      <c r="AE81" s="568"/>
      <c r="AF81" s="568"/>
      <c r="AG81" s="568"/>
      <c r="AH81" s="568"/>
      <c r="AI81" s="568"/>
      <c r="AJ81" s="568"/>
      <c r="AK81" s="568"/>
      <c r="AL81" s="568"/>
      <c r="AM81" s="571" t="str">
        <f>LISTAS!D69</f>
        <v/>
      </c>
      <c r="AN81" s="571"/>
      <c r="AO81" s="122"/>
      <c r="AP81" s="118"/>
    </row>
    <row r="82" spans="2:42" ht="25.5" customHeight="1" x14ac:dyDescent="0.2">
      <c r="B82" s="117"/>
      <c r="C82" s="568" t="s">
        <v>3756</v>
      </c>
      <c r="D82" s="568"/>
      <c r="E82" s="568"/>
      <c r="F82" s="568"/>
      <c r="G82" s="568"/>
      <c r="H82" s="568"/>
      <c r="I82" s="568"/>
      <c r="J82" s="568"/>
      <c r="K82" s="568"/>
      <c r="L82" s="568"/>
      <c r="M82" s="568"/>
      <c r="N82" s="568"/>
      <c r="O82" s="568"/>
      <c r="P82" s="568"/>
      <c r="Q82" s="568"/>
      <c r="R82" s="568"/>
      <c r="S82" s="568"/>
      <c r="T82" s="568"/>
      <c r="U82" s="568"/>
      <c r="V82" s="568"/>
      <c r="W82" s="568"/>
      <c r="X82" s="568"/>
      <c r="Y82" s="568"/>
      <c r="Z82" s="568"/>
      <c r="AA82" s="568"/>
      <c r="AB82" s="568"/>
      <c r="AC82" s="568"/>
      <c r="AD82" s="568"/>
      <c r="AE82" s="568"/>
      <c r="AF82" s="568"/>
      <c r="AG82" s="568"/>
      <c r="AH82" s="568"/>
      <c r="AI82" s="568"/>
      <c r="AJ82" s="568"/>
      <c r="AK82" s="568"/>
      <c r="AL82" s="568"/>
      <c r="AM82" s="571" t="str">
        <f>LISTAS!D70</f>
        <v/>
      </c>
      <c r="AN82" s="571"/>
      <c r="AO82" s="122"/>
      <c r="AP82" s="118"/>
    </row>
    <row r="83" spans="2:42" ht="12.75" x14ac:dyDescent="0.2">
      <c r="B83" s="117"/>
      <c r="C83" s="569" t="s">
        <v>1801</v>
      </c>
      <c r="D83" s="569"/>
      <c r="E83" s="569"/>
      <c r="F83" s="569"/>
      <c r="G83" s="569"/>
      <c r="H83" s="569"/>
      <c r="I83" s="569"/>
      <c r="J83" s="569"/>
      <c r="K83" s="569"/>
      <c r="L83" s="569"/>
      <c r="M83" s="569"/>
      <c r="N83" s="569"/>
      <c r="O83" s="569"/>
      <c r="P83" s="569"/>
      <c r="Q83" s="569"/>
      <c r="R83" s="569"/>
      <c r="S83" s="569"/>
      <c r="T83" s="569"/>
      <c r="U83" s="569"/>
      <c r="V83" s="569"/>
      <c r="W83" s="569"/>
      <c r="X83" s="569"/>
      <c r="Y83" s="569"/>
      <c r="Z83" s="569"/>
      <c r="AA83" s="569"/>
      <c r="AB83" s="569"/>
      <c r="AC83" s="569"/>
      <c r="AD83" s="569"/>
      <c r="AE83" s="569"/>
      <c r="AF83" s="569"/>
      <c r="AG83" s="569"/>
      <c r="AH83" s="569"/>
      <c r="AI83" s="569"/>
      <c r="AJ83" s="569"/>
      <c r="AK83" s="569"/>
      <c r="AL83" s="569"/>
      <c r="AM83" s="122"/>
      <c r="AN83" s="122"/>
      <c r="AO83" s="122"/>
      <c r="AP83" s="118"/>
    </row>
    <row r="84" spans="2:42" ht="25.5" customHeight="1" x14ac:dyDescent="0.2">
      <c r="B84" s="117"/>
      <c r="C84" s="570" t="str">
        <f>LISTAS!D71</f>
        <v/>
      </c>
      <c r="D84" s="570"/>
      <c r="E84" s="570"/>
      <c r="F84" s="570"/>
      <c r="G84" s="570"/>
      <c r="H84" s="570"/>
      <c r="I84" s="570"/>
      <c r="J84" s="570"/>
      <c r="K84" s="570"/>
      <c r="L84" s="570"/>
      <c r="M84" s="570"/>
      <c r="N84" s="570"/>
      <c r="O84" s="570"/>
      <c r="P84" s="570"/>
      <c r="Q84" s="570"/>
      <c r="R84" s="570"/>
      <c r="S84" s="570"/>
      <c r="T84" s="570"/>
      <c r="U84" s="570"/>
      <c r="V84" s="570"/>
      <c r="W84" s="570"/>
      <c r="X84" s="570"/>
      <c r="Y84" s="570"/>
      <c r="Z84" s="570"/>
      <c r="AA84" s="570"/>
      <c r="AB84" s="570"/>
      <c r="AC84" s="570"/>
      <c r="AD84" s="570"/>
      <c r="AE84" s="570"/>
      <c r="AF84" s="570"/>
      <c r="AG84" s="570"/>
      <c r="AH84" s="570"/>
      <c r="AI84" s="570"/>
      <c r="AJ84" s="570"/>
      <c r="AK84" s="570"/>
      <c r="AL84" s="570"/>
      <c r="AM84" s="124"/>
      <c r="AN84" s="124"/>
      <c r="AO84" s="122"/>
      <c r="AP84" s="118"/>
    </row>
    <row r="85" spans="2:42" ht="12.75" x14ac:dyDescent="0.2">
      <c r="B85" s="117"/>
      <c r="C85" s="568"/>
      <c r="D85" s="568"/>
      <c r="E85" s="568"/>
      <c r="F85" s="568"/>
      <c r="G85" s="568"/>
      <c r="H85" s="568"/>
      <c r="I85" s="568"/>
      <c r="J85" s="568"/>
      <c r="K85" s="568"/>
      <c r="L85" s="568"/>
      <c r="M85" s="568"/>
      <c r="N85" s="568"/>
      <c r="O85" s="568"/>
      <c r="P85" s="568"/>
      <c r="Q85" s="568"/>
      <c r="R85" s="568"/>
      <c r="S85" s="568"/>
      <c r="T85" s="568"/>
      <c r="U85" s="568"/>
      <c r="V85" s="568"/>
      <c r="W85" s="568"/>
      <c r="X85" s="568"/>
      <c r="Y85" s="568"/>
      <c r="Z85" s="568"/>
      <c r="AA85" s="568"/>
      <c r="AB85" s="568"/>
      <c r="AC85" s="568"/>
      <c r="AD85" s="568"/>
      <c r="AE85" s="568"/>
      <c r="AF85" s="568"/>
      <c r="AG85" s="568"/>
      <c r="AH85" s="568"/>
      <c r="AI85" s="568"/>
      <c r="AJ85" s="568"/>
      <c r="AK85" s="568"/>
      <c r="AL85" s="568"/>
      <c r="AM85" s="124"/>
      <c r="AN85" s="124"/>
      <c r="AO85" s="122"/>
      <c r="AP85" s="118"/>
    </row>
    <row r="86" spans="2:42" ht="12.75" x14ac:dyDescent="0.2">
      <c r="B86" s="117">
        <v>4</v>
      </c>
      <c r="C86" s="568" t="s">
        <v>3658</v>
      </c>
      <c r="D86" s="568"/>
      <c r="E86" s="568"/>
      <c r="F86" s="568"/>
      <c r="G86" s="568"/>
      <c r="H86" s="568"/>
      <c r="I86" s="568"/>
      <c r="J86" s="568"/>
      <c r="K86" s="568"/>
      <c r="L86" s="568"/>
      <c r="M86" s="568"/>
      <c r="N86" s="568"/>
      <c r="O86" s="568"/>
      <c r="P86" s="568"/>
      <c r="Q86" s="568"/>
      <c r="R86" s="568"/>
      <c r="S86" s="568"/>
      <c r="T86" s="568"/>
      <c r="U86" s="568"/>
      <c r="V86" s="568"/>
      <c r="W86" s="568"/>
      <c r="X86" s="568"/>
      <c r="Y86" s="568"/>
      <c r="Z86" s="568"/>
      <c r="AA86" s="568"/>
      <c r="AB86" s="568"/>
      <c r="AC86" s="568"/>
      <c r="AD86" s="568"/>
      <c r="AE86" s="568"/>
      <c r="AF86" s="568"/>
      <c r="AG86" s="568"/>
      <c r="AH86" s="568"/>
      <c r="AI86" s="568"/>
      <c r="AJ86" s="568"/>
      <c r="AK86" s="568"/>
      <c r="AL86" s="568"/>
      <c r="AM86" s="124"/>
      <c r="AN86" s="124"/>
      <c r="AO86" s="122"/>
      <c r="AP86" s="118"/>
    </row>
    <row r="87" spans="2:42" ht="12.75" x14ac:dyDescent="0.2">
      <c r="B87" s="117"/>
      <c r="C87" s="568" t="s">
        <v>3730</v>
      </c>
      <c r="D87" s="568"/>
      <c r="E87" s="568"/>
      <c r="F87" s="568"/>
      <c r="G87" s="568"/>
      <c r="H87" s="568"/>
      <c r="I87" s="568"/>
      <c r="J87" s="568"/>
      <c r="K87" s="568"/>
      <c r="L87" s="568"/>
      <c r="M87" s="568"/>
      <c r="N87" s="568"/>
      <c r="O87" s="568"/>
      <c r="P87" s="568"/>
      <c r="Q87" s="568"/>
      <c r="R87" s="568"/>
      <c r="S87" s="568"/>
      <c r="T87" s="568"/>
      <c r="U87" s="568"/>
      <c r="V87" s="568"/>
      <c r="W87" s="568"/>
      <c r="X87" s="568"/>
      <c r="Y87" s="568"/>
      <c r="Z87" s="568"/>
      <c r="AA87" s="568"/>
      <c r="AB87" s="568"/>
      <c r="AC87" s="568"/>
      <c r="AD87" s="568"/>
      <c r="AE87" s="568"/>
      <c r="AF87" s="568"/>
      <c r="AG87" s="568"/>
      <c r="AH87" s="568"/>
      <c r="AI87" s="568"/>
      <c r="AJ87" s="568"/>
      <c r="AK87" s="568"/>
      <c r="AL87" s="568"/>
      <c r="AM87" s="124"/>
      <c r="AN87" s="124"/>
      <c r="AO87" s="122"/>
      <c r="AP87" s="118"/>
    </row>
    <row r="88" spans="2:42" ht="12.75" x14ac:dyDescent="0.2">
      <c r="B88" s="117"/>
      <c r="C88" s="568" t="s">
        <v>3757</v>
      </c>
      <c r="D88" s="568"/>
      <c r="E88" s="568"/>
      <c r="F88" s="568"/>
      <c r="G88" s="568"/>
      <c r="H88" s="568"/>
      <c r="I88" s="568"/>
      <c r="J88" s="568"/>
      <c r="K88" s="568"/>
      <c r="L88" s="568"/>
      <c r="M88" s="568"/>
      <c r="N88" s="568"/>
      <c r="O88" s="568"/>
      <c r="P88" s="568"/>
      <c r="Q88" s="568"/>
      <c r="R88" s="568"/>
      <c r="S88" s="568"/>
      <c r="T88" s="568"/>
      <c r="U88" s="568"/>
      <c r="V88" s="568"/>
      <c r="W88" s="568"/>
      <c r="X88" s="568"/>
      <c r="Y88" s="568"/>
      <c r="Z88" s="568"/>
      <c r="AA88" s="568"/>
      <c r="AB88" s="568"/>
      <c r="AC88" s="568"/>
      <c r="AD88" s="568"/>
      <c r="AE88" s="568"/>
      <c r="AF88" s="568"/>
      <c r="AG88" s="568"/>
      <c r="AH88" s="568"/>
      <c r="AI88" s="568"/>
      <c r="AJ88" s="568"/>
      <c r="AK88" s="568"/>
      <c r="AL88" s="568"/>
      <c r="AM88" s="571" t="str">
        <f>LISTAS!D73</f>
        <v/>
      </c>
      <c r="AN88" s="571"/>
      <c r="AO88" s="122"/>
      <c r="AP88" s="118"/>
    </row>
    <row r="89" spans="2:42" ht="25.5" customHeight="1" x14ac:dyDescent="0.2">
      <c r="B89" s="117"/>
      <c r="C89" s="568" t="s">
        <v>3758</v>
      </c>
      <c r="D89" s="568"/>
      <c r="E89" s="568"/>
      <c r="F89" s="568"/>
      <c r="G89" s="568"/>
      <c r="H89" s="568"/>
      <c r="I89" s="568"/>
      <c r="J89" s="568"/>
      <c r="K89" s="568"/>
      <c r="L89" s="568"/>
      <c r="M89" s="568"/>
      <c r="N89" s="568"/>
      <c r="O89" s="568"/>
      <c r="P89" s="568"/>
      <c r="Q89" s="568"/>
      <c r="R89" s="568"/>
      <c r="S89" s="568"/>
      <c r="T89" s="568"/>
      <c r="U89" s="568"/>
      <c r="V89" s="568"/>
      <c r="W89" s="568"/>
      <c r="X89" s="568"/>
      <c r="Y89" s="568"/>
      <c r="Z89" s="568"/>
      <c r="AA89" s="568"/>
      <c r="AB89" s="568"/>
      <c r="AC89" s="568"/>
      <c r="AD89" s="568"/>
      <c r="AE89" s="568"/>
      <c r="AF89" s="568"/>
      <c r="AG89" s="568"/>
      <c r="AH89" s="568"/>
      <c r="AI89" s="568"/>
      <c r="AJ89" s="568"/>
      <c r="AK89" s="568"/>
      <c r="AL89" s="568"/>
      <c r="AM89" s="571" t="str">
        <f>LISTAS!D74</f>
        <v/>
      </c>
      <c r="AN89" s="571"/>
      <c r="AO89" s="122"/>
      <c r="AP89" s="118"/>
    </row>
    <row r="90" spans="2:42" ht="12.75" x14ac:dyDescent="0.2">
      <c r="B90" s="117"/>
      <c r="C90" s="568" t="s">
        <v>3829</v>
      </c>
      <c r="D90" s="568"/>
      <c r="E90" s="568"/>
      <c r="F90" s="568"/>
      <c r="G90" s="568"/>
      <c r="H90" s="568"/>
      <c r="I90" s="568"/>
      <c r="J90" s="568"/>
      <c r="K90" s="568"/>
      <c r="L90" s="568"/>
      <c r="M90" s="568"/>
      <c r="N90" s="568"/>
      <c r="O90" s="568"/>
      <c r="P90" s="568"/>
      <c r="Q90" s="568"/>
      <c r="R90" s="568"/>
      <c r="S90" s="568"/>
      <c r="T90" s="568"/>
      <c r="U90" s="568"/>
      <c r="V90" s="568"/>
      <c r="W90" s="568"/>
      <c r="X90" s="568"/>
      <c r="Y90" s="568"/>
      <c r="Z90" s="568"/>
      <c r="AA90" s="568"/>
      <c r="AB90" s="568"/>
      <c r="AC90" s="568"/>
      <c r="AD90" s="568"/>
      <c r="AE90" s="568"/>
      <c r="AF90" s="568"/>
      <c r="AG90" s="568"/>
      <c r="AH90" s="568"/>
      <c r="AI90" s="568"/>
      <c r="AJ90" s="568"/>
      <c r="AK90" s="568"/>
      <c r="AL90" s="568"/>
      <c r="AM90" s="571" t="str">
        <f>LISTAS!D75</f>
        <v/>
      </c>
      <c r="AN90" s="571"/>
      <c r="AO90" s="122"/>
      <c r="AP90" s="118"/>
    </row>
    <row r="91" spans="2:42" ht="12.75" x14ac:dyDescent="0.2">
      <c r="B91" s="117"/>
      <c r="C91" s="568" t="s">
        <v>3833</v>
      </c>
      <c r="D91" s="568"/>
      <c r="E91" s="568"/>
      <c r="F91" s="568"/>
      <c r="G91" s="568"/>
      <c r="H91" s="568"/>
      <c r="I91" s="568"/>
      <c r="J91" s="568"/>
      <c r="K91" s="568"/>
      <c r="L91" s="568"/>
      <c r="M91" s="568"/>
      <c r="N91" s="568"/>
      <c r="O91" s="568"/>
      <c r="P91" s="568"/>
      <c r="Q91" s="568"/>
      <c r="R91" s="568"/>
      <c r="S91" s="568"/>
      <c r="T91" s="568"/>
      <c r="U91" s="568"/>
      <c r="V91" s="568"/>
      <c r="W91" s="568"/>
      <c r="X91" s="568"/>
      <c r="Y91" s="568"/>
      <c r="Z91" s="568"/>
      <c r="AA91" s="568"/>
      <c r="AB91" s="568"/>
      <c r="AC91" s="568"/>
      <c r="AD91" s="568"/>
      <c r="AE91" s="568"/>
      <c r="AF91" s="568"/>
      <c r="AG91" s="568"/>
      <c r="AH91" s="568"/>
      <c r="AI91" s="568"/>
      <c r="AJ91" s="568"/>
      <c r="AK91" s="568"/>
      <c r="AL91" s="568"/>
      <c r="AM91" s="571" t="str">
        <f>LISTAS!D76</f>
        <v/>
      </c>
      <c r="AN91" s="571"/>
      <c r="AO91" s="122"/>
      <c r="AP91" s="118"/>
    </row>
    <row r="92" spans="2:42" ht="12.75" x14ac:dyDescent="0.2">
      <c r="B92" s="117"/>
      <c r="C92" s="569" t="s">
        <v>1801</v>
      </c>
      <c r="D92" s="569"/>
      <c r="E92" s="569"/>
      <c r="F92" s="569"/>
      <c r="G92" s="569"/>
      <c r="H92" s="569"/>
      <c r="I92" s="569"/>
      <c r="J92" s="569"/>
      <c r="K92" s="569"/>
      <c r="L92" s="569"/>
      <c r="M92" s="569"/>
      <c r="N92" s="569"/>
      <c r="O92" s="569"/>
      <c r="P92" s="569"/>
      <c r="Q92" s="569"/>
      <c r="R92" s="569"/>
      <c r="S92" s="569"/>
      <c r="T92" s="569"/>
      <c r="U92" s="569"/>
      <c r="V92" s="569"/>
      <c r="W92" s="569"/>
      <c r="X92" s="569"/>
      <c r="Y92" s="569"/>
      <c r="Z92" s="569"/>
      <c r="AA92" s="569"/>
      <c r="AB92" s="569"/>
      <c r="AC92" s="569"/>
      <c r="AD92" s="569"/>
      <c r="AE92" s="569"/>
      <c r="AF92" s="569"/>
      <c r="AG92" s="569"/>
      <c r="AH92" s="569"/>
      <c r="AI92" s="569"/>
      <c r="AJ92" s="569"/>
      <c r="AK92" s="569"/>
      <c r="AL92" s="569"/>
      <c r="AM92" s="122"/>
      <c r="AN92" s="122"/>
      <c r="AO92" s="122"/>
      <c r="AP92" s="118"/>
    </row>
    <row r="93" spans="2:42" ht="25.5" customHeight="1" x14ac:dyDescent="0.2">
      <c r="B93" s="117"/>
      <c r="C93" s="570" t="str">
        <f>LISTAS!D77</f>
        <v/>
      </c>
      <c r="D93" s="570"/>
      <c r="E93" s="570"/>
      <c r="F93" s="570"/>
      <c r="G93" s="570"/>
      <c r="H93" s="570"/>
      <c r="I93" s="570"/>
      <c r="J93" s="570"/>
      <c r="K93" s="570"/>
      <c r="L93" s="570"/>
      <c r="M93" s="570"/>
      <c r="N93" s="570"/>
      <c r="O93" s="570"/>
      <c r="P93" s="570"/>
      <c r="Q93" s="570"/>
      <c r="R93" s="570"/>
      <c r="S93" s="570"/>
      <c r="T93" s="570"/>
      <c r="U93" s="570"/>
      <c r="V93" s="570"/>
      <c r="W93" s="570"/>
      <c r="X93" s="570"/>
      <c r="Y93" s="570"/>
      <c r="Z93" s="570"/>
      <c r="AA93" s="570"/>
      <c r="AB93" s="570"/>
      <c r="AC93" s="570"/>
      <c r="AD93" s="570"/>
      <c r="AE93" s="570"/>
      <c r="AF93" s="570"/>
      <c r="AG93" s="570"/>
      <c r="AH93" s="570"/>
      <c r="AI93" s="570"/>
      <c r="AJ93" s="570"/>
      <c r="AK93" s="570"/>
      <c r="AL93" s="570"/>
      <c r="AM93" s="124"/>
      <c r="AN93" s="124"/>
      <c r="AO93" s="122"/>
      <c r="AP93" s="118"/>
    </row>
    <row r="94" spans="2:42" ht="12.75" x14ac:dyDescent="0.2">
      <c r="B94" s="117"/>
      <c r="C94" s="569"/>
      <c r="D94" s="569"/>
      <c r="E94" s="569"/>
      <c r="F94" s="569"/>
      <c r="G94" s="569"/>
      <c r="H94" s="569"/>
      <c r="I94" s="569"/>
      <c r="J94" s="569"/>
      <c r="K94" s="569"/>
      <c r="L94" s="569"/>
      <c r="M94" s="569"/>
      <c r="N94" s="569"/>
      <c r="O94" s="569"/>
      <c r="P94" s="569"/>
      <c r="Q94" s="569"/>
      <c r="R94" s="569"/>
      <c r="S94" s="569"/>
      <c r="T94" s="569"/>
      <c r="U94" s="569"/>
      <c r="V94" s="569"/>
      <c r="W94" s="569"/>
      <c r="X94" s="569"/>
      <c r="Y94" s="569"/>
      <c r="Z94" s="569"/>
      <c r="AA94" s="569"/>
      <c r="AB94" s="569"/>
      <c r="AC94" s="569"/>
      <c r="AD94" s="569"/>
      <c r="AE94" s="569"/>
      <c r="AF94" s="569"/>
      <c r="AG94" s="569"/>
      <c r="AH94" s="569"/>
      <c r="AI94" s="569"/>
      <c r="AJ94" s="569"/>
      <c r="AK94" s="569"/>
      <c r="AL94" s="569"/>
      <c r="AM94" s="124"/>
      <c r="AN94" s="124"/>
      <c r="AO94" s="122"/>
      <c r="AP94" s="118"/>
    </row>
    <row r="95" spans="2:42" ht="12.75" x14ac:dyDescent="0.2">
      <c r="B95" s="117"/>
      <c r="C95" s="568" t="s">
        <v>3826</v>
      </c>
      <c r="D95" s="568"/>
      <c r="E95" s="568"/>
      <c r="F95" s="568"/>
      <c r="G95" s="568"/>
      <c r="H95" s="568"/>
      <c r="I95" s="568"/>
      <c r="J95" s="568"/>
      <c r="K95" s="568"/>
      <c r="L95" s="568"/>
      <c r="M95" s="568"/>
      <c r="N95" s="568"/>
      <c r="O95" s="568"/>
      <c r="P95" s="568"/>
      <c r="Q95" s="568"/>
      <c r="R95" s="568"/>
      <c r="S95" s="568"/>
      <c r="T95" s="568"/>
      <c r="U95" s="568"/>
      <c r="V95" s="568"/>
      <c r="W95" s="568"/>
      <c r="X95" s="568"/>
      <c r="Y95" s="568"/>
      <c r="Z95" s="568"/>
      <c r="AA95" s="568"/>
      <c r="AB95" s="568"/>
      <c r="AC95" s="568"/>
      <c r="AD95" s="568"/>
      <c r="AE95" s="568"/>
      <c r="AF95" s="568"/>
      <c r="AG95" s="568"/>
      <c r="AH95" s="568"/>
      <c r="AI95" s="568"/>
      <c r="AJ95" s="568"/>
      <c r="AK95" s="568"/>
      <c r="AL95" s="568"/>
      <c r="AM95" s="124"/>
      <c r="AN95" s="124"/>
      <c r="AO95" s="122"/>
      <c r="AP95" s="118"/>
    </row>
    <row r="96" spans="2:42" ht="12.75" x14ac:dyDescent="0.2">
      <c r="B96" s="117"/>
      <c r="C96" s="568" t="s">
        <v>3759</v>
      </c>
      <c r="D96" s="568"/>
      <c r="E96" s="568"/>
      <c r="F96" s="568"/>
      <c r="G96" s="568"/>
      <c r="H96" s="568"/>
      <c r="I96" s="568"/>
      <c r="J96" s="568"/>
      <c r="K96" s="568"/>
      <c r="L96" s="568"/>
      <c r="M96" s="568"/>
      <c r="N96" s="568"/>
      <c r="O96" s="568"/>
      <c r="P96" s="568"/>
      <c r="Q96" s="568"/>
      <c r="R96" s="568"/>
      <c r="S96" s="568"/>
      <c r="T96" s="568"/>
      <c r="U96" s="568"/>
      <c r="V96" s="568"/>
      <c r="W96" s="568"/>
      <c r="X96" s="568"/>
      <c r="Y96" s="568"/>
      <c r="Z96" s="568"/>
      <c r="AA96" s="568"/>
      <c r="AB96" s="568"/>
      <c r="AC96" s="568"/>
      <c r="AD96" s="568"/>
      <c r="AE96" s="568"/>
      <c r="AF96" s="568"/>
      <c r="AG96" s="568"/>
      <c r="AH96" s="568"/>
      <c r="AI96" s="568"/>
      <c r="AJ96" s="568"/>
      <c r="AK96" s="568"/>
      <c r="AL96" s="568"/>
      <c r="AM96" s="571" t="str">
        <f>LISTAS!D78</f>
        <v/>
      </c>
      <c r="AN96" s="571"/>
      <c r="AO96" s="122"/>
      <c r="AP96" s="118"/>
    </row>
    <row r="97" spans="2:42" ht="12.75" x14ac:dyDescent="0.2">
      <c r="B97" s="117"/>
      <c r="C97" s="568" t="s">
        <v>3828</v>
      </c>
      <c r="D97" s="568"/>
      <c r="E97" s="568"/>
      <c r="F97" s="568"/>
      <c r="G97" s="568"/>
      <c r="H97" s="568"/>
      <c r="I97" s="568"/>
      <c r="J97" s="568"/>
      <c r="K97" s="568"/>
      <c r="L97" s="568"/>
      <c r="M97" s="568"/>
      <c r="N97" s="568"/>
      <c r="O97" s="568"/>
      <c r="P97" s="568"/>
      <c r="Q97" s="568"/>
      <c r="R97" s="568"/>
      <c r="S97" s="568"/>
      <c r="T97" s="568"/>
      <c r="U97" s="568"/>
      <c r="V97" s="568"/>
      <c r="W97" s="568"/>
      <c r="X97" s="568"/>
      <c r="Y97" s="568"/>
      <c r="Z97" s="568"/>
      <c r="AA97" s="568"/>
      <c r="AB97" s="568"/>
      <c r="AC97" s="568"/>
      <c r="AD97" s="568"/>
      <c r="AE97" s="568"/>
      <c r="AF97" s="568"/>
      <c r="AG97" s="568"/>
      <c r="AH97" s="568"/>
      <c r="AI97" s="568"/>
      <c r="AJ97" s="568"/>
      <c r="AK97" s="568"/>
      <c r="AL97" s="568"/>
      <c r="AM97" s="571" t="str">
        <f>LISTAS!D79</f>
        <v/>
      </c>
      <c r="AN97" s="571"/>
      <c r="AO97" s="122"/>
      <c r="AP97" s="118"/>
    </row>
    <row r="98" spans="2:42" ht="12.75" x14ac:dyDescent="0.2">
      <c r="B98" s="117"/>
      <c r="C98" s="568" t="s">
        <v>3830</v>
      </c>
      <c r="D98" s="568"/>
      <c r="E98" s="568"/>
      <c r="F98" s="568"/>
      <c r="G98" s="568"/>
      <c r="H98" s="568"/>
      <c r="I98" s="568"/>
      <c r="J98" s="568"/>
      <c r="K98" s="568"/>
      <c r="L98" s="568"/>
      <c r="M98" s="568"/>
      <c r="N98" s="568"/>
      <c r="O98" s="568"/>
      <c r="P98" s="568"/>
      <c r="Q98" s="568"/>
      <c r="R98" s="568"/>
      <c r="S98" s="568"/>
      <c r="T98" s="568"/>
      <c r="U98" s="568"/>
      <c r="V98" s="568"/>
      <c r="W98" s="568"/>
      <c r="X98" s="568"/>
      <c r="Y98" s="568"/>
      <c r="Z98" s="568"/>
      <c r="AA98" s="568"/>
      <c r="AB98" s="568"/>
      <c r="AC98" s="568"/>
      <c r="AD98" s="568"/>
      <c r="AE98" s="568"/>
      <c r="AF98" s="568"/>
      <c r="AG98" s="568"/>
      <c r="AH98" s="568"/>
      <c r="AI98" s="568"/>
      <c r="AJ98" s="568"/>
      <c r="AK98" s="568"/>
      <c r="AL98" s="568"/>
      <c r="AM98" s="571" t="str">
        <f>LISTAS!D80</f>
        <v/>
      </c>
      <c r="AN98" s="571"/>
      <c r="AO98" s="122"/>
      <c r="AP98" s="118"/>
    </row>
    <row r="99" spans="2:42" ht="12.75" x14ac:dyDescent="0.2">
      <c r="B99" s="117"/>
      <c r="C99" s="568" t="s">
        <v>3834</v>
      </c>
      <c r="D99" s="568"/>
      <c r="E99" s="568"/>
      <c r="F99" s="568"/>
      <c r="G99" s="568"/>
      <c r="H99" s="568"/>
      <c r="I99" s="568"/>
      <c r="J99" s="568"/>
      <c r="K99" s="568"/>
      <c r="L99" s="568"/>
      <c r="M99" s="568"/>
      <c r="N99" s="568"/>
      <c r="O99" s="568"/>
      <c r="P99" s="568"/>
      <c r="Q99" s="568"/>
      <c r="R99" s="568"/>
      <c r="S99" s="568"/>
      <c r="T99" s="568"/>
      <c r="U99" s="568"/>
      <c r="V99" s="568"/>
      <c r="W99" s="568"/>
      <c r="X99" s="568"/>
      <c r="Y99" s="568"/>
      <c r="Z99" s="568"/>
      <c r="AA99" s="568"/>
      <c r="AB99" s="568"/>
      <c r="AC99" s="568"/>
      <c r="AD99" s="568"/>
      <c r="AE99" s="568"/>
      <c r="AF99" s="568"/>
      <c r="AG99" s="568"/>
      <c r="AH99" s="568"/>
      <c r="AI99" s="568"/>
      <c r="AJ99" s="568"/>
      <c r="AK99" s="568"/>
      <c r="AL99" s="568"/>
      <c r="AM99" s="571" t="str">
        <f>LISTAS!D81</f>
        <v/>
      </c>
      <c r="AN99" s="571"/>
      <c r="AO99" s="122"/>
      <c r="AP99" s="118"/>
    </row>
    <row r="100" spans="2:42" ht="12.75" x14ac:dyDescent="0.2">
      <c r="B100" s="117"/>
      <c r="C100" s="569" t="s">
        <v>1801</v>
      </c>
      <c r="D100" s="569"/>
      <c r="E100" s="569"/>
      <c r="F100" s="569"/>
      <c r="G100" s="569"/>
      <c r="H100" s="569"/>
      <c r="I100" s="569"/>
      <c r="J100" s="569"/>
      <c r="K100" s="569"/>
      <c r="L100" s="569"/>
      <c r="M100" s="569"/>
      <c r="N100" s="569"/>
      <c r="O100" s="569"/>
      <c r="P100" s="569"/>
      <c r="Q100" s="569"/>
      <c r="R100" s="569"/>
      <c r="S100" s="569"/>
      <c r="T100" s="569"/>
      <c r="U100" s="569"/>
      <c r="V100" s="569"/>
      <c r="W100" s="569"/>
      <c r="X100" s="569"/>
      <c r="Y100" s="569"/>
      <c r="Z100" s="569"/>
      <c r="AA100" s="569"/>
      <c r="AB100" s="569"/>
      <c r="AC100" s="569"/>
      <c r="AD100" s="569"/>
      <c r="AE100" s="569"/>
      <c r="AF100" s="569"/>
      <c r="AG100" s="569"/>
      <c r="AH100" s="569"/>
      <c r="AI100" s="569"/>
      <c r="AJ100" s="569"/>
      <c r="AK100" s="569"/>
      <c r="AL100" s="569"/>
      <c r="AM100" s="122"/>
      <c r="AN100" s="122"/>
      <c r="AO100" s="122"/>
      <c r="AP100" s="118"/>
    </row>
    <row r="101" spans="2:42" ht="25.5" customHeight="1" x14ac:dyDescent="0.2">
      <c r="B101" s="117"/>
      <c r="C101" s="570" t="str">
        <f>LISTAS!D82</f>
        <v/>
      </c>
      <c r="D101" s="570"/>
      <c r="E101" s="570"/>
      <c r="F101" s="570"/>
      <c r="G101" s="570"/>
      <c r="H101" s="570"/>
      <c r="I101" s="570"/>
      <c r="J101" s="570"/>
      <c r="K101" s="570"/>
      <c r="L101" s="570"/>
      <c r="M101" s="570"/>
      <c r="N101" s="570"/>
      <c r="O101" s="570"/>
      <c r="P101" s="570"/>
      <c r="Q101" s="570"/>
      <c r="R101" s="570"/>
      <c r="S101" s="570"/>
      <c r="T101" s="570"/>
      <c r="U101" s="570"/>
      <c r="V101" s="570"/>
      <c r="W101" s="570"/>
      <c r="X101" s="570"/>
      <c r="Y101" s="570"/>
      <c r="Z101" s="570"/>
      <c r="AA101" s="570"/>
      <c r="AB101" s="570"/>
      <c r="AC101" s="570"/>
      <c r="AD101" s="570"/>
      <c r="AE101" s="570"/>
      <c r="AF101" s="570"/>
      <c r="AG101" s="570"/>
      <c r="AH101" s="570"/>
      <c r="AI101" s="570"/>
      <c r="AJ101" s="570"/>
      <c r="AK101" s="570"/>
      <c r="AL101" s="570"/>
      <c r="AM101" s="124"/>
      <c r="AN101" s="124"/>
      <c r="AO101" s="122"/>
      <c r="AP101" s="118"/>
    </row>
    <row r="102" spans="2:42" ht="12.75" x14ac:dyDescent="0.2">
      <c r="B102" s="117"/>
      <c r="C102" s="569"/>
      <c r="D102" s="569"/>
      <c r="E102" s="569"/>
      <c r="F102" s="569"/>
      <c r="G102" s="569"/>
      <c r="H102" s="569"/>
      <c r="I102" s="569"/>
      <c r="J102" s="569"/>
      <c r="K102" s="569"/>
      <c r="L102" s="569"/>
      <c r="M102" s="569"/>
      <c r="N102" s="569"/>
      <c r="O102" s="569"/>
      <c r="P102" s="569"/>
      <c r="Q102" s="569"/>
      <c r="R102" s="569"/>
      <c r="S102" s="569"/>
      <c r="T102" s="569"/>
      <c r="U102" s="569"/>
      <c r="V102" s="569"/>
      <c r="W102" s="569"/>
      <c r="X102" s="569"/>
      <c r="Y102" s="569"/>
      <c r="Z102" s="569"/>
      <c r="AA102" s="569"/>
      <c r="AB102" s="569"/>
      <c r="AC102" s="569"/>
      <c r="AD102" s="569"/>
      <c r="AE102" s="569"/>
      <c r="AF102" s="569"/>
      <c r="AG102" s="569"/>
      <c r="AH102" s="569"/>
      <c r="AI102" s="569"/>
      <c r="AJ102" s="569"/>
      <c r="AK102" s="569"/>
      <c r="AL102" s="569"/>
      <c r="AM102" s="124"/>
      <c r="AN102" s="124"/>
      <c r="AO102" s="122"/>
      <c r="AP102" s="118"/>
    </row>
    <row r="103" spans="2:42" ht="12.75" x14ac:dyDescent="0.2">
      <c r="B103" s="117"/>
      <c r="C103" s="568" t="s">
        <v>3731</v>
      </c>
      <c r="D103" s="568"/>
      <c r="E103" s="568"/>
      <c r="F103" s="568"/>
      <c r="G103" s="568"/>
      <c r="H103" s="568"/>
      <c r="I103" s="568"/>
      <c r="J103" s="568"/>
      <c r="K103" s="568"/>
      <c r="L103" s="568"/>
      <c r="M103" s="568"/>
      <c r="N103" s="568"/>
      <c r="O103" s="568"/>
      <c r="P103" s="568"/>
      <c r="Q103" s="568"/>
      <c r="R103" s="568"/>
      <c r="S103" s="568"/>
      <c r="T103" s="568"/>
      <c r="U103" s="568"/>
      <c r="V103" s="568"/>
      <c r="W103" s="568"/>
      <c r="X103" s="568"/>
      <c r="Y103" s="568"/>
      <c r="Z103" s="568"/>
      <c r="AA103" s="568"/>
      <c r="AB103" s="568"/>
      <c r="AC103" s="568"/>
      <c r="AD103" s="568"/>
      <c r="AE103" s="568"/>
      <c r="AF103" s="568"/>
      <c r="AG103" s="568"/>
      <c r="AH103" s="568"/>
      <c r="AI103" s="568"/>
      <c r="AJ103" s="568"/>
      <c r="AK103" s="568"/>
      <c r="AL103" s="568"/>
      <c r="AM103" s="124"/>
      <c r="AN103" s="124"/>
      <c r="AO103" s="122"/>
      <c r="AP103" s="118"/>
    </row>
    <row r="104" spans="2:42" ht="25.5" customHeight="1" x14ac:dyDescent="0.2">
      <c r="B104" s="117"/>
      <c r="C104" s="568" t="s">
        <v>3760</v>
      </c>
      <c r="D104" s="568"/>
      <c r="E104" s="568"/>
      <c r="F104" s="568"/>
      <c r="G104" s="568"/>
      <c r="H104" s="568"/>
      <c r="I104" s="568"/>
      <c r="J104" s="568"/>
      <c r="K104" s="568"/>
      <c r="L104" s="568"/>
      <c r="M104" s="568"/>
      <c r="N104" s="568"/>
      <c r="O104" s="568"/>
      <c r="P104" s="568"/>
      <c r="Q104" s="568"/>
      <c r="R104" s="568"/>
      <c r="S104" s="568"/>
      <c r="T104" s="568"/>
      <c r="U104" s="568"/>
      <c r="V104" s="568"/>
      <c r="W104" s="568"/>
      <c r="X104" s="568"/>
      <c r="Y104" s="568"/>
      <c r="Z104" s="568"/>
      <c r="AA104" s="568"/>
      <c r="AB104" s="568"/>
      <c r="AC104" s="568"/>
      <c r="AD104" s="568"/>
      <c r="AE104" s="568"/>
      <c r="AF104" s="568"/>
      <c r="AG104" s="568"/>
      <c r="AH104" s="568"/>
      <c r="AI104" s="568"/>
      <c r="AJ104" s="568"/>
      <c r="AK104" s="568"/>
      <c r="AL104" s="568"/>
      <c r="AM104" s="571" t="str">
        <f>LISTAS!D83</f>
        <v/>
      </c>
      <c r="AN104" s="571"/>
      <c r="AO104" s="122"/>
      <c r="AP104" s="118"/>
    </row>
    <row r="105" spans="2:42" ht="25.5" customHeight="1" x14ac:dyDescent="0.2">
      <c r="B105" s="117"/>
      <c r="C105" s="568" t="s">
        <v>3761</v>
      </c>
      <c r="D105" s="568"/>
      <c r="E105" s="568"/>
      <c r="F105" s="568"/>
      <c r="G105" s="568"/>
      <c r="H105" s="568"/>
      <c r="I105" s="568"/>
      <c r="J105" s="568"/>
      <c r="K105" s="568"/>
      <c r="L105" s="568"/>
      <c r="M105" s="568"/>
      <c r="N105" s="568"/>
      <c r="O105" s="568"/>
      <c r="P105" s="568"/>
      <c r="Q105" s="568"/>
      <c r="R105" s="568"/>
      <c r="S105" s="568"/>
      <c r="T105" s="568"/>
      <c r="U105" s="568"/>
      <c r="V105" s="568"/>
      <c r="W105" s="568"/>
      <c r="X105" s="568"/>
      <c r="Y105" s="568"/>
      <c r="Z105" s="568"/>
      <c r="AA105" s="568"/>
      <c r="AB105" s="568"/>
      <c r="AC105" s="568"/>
      <c r="AD105" s="568"/>
      <c r="AE105" s="568"/>
      <c r="AF105" s="568"/>
      <c r="AG105" s="568"/>
      <c r="AH105" s="568"/>
      <c r="AI105" s="568"/>
      <c r="AJ105" s="568"/>
      <c r="AK105" s="568"/>
      <c r="AL105" s="568"/>
      <c r="AM105" s="571" t="str">
        <f>LISTAS!D84</f>
        <v/>
      </c>
      <c r="AN105" s="571"/>
      <c r="AO105" s="122"/>
      <c r="AP105" s="118"/>
    </row>
    <row r="106" spans="2:42" ht="37.5" customHeight="1" x14ac:dyDescent="0.2">
      <c r="B106" s="117"/>
      <c r="C106" s="568" t="s">
        <v>3762</v>
      </c>
      <c r="D106" s="568"/>
      <c r="E106" s="568"/>
      <c r="F106" s="568"/>
      <c r="G106" s="568"/>
      <c r="H106" s="568"/>
      <c r="I106" s="568"/>
      <c r="J106" s="568"/>
      <c r="K106" s="568"/>
      <c r="L106" s="568"/>
      <c r="M106" s="568"/>
      <c r="N106" s="568"/>
      <c r="O106" s="568"/>
      <c r="P106" s="568"/>
      <c r="Q106" s="568"/>
      <c r="R106" s="568"/>
      <c r="S106" s="568"/>
      <c r="T106" s="568"/>
      <c r="U106" s="568"/>
      <c r="V106" s="568"/>
      <c r="W106" s="568"/>
      <c r="X106" s="568"/>
      <c r="Y106" s="568"/>
      <c r="Z106" s="568"/>
      <c r="AA106" s="568"/>
      <c r="AB106" s="568"/>
      <c r="AC106" s="568"/>
      <c r="AD106" s="568"/>
      <c r="AE106" s="568"/>
      <c r="AF106" s="568"/>
      <c r="AG106" s="568"/>
      <c r="AH106" s="568"/>
      <c r="AI106" s="568"/>
      <c r="AJ106" s="568"/>
      <c r="AK106" s="568"/>
      <c r="AL106" s="568"/>
      <c r="AM106" s="571" t="str">
        <f>LISTAS!D85</f>
        <v/>
      </c>
      <c r="AN106" s="571"/>
      <c r="AO106" s="122"/>
      <c r="AP106" s="118"/>
    </row>
    <row r="107" spans="2:42" ht="25.5" customHeight="1" x14ac:dyDescent="0.2">
      <c r="B107" s="117"/>
      <c r="C107" s="568" t="s">
        <v>3763</v>
      </c>
      <c r="D107" s="568"/>
      <c r="E107" s="568"/>
      <c r="F107" s="568"/>
      <c r="G107" s="568"/>
      <c r="H107" s="568"/>
      <c r="I107" s="568"/>
      <c r="J107" s="568"/>
      <c r="K107" s="568"/>
      <c r="L107" s="568"/>
      <c r="M107" s="568"/>
      <c r="N107" s="568"/>
      <c r="O107" s="568"/>
      <c r="P107" s="568"/>
      <c r="Q107" s="568"/>
      <c r="R107" s="568"/>
      <c r="S107" s="568"/>
      <c r="T107" s="568"/>
      <c r="U107" s="568"/>
      <c r="V107" s="568"/>
      <c r="W107" s="568"/>
      <c r="X107" s="568"/>
      <c r="Y107" s="568"/>
      <c r="Z107" s="568"/>
      <c r="AA107" s="568"/>
      <c r="AB107" s="568"/>
      <c r="AC107" s="568"/>
      <c r="AD107" s="568"/>
      <c r="AE107" s="568"/>
      <c r="AF107" s="568"/>
      <c r="AG107" s="568"/>
      <c r="AH107" s="568"/>
      <c r="AI107" s="568"/>
      <c r="AJ107" s="568"/>
      <c r="AK107" s="568"/>
      <c r="AL107" s="568"/>
      <c r="AM107" s="571" t="str">
        <f>LISTAS!D86</f>
        <v/>
      </c>
      <c r="AN107" s="571"/>
      <c r="AO107" s="122"/>
      <c r="AP107" s="118"/>
    </row>
    <row r="108" spans="2:42" ht="12.75" x14ac:dyDescent="0.2">
      <c r="B108" s="117"/>
      <c r="C108" s="569" t="s">
        <v>1801</v>
      </c>
      <c r="D108" s="569"/>
      <c r="E108" s="569"/>
      <c r="F108" s="569"/>
      <c r="G108" s="569"/>
      <c r="H108" s="569"/>
      <c r="I108" s="569"/>
      <c r="J108" s="569"/>
      <c r="K108" s="569"/>
      <c r="L108" s="569"/>
      <c r="M108" s="569"/>
      <c r="N108" s="569"/>
      <c r="O108" s="569"/>
      <c r="P108" s="569"/>
      <c r="Q108" s="569"/>
      <c r="R108" s="569"/>
      <c r="S108" s="569"/>
      <c r="T108" s="569"/>
      <c r="U108" s="569"/>
      <c r="V108" s="569"/>
      <c r="W108" s="569"/>
      <c r="X108" s="569"/>
      <c r="Y108" s="569"/>
      <c r="Z108" s="569"/>
      <c r="AA108" s="569"/>
      <c r="AB108" s="569"/>
      <c r="AC108" s="569"/>
      <c r="AD108" s="569"/>
      <c r="AE108" s="569"/>
      <c r="AF108" s="569"/>
      <c r="AG108" s="569"/>
      <c r="AH108" s="569"/>
      <c r="AI108" s="569"/>
      <c r="AJ108" s="569"/>
      <c r="AK108" s="569"/>
      <c r="AL108" s="569"/>
      <c r="AM108" s="122"/>
      <c r="AN108" s="122"/>
      <c r="AO108" s="122"/>
      <c r="AP108" s="118"/>
    </row>
    <row r="109" spans="2:42" ht="25.5" customHeight="1" x14ac:dyDescent="0.2">
      <c r="B109" s="117"/>
      <c r="C109" s="570" t="str">
        <f>LISTAS!D87</f>
        <v/>
      </c>
      <c r="D109" s="570"/>
      <c r="E109" s="570"/>
      <c r="F109" s="570"/>
      <c r="G109" s="570"/>
      <c r="H109" s="570"/>
      <c r="I109" s="570"/>
      <c r="J109" s="570"/>
      <c r="K109" s="570"/>
      <c r="L109" s="570"/>
      <c r="M109" s="570"/>
      <c r="N109" s="570"/>
      <c r="O109" s="570"/>
      <c r="P109" s="570"/>
      <c r="Q109" s="570"/>
      <c r="R109" s="570"/>
      <c r="S109" s="570"/>
      <c r="T109" s="570"/>
      <c r="U109" s="570"/>
      <c r="V109" s="570"/>
      <c r="W109" s="570"/>
      <c r="X109" s="570"/>
      <c r="Y109" s="570"/>
      <c r="Z109" s="570"/>
      <c r="AA109" s="570"/>
      <c r="AB109" s="570"/>
      <c r="AC109" s="570"/>
      <c r="AD109" s="570"/>
      <c r="AE109" s="570"/>
      <c r="AF109" s="570"/>
      <c r="AG109" s="570"/>
      <c r="AH109" s="570"/>
      <c r="AI109" s="570"/>
      <c r="AJ109" s="570"/>
      <c r="AK109" s="570"/>
      <c r="AL109" s="570"/>
      <c r="AM109" s="124"/>
      <c r="AN109" s="124"/>
      <c r="AO109" s="122"/>
      <c r="AP109" s="118"/>
    </row>
    <row r="110" spans="2:42" ht="12.75" x14ac:dyDescent="0.2">
      <c r="B110" s="117"/>
      <c r="C110" s="569"/>
      <c r="D110" s="569"/>
      <c r="E110" s="569"/>
      <c r="F110" s="569"/>
      <c r="G110" s="569"/>
      <c r="H110" s="569"/>
      <c r="I110" s="569"/>
      <c r="J110" s="569"/>
      <c r="K110" s="569"/>
      <c r="L110" s="569"/>
      <c r="M110" s="569"/>
      <c r="N110" s="569"/>
      <c r="O110" s="569"/>
      <c r="P110" s="569"/>
      <c r="Q110" s="569"/>
      <c r="R110" s="569"/>
      <c r="S110" s="569"/>
      <c r="T110" s="569"/>
      <c r="U110" s="569"/>
      <c r="V110" s="569"/>
      <c r="W110" s="569"/>
      <c r="X110" s="569"/>
      <c r="Y110" s="569"/>
      <c r="Z110" s="569"/>
      <c r="AA110" s="569"/>
      <c r="AB110" s="569"/>
      <c r="AC110" s="569"/>
      <c r="AD110" s="569"/>
      <c r="AE110" s="569"/>
      <c r="AF110" s="569"/>
      <c r="AG110" s="569"/>
      <c r="AH110" s="569"/>
      <c r="AI110" s="569"/>
      <c r="AJ110" s="569"/>
      <c r="AK110" s="569"/>
      <c r="AL110" s="569"/>
      <c r="AM110" s="124"/>
      <c r="AN110" s="124"/>
      <c r="AO110" s="122"/>
      <c r="AP110" s="118"/>
    </row>
    <row r="111" spans="2:42" ht="12.75" x14ac:dyDescent="0.2">
      <c r="B111" s="117"/>
      <c r="C111" s="568" t="s">
        <v>3732</v>
      </c>
      <c r="D111" s="568"/>
      <c r="E111" s="568"/>
      <c r="F111" s="568"/>
      <c r="G111" s="568"/>
      <c r="H111" s="568"/>
      <c r="I111" s="568"/>
      <c r="J111" s="568"/>
      <c r="K111" s="568"/>
      <c r="L111" s="568"/>
      <c r="M111" s="568"/>
      <c r="N111" s="568"/>
      <c r="O111" s="568"/>
      <c r="P111" s="568"/>
      <c r="Q111" s="568"/>
      <c r="R111" s="568"/>
      <c r="S111" s="568"/>
      <c r="T111" s="568"/>
      <c r="U111" s="568"/>
      <c r="V111" s="568"/>
      <c r="W111" s="568"/>
      <c r="X111" s="568"/>
      <c r="Y111" s="568"/>
      <c r="Z111" s="568"/>
      <c r="AA111" s="568"/>
      <c r="AB111" s="568"/>
      <c r="AC111" s="568"/>
      <c r="AD111" s="568"/>
      <c r="AE111" s="568"/>
      <c r="AF111" s="568"/>
      <c r="AG111" s="568"/>
      <c r="AH111" s="568"/>
      <c r="AI111" s="568"/>
      <c r="AJ111" s="568"/>
      <c r="AK111" s="568"/>
      <c r="AL111" s="568"/>
      <c r="AM111" s="124"/>
      <c r="AN111" s="124"/>
      <c r="AO111" s="122"/>
      <c r="AP111" s="118"/>
    </row>
    <row r="112" spans="2:42" ht="25.5" customHeight="1" x14ac:dyDescent="0.2">
      <c r="B112" s="117"/>
      <c r="C112" s="568" t="s">
        <v>3764</v>
      </c>
      <c r="D112" s="568"/>
      <c r="E112" s="568"/>
      <c r="F112" s="568"/>
      <c r="G112" s="568"/>
      <c r="H112" s="568"/>
      <c r="I112" s="568"/>
      <c r="J112" s="568"/>
      <c r="K112" s="568"/>
      <c r="L112" s="568"/>
      <c r="M112" s="568"/>
      <c r="N112" s="568"/>
      <c r="O112" s="568"/>
      <c r="P112" s="568"/>
      <c r="Q112" s="568"/>
      <c r="R112" s="568"/>
      <c r="S112" s="568"/>
      <c r="T112" s="568"/>
      <c r="U112" s="568"/>
      <c r="V112" s="568"/>
      <c r="W112" s="568"/>
      <c r="X112" s="568"/>
      <c r="Y112" s="568"/>
      <c r="Z112" s="568"/>
      <c r="AA112" s="568"/>
      <c r="AB112" s="568"/>
      <c r="AC112" s="568"/>
      <c r="AD112" s="568"/>
      <c r="AE112" s="568"/>
      <c r="AF112" s="568"/>
      <c r="AG112" s="568"/>
      <c r="AH112" s="568"/>
      <c r="AI112" s="568"/>
      <c r="AJ112" s="568"/>
      <c r="AK112" s="568"/>
      <c r="AL112" s="568"/>
      <c r="AM112" s="571" t="str">
        <f>LISTAS!D88</f>
        <v/>
      </c>
      <c r="AN112" s="571"/>
      <c r="AO112" s="122"/>
      <c r="AP112" s="118"/>
    </row>
    <row r="113" spans="2:42" ht="25.5" customHeight="1" x14ac:dyDescent="0.2">
      <c r="B113" s="117"/>
      <c r="C113" s="568" t="s">
        <v>3765</v>
      </c>
      <c r="D113" s="568"/>
      <c r="E113" s="568"/>
      <c r="F113" s="568"/>
      <c r="G113" s="568"/>
      <c r="H113" s="568"/>
      <c r="I113" s="568"/>
      <c r="J113" s="568"/>
      <c r="K113" s="568"/>
      <c r="L113" s="568"/>
      <c r="M113" s="568"/>
      <c r="N113" s="568"/>
      <c r="O113" s="568"/>
      <c r="P113" s="568"/>
      <c r="Q113" s="568"/>
      <c r="R113" s="568"/>
      <c r="S113" s="568"/>
      <c r="T113" s="568"/>
      <c r="U113" s="568"/>
      <c r="V113" s="568"/>
      <c r="W113" s="568"/>
      <c r="X113" s="568"/>
      <c r="Y113" s="568"/>
      <c r="Z113" s="568"/>
      <c r="AA113" s="568"/>
      <c r="AB113" s="568"/>
      <c r="AC113" s="568"/>
      <c r="AD113" s="568"/>
      <c r="AE113" s="568"/>
      <c r="AF113" s="568"/>
      <c r="AG113" s="568"/>
      <c r="AH113" s="568"/>
      <c r="AI113" s="568"/>
      <c r="AJ113" s="568"/>
      <c r="AK113" s="568"/>
      <c r="AL113" s="568"/>
      <c r="AM113" s="571" t="str">
        <f>LISTAS!D89</f>
        <v/>
      </c>
      <c r="AN113" s="571"/>
      <c r="AO113" s="122"/>
      <c r="AP113" s="118"/>
    </row>
    <row r="114" spans="2:42" ht="25.5" customHeight="1" x14ac:dyDescent="0.2">
      <c r="B114" s="117"/>
      <c r="C114" s="568" t="s">
        <v>3766</v>
      </c>
      <c r="D114" s="568"/>
      <c r="E114" s="568"/>
      <c r="F114" s="568"/>
      <c r="G114" s="568"/>
      <c r="H114" s="568"/>
      <c r="I114" s="568"/>
      <c r="J114" s="568"/>
      <c r="K114" s="568"/>
      <c r="L114" s="568"/>
      <c r="M114" s="568"/>
      <c r="N114" s="568"/>
      <c r="O114" s="568"/>
      <c r="P114" s="568"/>
      <c r="Q114" s="568"/>
      <c r="R114" s="568"/>
      <c r="S114" s="568"/>
      <c r="T114" s="568"/>
      <c r="U114" s="568"/>
      <c r="V114" s="568"/>
      <c r="W114" s="568"/>
      <c r="X114" s="568"/>
      <c r="Y114" s="568"/>
      <c r="Z114" s="568"/>
      <c r="AA114" s="568"/>
      <c r="AB114" s="568"/>
      <c r="AC114" s="568"/>
      <c r="AD114" s="568"/>
      <c r="AE114" s="568"/>
      <c r="AF114" s="568"/>
      <c r="AG114" s="568"/>
      <c r="AH114" s="568"/>
      <c r="AI114" s="568"/>
      <c r="AJ114" s="568"/>
      <c r="AK114" s="568"/>
      <c r="AL114" s="568"/>
      <c r="AM114" s="571" t="str">
        <f>LISTAS!D90</f>
        <v/>
      </c>
      <c r="AN114" s="571"/>
      <c r="AO114" s="122"/>
      <c r="AP114" s="118"/>
    </row>
    <row r="115" spans="2:42" ht="12.75" x14ac:dyDescent="0.2">
      <c r="B115" s="117"/>
      <c r="C115" s="568" t="s">
        <v>3659</v>
      </c>
      <c r="D115" s="568"/>
      <c r="E115" s="568"/>
      <c r="F115" s="568"/>
      <c r="G115" s="568"/>
      <c r="H115" s="568"/>
      <c r="I115" s="568"/>
      <c r="J115" s="568"/>
      <c r="K115" s="568"/>
      <c r="L115" s="568"/>
      <c r="M115" s="568"/>
      <c r="N115" s="568"/>
      <c r="O115" s="568"/>
      <c r="P115" s="568"/>
      <c r="Q115" s="568"/>
      <c r="R115" s="568"/>
      <c r="S115" s="568"/>
      <c r="T115" s="568"/>
      <c r="U115" s="568"/>
      <c r="V115" s="568"/>
      <c r="W115" s="568"/>
      <c r="X115" s="568"/>
      <c r="Y115" s="568"/>
      <c r="Z115" s="568"/>
      <c r="AA115" s="568"/>
      <c r="AB115" s="568"/>
      <c r="AC115" s="568"/>
      <c r="AD115" s="568"/>
      <c r="AE115" s="568"/>
      <c r="AF115" s="568"/>
      <c r="AG115" s="568"/>
      <c r="AH115" s="568"/>
      <c r="AI115" s="568"/>
      <c r="AJ115" s="568"/>
      <c r="AK115" s="568"/>
      <c r="AL115" s="568"/>
      <c r="AM115" s="571" t="str">
        <f>LISTAS!D91</f>
        <v/>
      </c>
      <c r="AN115" s="571"/>
      <c r="AO115" s="122"/>
      <c r="AP115" s="118"/>
    </row>
    <row r="116" spans="2:42" ht="12.75" x14ac:dyDescent="0.2">
      <c r="B116" s="117"/>
      <c r="C116" s="569" t="s">
        <v>1801</v>
      </c>
      <c r="D116" s="569"/>
      <c r="E116" s="569"/>
      <c r="F116" s="569"/>
      <c r="G116" s="569"/>
      <c r="H116" s="569"/>
      <c r="I116" s="569"/>
      <c r="J116" s="569"/>
      <c r="K116" s="569"/>
      <c r="L116" s="569"/>
      <c r="M116" s="569"/>
      <c r="N116" s="569"/>
      <c r="O116" s="569"/>
      <c r="P116" s="569"/>
      <c r="Q116" s="569"/>
      <c r="R116" s="569"/>
      <c r="S116" s="569"/>
      <c r="T116" s="569"/>
      <c r="U116" s="569"/>
      <c r="V116" s="569"/>
      <c r="W116" s="569"/>
      <c r="X116" s="569"/>
      <c r="Y116" s="569"/>
      <c r="Z116" s="569"/>
      <c r="AA116" s="569"/>
      <c r="AB116" s="569"/>
      <c r="AC116" s="569"/>
      <c r="AD116" s="569"/>
      <c r="AE116" s="569"/>
      <c r="AF116" s="569"/>
      <c r="AG116" s="569"/>
      <c r="AH116" s="569"/>
      <c r="AI116" s="569"/>
      <c r="AJ116" s="569"/>
      <c r="AK116" s="569"/>
      <c r="AL116" s="569"/>
      <c r="AM116" s="122"/>
      <c r="AN116" s="122"/>
      <c r="AO116" s="122"/>
      <c r="AP116" s="118"/>
    </row>
    <row r="117" spans="2:42" ht="25.5" customHeight="1" x14ac:dyDescent="0.2">
      <c r="B117" s="117"/>
      <c r="C117" s="570" t="str">
        <f>LISTAS!D92</f>
        <v/>
      </c>
      <c r="D117" s="570"/>
      <c r="E117" s="570"/>
      <c r="F117" s="570"/>
      <c r="G117" s="570"/>
      <c r="H117" s="570"/>
      <c r="I117" s="570"/>
      <c r="J117" s="570"/>
      <c r="K117" s="570"/>
      <c r="L117" s="570"/>
      <c r="M117" s="570"/>
      <c r="N117" s="570"/>
      <c r="O117" s="570"/>
      <c r="P117" s="570"/>
      <c r="Q117" s="570"/>
      <c r="R117" s="570"/>
      <c r="S117" s="570"/>
      <c r="T117" s="570"/>
      <c r="U117" s="570"/>
      <c r="V117" s="570"/>
      <c r="W117" s="570"/>
      <c r="X117" s="570"/>
      <c r="Y117" s="570"/>
      <c r="Z117" s="570"/>
      <c r="AA117" s="570"/>
      <c r="AB117" s="570"/>
      <c r="AC117" s="570"/>
      <c r="AD117" s="570"/>
      <c r="AE117" s="570"/>
      <c r="AF117" s="570"/>
      <c r="AG117" s="570"/>
      <c r="AH117" s="570"/>
      <c r="AI117" s="570"/>
      <c r="AJ117" s="570"/>
      <c r="AK117" s="570"/>
      <c r="AL117" s="570"/>
      <c r="AM117" s="124"/>
      <c r="AN117" s="124"/>
      <c r="AO117" s="122"/>
      <c r="AP117" s="118"/>
    </row>
    <row r="118" spans="2:42" ht="12.75" x14ac:dyDescent="0.2">
      <c r="B118" s="117"/>
      <c r="C118" s="569"/>
      <c r="D118" s="569"/>
      <c r="E118" s="569"/>
      <c r="F118" s="569"/>
      <c r="G118" s="569"/>
      <c r="H118" s="569"/>
      <c r="I118" s="569"/>
      <c r="J118" s="569"/>
      <c r="K118" s="569"/>
      <c r="L118" s="569"/>
      <c r="M118" s="569"/>
      <c r="N118" s="569"/>
      <c r="O118" s="569"/>
      <c r="P118" s="569"/>
      <c r="Q118" s="569"/>
      <c r="R118" s="569"/>
      <c r="S118" s="569"/>
      <c r="T118" s="569"/>
      <c r="U118" s="569"/>
      <c r="V118" s="569"/>
      <c r="W118" s="569"/>
      <c r="X118" s="569"/>
      <c r="Y118" s="569"/>
      <c r="Z118" s="569"/>
      <c r="AA118" s="569"/>
      <c r="AB118" s="569"/>
      <c r="AC118" s="569"/>
      <c r="AD118" s="569"/>
      <c r="AE118" s="569"/>
      <c r="AF118" s="569"/>
      <c r="AG118" s="569"/>
      <c r="AH118" s="569"/>
      <c r="AI118" s="569"/>
      <c r="AJ118" s="569"/>
      <c r="AK118" s="569"/>
      <c r="AL118" s="569"/>
      <c r="AM118" s="124"/>
      <c r="AN118" s="124"/>
      <c r="AO118" s="122"/>
      <c r="AP118" s="118"/>
    </row>
    <row r="119" spans="2:42" ht="25.5" customHeight="1" x14ac:dyDescent="0.2">
      <c r="B119" s="117"/>
      <c r="C119" s="568" t="s">
        <v>3733</v>
      </c>
      <c r="D119" s="568"/>
      <c r="E119" s="568"/>
      <c r="F119" s="568"/>
      <c r="G119" s="568"/>
      <c r="H119" s="568"/>
      <c r="I119" s="568"/>
      <c r="J119" s="568"/>
      <c r="K119" s="568"/>
      <c r="L119" s="568"/>
      <c r="M119" s="568"/>
      <c r="N119" s="568"/>
      <c r="O119" s="568"/>
      <c r="P119" s="568"/>
      <c r="Q119" s="568"/>
      <c r="R119" s="568"/>
      <c r="S119" s="568"/>
      <c r="T119" s="568"/>
      <c r="U119" s="568"/>
      <c r="V119" s="568"/>
      <c r="W119" s="568"/>
      <c r="X119" s="568"/>
      <c r="Y119" s="568"/>
      <c r="Z119" s="568"/>
      <c r="AA119" s="568"/>
      <c r="AB119" s="568"/>
      <c r="AC119" s="568"/>
      <c r="AD119" s="568"/>
      <c r="AE119" s="568"/>
      <c r="AF119" s="568"/>
      <c r="AG119" s="568"/>
      <c r="AH119" s="568"/>
      <c r="AI119" s="568"/>
      <c r="AJ119" s="568"/>
      <c r="AK119" s="568"/>
      <c r="AL119" s="568"/>
      <c r="AM119" s="124"/>
      <c r="AN119" s="124"/>
      <c r="AO119" s="122"/>
      <c r="AP119" s="118"/>
    </row>
    <row r="120" spans="2:42" ht="25.5" customHeight="1" x14ac:dyDescent="0.2">
      <c r="B120" s="117"/>
      <c r="C120" s="568" t="s">
        <v>3767</v>
      </c>
      <c r="D120" s="568"/>
      <c r="E120" s="568"/>
      <c r="F120" s="568"/>
      <c r="G120" s="568"/>
      <c r="H120" s="568"/>
      <c r="I120" s="568"/>
      <c r="J120" s="568"/>
      <c r="K120" s="568"/>
      <c r="L120" s="568"/>
      <c r="M120" s="568"/>
      <c r="N120" s="568"/>
      <c r="O120" s="568"/>
      <c r="P120" s="568"/>
      <c r="Q120" s="568"/>
      <c r="R120" s="568"/>
      <c r="S120" s="568"/>
      <c r="T120" s="568"/>
      <c r="U120" s="568"/>
      <c r="V120" s="568"/>
      <c r="W120" s="568"/>
      <c r="X120" s="568"/>
      <c r="Y120" s="568"/>
      <c r="Z120" s="568"/>
      <c r="AA120" s="568"/>
      <c r="AB120" s="568"/>
      <c r="AC120" s="568"/>
      <c r="AD120" s="568"/>
      <c r="AE120" s="568"/>
      <c r="AF120" s="568"/>
      <c r="AG120" s="568"/>
      <c r="AH120" s="568"/>
      <c r="AI120" s="568"/>
      <c r="AJ120" s="568"/>
      <c r="AK120" s="568"/>
      <c r="AL120" s="568"/>
      <c r="AM120" s="571" t="str">
        <f>LISTAS!D93</f>
        <v/>
      </c>
      <c r="AN120" s="571"/>
      <c r="AO120" s="122"/>
      <c r="AP120" s="118"/>
    </row>
    <row r="121" spans="2:42" ht="37.5" customHeight="1" x14ac:dyDescent="0.2">
      <c r="B121" s="117"/>
      <c r="C121" s="568" t="s">
        <v>3768</v>
      </c>
      <c r="D121" s="568"/>
      <c r="E121" s="568"/>
      <c r="F121" s="568"/>
      <c r="G121" s="568"/>
      <c r="H121" s="568"/>
      <c r="I121" s="568"/>
      <c r="J121" s="568"/>
      <c r="K121" s="568"/>
      <c r="L121" s="568"/>
      <c r="M121" s="568"/>
      <c r="N121" s="568"/>
      <c r="O121" s="568"/>
      <c r="P121" s="568"/>
      <c r="Q121" s="568"/>
      <c r="R121" s="568"/>
      <c r="S121" s="568"/>
      <c r="T121" s="568"/>
      <c r="U121" s="568"/>
      <c r="V121" s="568"/>
      <c r="W121" s="568"/>
      <c r="X121" s="568"/>
      <c r="Y121" s="568"/>
      <c r="Z121" s="568"/>
      <c r="AA121" s="568"/>
      <c r="AB121" s="568"/>
      <c r="AC121" s="568"/>
      <c r="AD121" s="568"/>
      <c r="AE121" s="568"/>
      <c r="AF121" s="568"/>
      <c r="AG121" s="568"/>
      <c r="AH121" s="568"/>
      <c r="AI121" s="568"/>
      <c r="AJ121" s="568"/>
      <c r="AK121" s="568"/>
      <c r="AL121" s="568"/>
      <c r="AM121" s="571" t="str">
        <f>LISTAS!D94</f>
        <v/>
      </c>
      <c r="AN121" s="571"/>
      <c r="AO121" s="122"/>
      <c r="AP121" s="118"/>
    </row>
    <row r="122" spans="2:42" ht="37.5" customHeight="1" x14ac:dyDescent="0.2">
      <c r="B122" s="117"/>
      <c r="C122" s="568" t="s">
        <v>3817</v>
      </c>
      <c r="D122" s="568"/>
      <c r="E122" s="568"/>
      <c r="F122" s="568"/>
      <c r="G122" s="568"/>
      <c r="H122" s="568"/>
      <c r="I122" s="568"/>
      <c r="J122" s="568"/>
      <c r="K122" s="568"/>
      <c r="L122" s="568"/>
      <c r="M122" s="568"/>
      <c r="N122" s="568"/>
      <c r="O122" s="568"/>
      <c r="P122" s="568"/>
      <c r="Q122" s="568"/>
      <c r="R122" s="568"/>
      <c r="S122" s="568"/>
      <c r="T122" s="568"/>
      <c r="U122" s="568"/>
      <c r="V122" s="568"/>
      <c r="W122" s="568"/>
      <c r="X122" s="568"/>
      <c r="Y122" s="568"/>
      <c r="Z122" s="568"/>
      <c r="AA122" s="568"/>
      <c r="AB122" s="568"/>
      <c r="AC122" s="568"/>
      <c r="AD122" s="568"/>
      <c r="AE122" s="568"/>
      <c r="AF122" s="568"/>
      <c r="AG122" s="568"/>
      <c r="AH122" s="568"/>
      <c r="AI122" s="568"/>
      <c r="AJ122" s="568"/>
      <c r="AK122" s="568"/>
      <c r="AL122" s="568"/>
      <c r="AM122" s="571" t="str">
        <f>LISTAS!D95</f>
        <v/>
      </c>
      <c r="AN122" s="571"/>
      <c r="AO122" s="122"/>
      <c r="AP122" s="118"/>
    </row>
    <row r="123" spans="2:42" ht="37.5" customHeight="1" x14ac:dyDescent="0.2">
      <c r="B123" s="117"/>
      <c r="C123" s="568" t="s">
        <v>3660</v>
      </c>
      <c r="D123" s="568"/>
      <c r="E123" s="568"/>
      <c r="F123" s="568"/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568"/>
      <c r="AE123" s="568"/>
      <c r="AF123" s="568"/>
      <c r="AG123" s="568"/>
      <c r="AH123" s="568"/>
      <c r="AI123" s="568"/>
      <c r="AJ123" s="568"/>
      <c r="AK123" s="568"/>
      <c r="AL123" s="568"/>
      <c r="AM123" s="571" t="str">
        <f>LISTAS!D96</f>
        <v/>
      </c>
      <c r="AN123" s="571"/>
      <c r="AO123" s="122"/>
      <c r="AP123" s="118"/>
    </row>
    <row r="124" spans="2:42" ht="12.75" x14ac:dyDescent="0.2">
      <c r="B124" s="117"/>
      <c r="C124" s="569" t="s">
        <v>1801</v>
      </c>
      <c r="D124" s="569"/>
      <c r="E124" s="569"/>
      <c r="F124" s="569"/>
      <c r="G124" s="569"/>
      <c r="H124" s="569"/>
      <c r="I124" s="569"/>
      <c r="J124" s="569"/>
      <c r="K124" s="569"/>
      <c r="L124" s="569"/>
      <c r="M124" s="569"/>
      <c r="N124" s="569"/>
      <c r="O124" s="569"/>
      <c r="P124" s="569"/>
      <c r="Q124" s="569"/>
      <c r="R124" s="569"/>
      <c r="S124" s="569"/>
      <c r="T124" s="569"/>
      <c r="U124" s="569"/>
      <c r="V124" s="569"/>
      <c r="W124" s="569"/>
      <c r="X124" s="569"/>
      <c r="Y124" s="569"/>
      <c r="Z124" s="569"/>
      <c r="AA124" s="569"/>
      <c r="AB124" s="569"/>
      <c r="AC124" s="569"/>
      <c r="AD124" s="569"/>
      <c r="AE124" s="569"/>
      <c r="AF124" s="569"/>
      <c r="AG124" s="569"/>
      <c r="AH124" s="569"/>
      <c r="AI124" s="569"/>
      <c r="AJ124" s="569"/>
      <c r="AK124" s="569"/>
      <c r="AL124" s="569"/>
      <c r="AM124" s="122"/>
      <c r="AN124" s="122"/>
      <c r="AO124" s="122"/>
      <c r="AP124" s="118"/>
    </row>
    <row r="125" spans="2:42" ht="25.5" customHeight="1" x14ac:dyDescent="0.2">
      <c r="B125" s="117"/>
      <c r="C125" s="570" t="str">
        <f>LISTAS!D97</f>
        <v/>
      </c>
      <c r="D125" s="570"/>
      <c r="E125" s="570"/>
      <c r="F125" s="570"/>
      <c r="G125" s="570"/>
      <c r="H125" s="570"/>
      <c r="I125" s="570"/>
      <c r="J125" s="570"/>
      <c r="K125" s="570"/>
      <c r="L125" s="570"/>
      <c r="M125" s="570"/>
      <c r="N125" s="570"/>
      <c r="O125" s="570"/>
      <c r="P125" s="570"/>
      <c r="Q125" s="570"/>
      <c r="R125" s="570"/>
      <c r="S125" s="570"/>
      <c r="T125" s="570"/>
      <c r="U125" s="570"/>
      <c r="V125" s="570"/>
      <c r="W125" s="570"/>
      <c r="X125" s="570"/>
      <c r="Y125" s="570"/>
      <c r="Z125" s="570"/>
      <c r="AA125" s="570"/>
      <c r="AB125" s="570"/>
      <c r="AC125" s="570"/>
      <c r="AD125" s="570"/>
      <c r="AE125" s="570"/>
      <c r="AF125" s="570"/>
      <c r="AG125" s="570"/>
      <c r="AH125" s="570"/>
      <c r="AI125" s="570"/>
      <c r="AJ125" s="570"/>
      <c r="AK125" s="570"/>
      <c r="AL125" s="570"/>
      <c r="AM125" s="124"/>
      <c r="AN125" s="124"/>
      <c r="AO125" s="122"/>
      <c r="AP125" s="118"/>
    </row>
    <row r="126" spans="2:42" ht="12.75" x14ac:dyDescent="0.2">
      <c r="B126" s="117"/>
      <c r="C126" s="569"/>
      <c r="D126" s="569"/>
      <c r="E126" s="569"/>
      <c r="F126" s="569"/>
      <c r="G126" s="569"/>
      <c r="H126" s="569"/>
      <c r="I126" s="569"/>
      <c r="J126" s="569"/>
      <c r="K126" s="569"/>
      <c r="L126" s="569"/>
      <c r="M126" s="569"/>
      <c r="N126" s="569"/>
      <c r="O126" s="569"/>
      <c r="P126" s="569"/>
      <c r="Q126" s="569"/>
      <c r="R126" s="569"/>
      <c r="S126" s="569"/>
      <c r="T126" s="569"/>
      <c r="U126" s="569"/>
      <c r="V126" s="569"/>
      <c r="W126" s="569"/>
      <c r="X126" s="569"/>
      <c r="Y126" s="569"/>
      <c r="Z126" s="569"/>
      <c r="AA126" s="569"/>
      <c r="AB126" s="569"/>
      <c r="AC126" s="569"/>
      <c r="AD126" s="569"/>
      <c r="AE126" s="569"/>
      <c r="AF126" s="569"/>
      <c r="AG126" s="569"/>
      <c r="AH126" s="569"/>
      <c r="AI126" s="569"/>
      <c r="AJ126" s="569"/>
      <c r="AK126" s="569"/>
      <c r="AL126" s="569"/>
      <c r="AM126" s="124"/>
      <c r="AN126" s="124"/>
      <c r="AO126" s="122"/>
      <c r="AP126" s="118"/>
    </row>
    <row r="127" spans="2:42" ht="12.75" x14ac:dyDescent="0.2">
      <c r="B127" s="117"/>
      <c r="C127" s="568" t="s">
        <v>3827</v>
      </c>
      <c r="D127" s="568"/>
      <c r="E127" s="568"/>
      <c r="F127" s="568"/>
      <c r="G127" s="568"/>
      <c r="H127" s="568"/>
      <c r="I127" s="568"/>
      <c r="J127" s="568"/>
      <c r="K127" s="568"/>
      <c r="L127" s="568"/>
      <c r="M127" s="568"/>
      <c r="N127" s="568"/>
      <c r="O127" s="568"/>
      <c r="P127" s="568"/>
      <c r="Q127" s="568"/>
      <c r="R127" s="568"/>
      <c r="S127" s="568"/>
      <c r="T127" s="568"/>
      <c r="U127" s="568"/>
      <c r="V127" s="568"/>
      <c r="W127" s="568"/>
      <c r="X127" s="568"/>
      <c r="Y127" s="568"/>
      <c r="Z127" s="568"/>
      <c r="AA127" s="568"/>
      <c r="AB127" s="568"/>
      <c r="AC127" s="568"/>
      <c r="AD127" s="568"/>
      <c r="AE127" s="568"/>
      <c r="AF127" s="568"/>
      <c r="AG127" s="568"/>
      <c r="AH127" s="568"/>
      <c r="AI127" s="568"/>
      <c r="AJ127" s="568"/>
      <c r="AK127" s="568"/>
      <c r="AL127" s="568"/>
      <c r="AM127" s="124"/>
      <c r="AN127" s="124"/>
      <c r="AO127" s="122"/>
      <c r="AP127" s="118"/>
    </row>
    <row r="128" spans="2:42" ht="37.5" customHeight="1" x14ac:dyDescent="0.2">
      <c r="B128" s="117"/>
      <c r="C128" s="568" t="s">
        <v>3769</v>
      </c>
      <c r="D128" s="568"/>
      <c r="E128" s="568"/>
      <c r="F128" s="568"/>
      <c r="G128" s="568"/>
      <c r="H128" s="568"/>
      <c r="I128" s="568"/>
      <c r="J128" s="568"/>
      <c r="K128" s="568"/>
      <c r="L128" s="568"/>
      <c r="M128" s="568"/>
      <c r="N128" s="568"/>
      <c r="O128" s="568"/>
      <c r="P128" s="568"/>
      <c r="Q128" s="568"/>
      <c r="R128" s="568"/>
      <c r="S128" s="568"/>
      <c r="T128" s="568"/>
      <c r="U128" s="568"/>
      <c r="V128" s="568"/>
      <c r="W128" s="568"/>
      <c r="X128" s="568"/>
      <c r="Y128" s="568"/>
      <c r="Z128" s="568"/>
      <c r="AA128" s="568"/>
      <c r="AB128" s="568"/>
      <c r="AC128" s="568"/>
      <c r="AD128" s="568"/>
      <c r="AE128" s="568"/>
      <c r="AF128" s="568"/>
      <c r="AG128" s="568"/>
      <c r="AH128" s="568"/>
      <c r="AI128" s="568"/>
      <c r="AJ128" s="568"/>
      <c r="AK128" s="568"/>
      <c r="AL128" s="568"/>
      <c r="AM128" s="571" t="str">
        <f>LISTAS!D98</f>
        <v/>
      </c>
      <c r="AN128" s="571"/>
      <c r="AO128" s="122"/>
      <c r="AP128" s="118"/>
    </row>
    <row r="129" spans="2:42" ht="12.75" x14ac:dyDescent="0.2">
      <c r="B129" s="117"/>
      <c r="C129" s="568" t="s">
        <v>3770</v>
      </c>
      <c r="D129" s="568"/>
      <c r="E129" s="568"/>
      <c r="F129" s="568"/>
      <c r="G129" s="568"/>
      <c r="H129" s="568"/>
      <c r="I129" s="568"/>
      <c r="J129" s="568"/>
      <c r="K129" s="568"/>
      <c r="L129" s="568"/>
      <c r="M129" s="568"/>
      <c r="N129" s="568"/>
      <c r="O129" s="568"/>
      <c r="P129" s="568"/>
      <c r="Q129" s="568"/>
      <c r="R129" s="568"/>
      <c r="S129" s="568"/>
      <c r="T129" s="568"/>
      <c r="U129" s="568"/>
      <c r="V129" s="568"/>
      <c r="W129" s="568"/>
      <c r="X129" s="568"/>
      <c r="Y129" s="568"/>
      <c r="Z129" s="568"/>
      <c r="AA129" s="568"/>
      <c r="AB129" s="568"/>
      <c r="AC129" s="568"/>
      <c r="AD129" s="568"/>
      <c r="AE129" s="568"/>
      <c r="AF129" s="568"/>
      <c r="AG129" s="568"/>
      <c r="AH129" s="568"/>
      <c r="AI129" s="568"/>
      <c r="AJ129" s="568"/>
      <c r="AK129" s="568"/>
      <c r="AL129" s="568"/>
      <c r="AM129" s="571" t="str">
        <f>LISTAS!D99</f>
        <v/>
      </c>
      <c r="AN129" s="571"/>
      <c r="AO129" s="122"/>
      <c r="AP129" s="118"/>
    </row>
    <row r="130" spans="2:42" ht="37.5" customHeight="1" x14ac:dyDescent="0.2">
      <c r="B130" s="117"/>
      <c r="C130" s="568" t="s">
        <v>3771</v>
      </c>
      <c r="D130" s="568"/>
      <c r="E130" s="568"/>
      <c r="F130" s="568"/>
      <c r="G130" s="568"/>
      <c r="H130" s="568"/>
      <c r="I130" s="568"/>
      <c r="J130" s="568"/>
      <c r="K130" s="568"/>
      <c r="L130" s="568"/>
      <c r="M130" s="568"/>
      <c r="N130" s="568"/>
      <c r="O130" s="568"/>
      <c r="P130" s="568"/>
      <c r="Q130" s="568"/>
      <c r="R130" s="568"/>
      <c r="S130" s="568"/>
      <c r="T130" s="568"/>
      <c r="U130" s="568"/>
      <c r="V130" s="568"/>
      <c r="W130" s="568"/>
      <c r="X130" s="568"/>
      <c r="Y130" s="568"/>
      <c r="Z130" s="568"/>
      <c r="AA130" s="568"/>
      <c r="AB130" s="568"/>
      <c r="AC130" s="568"/>
      <c r="AD130" s="568"/>
      <c r="AE130" s="568"/>
      <c r="AF130" s="568"/>
      <c r="AG130" s="568"/>
      <c r="AH130" s="568"/>
      <c r="AI130" s="568"/>
      <c r="AJ130" s="568"/>
      <c r="AK130" s="568"/>
      <c r="AL130" s="568"/>
      <c r="AM130" s="571" t="str">
        <f>LISTAS!D100</f>
        <v/>
      </c>
      <c r="AN130" s="571"/>
      <c r="AO130" s="122"/>
      <c r="AP130" s="118"/>
    </row>
    <row r="131" spans="2:42" ht="25.5" customHeight="1" x14ac:dyDescent="0.2">
      <c r="B131" s="117"/>
      <c r="C131" s="568" t="s">
        <v>3662</v>
      </c>
      <c r="D131" s="568"/>
      <c r="E131" s="568"/>
      <c r="F131" s="568"/>
      <c r="G131" s="568"/>
      <c r="H131" s="568"/>
      <c r="I131" s="568"/>
      <c r="J131" s="568"/>
      <c r="K131" s="568"/>
      <c r="L131" s="568"/>
      <c r="M131" s="568"/>
      <c r="N131" s="568"/>
      <c r="O131" s="568"/>
      <c r="P131" s="568"/>
      <c r="Q131" s="568"/>
      <c r="R131" s="568"/>
      <c r="S131" s="568"/>
      <c r="T131" s="568"/>
      <c r="U131" s="568"/>
      <c r="V131" s="568"/>
      <c r="W131" s="568"/>
      <c r="X131" s="568"/>
      <c r="Y131" s="568"/>
      <c r="Z131" s="568"/>
      <c r="AA131" s="568"/>
      <c r="AB131" s="568"/>
      <c r="AC131" s="568"/>
      <c r="AD131" s="568"/>
      <c r="AE131" s="568"/>
      <c r="AF131" s="568"/>
      <c r="AG131" s="568"/>
      <c r="AH131" s="568"/>
      <c r="AI131" s="568"/>
      <c r="AJ131" s="568"/>
      <c r="AK131" s="568"/>
      <c r="AL131" s="568"/>
      <c r="AM131" s="571" t="str">
        <f>LISTAS!D101</f>
        <v/>
      </c>
      <c r="AN131" s="571"/>
      <c r="AO131" s="122"/>
      <c r="AP131" s="118"/>
    </row>
    <row r="132" spans="2:42" ht="12.75" x14ac:dyDescent="0.2">
      <c r="B132" s="117"/>
      <c r="C132" s="569" t="s">
        <v>1801</v>
      </c>
      <c r="D132" s="569"/>
      <c r="E132" s="569"/>
      <c r="F132" s="569"/>
      <c r="G132" s="569"/>
      <c r="H132" s="569"/>
      <c r="I132" s="569"/>
      <c r="J132" s="569"/>
      <c r="K132" s="569"/>
      <c r="L132" s="569"/>
      <c r="M132" s="569"/>
      <c r="N132" s="569"/>
      <c r="O132" s="569"/>
      <c r="P132" s="569"/>
      <c r="Q132" s="569"/>
      <c r="R132" s="569"/>
      <c r="S132" s="569"/>
      <c r="T132" s="569"/>
      <c r="U132" s="569"/>
      <c r="V132" s="569"/>
      <c r="W132" s="569"/>
      <c r="X132" s="569"/>
      <c r="Y132" s="569"/>
      <c r="Z132" s="569"/>
      <c r="AA132" s="569"/>
      <c r="AB132" s="569"/>
      <c r="AC132" s="569"/>
      <c r="AD132" s="569"/>
      <c r="AE132" s="569"/>
      <c r="AF132" s="569"/>
      <c r="AG132" s="569"/>
      <c r="AH132" s="569"/>
      <c r="AI132" s="569"/>
      <c r="AJ132" s="569"/>
      <c r="AK132" s="569"/>
      <c r="AL132" s="569"/>
      <c r="AM132" s="122"/>
      <c r="AN132" s="122"/>
      <c r="AO132" s="122"/>
      <c r="AP132" s="118"/>
    </row>
    <row r="133" spans="2:42" ht="25.5" customHeight="1" x14ac:dyDescent="0.2">
      <c r="B133" s="117"/>
      <c r="C133" s="570" t="str">
        <f>LISTAS!D102</f>
        <v/>
      </c>
      <c r="D133" s="570"/>
      <c r="E133" s="570"/>
      <c r="F133" s="570"/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570"/>
      <c r="AE133" s="570"/>
      <c r="AF133" s="570"/>
      <c r="AG133" s="570"/>
      <c r="AH133" s="570"/>
      <c r="AI133" s="570"/>
      <c r="AJ133" s="570"/>
      <c r="AK133" s="570"/>
      <c r="AL133" s="570"/>
      <c r="AM133" s="124"/>
      <c r="AN133" s="124"/>
      <c r="AO133" s="122"/>
      <c r="AP133" s="118"/>
    </row>
    <row r="134" spans="2:42" ht="12.75" x14ac:dyDescent="0.2">
      <c r="B134" s="117"/>
      <c r="C134" s="569"/>
      <c r="D134" s="569"/>
      <c r="E134" s="569"/>
      <c r="F134" s="569"/>
      <c r="G134" s="569"/>
      <c r="H134" s="569"/>
      <c r="I134" s="569"/>
      <c r="J134" s="569"/>
      <c r="K134" s="569"/>
      <c r="L134" s="569"/>
      <c r="M134" s="569"/>
      <c r="N134" s="569"/>
      <c r="O134" s="569"/>
      <c r="P134" s="569"/>
      <c r="Q134" s="569"/>
      <c r="R134" s="569"/>
      <c r="S134" s="569"/>
      <c r="T134" s="569"/>
      <c r="U134" s="569"/>
      <c r="V134" s="569"/>
      <c r="W134" s="569"/>
      <c r="X134" s="569"/>
      <c r="Y134" s="569"/>
      <c r="Z134" s="569"/>
      <c r="AA134" s="569"/>
      <c r="AB134" s="569"/>
      <c r="AC134" s="569"/>
      <c r="AD134" s="569"/>
      <c r="AE134" s="569"/>
      <c r="AF134" s="569"/>
      <c r="AG134" s="569"/>
      <c r="AH134" s="569"/>
      <c r="AI134" s="569"/>
      <c r="AJ134" s="569"/>
      <c r="AK134" s="569"/>
      <c r="AL134" s="569"/>
      <c r="AM134" s="124"/>
      <c r="AN134" s="124"/>
      <c r="AO134" s="122"/>
      <c r="AP134" s="118"/>
    </row>
    <row r="135" spans="2:42" ht="12.75" x14ac:dyDescent="0.2">
      <c r="B135" s="117">
        <v>5</v>
      </c>
      <c r="C135" s="568" t="s">
        <v>3663</v>
      </c>
      <c r="D135" s="568"/>
      <c r="E135" s="568"/>
      <c r="F135" s="568"/>
      <c r="G135" s="568"/>
      <c r="H135" s="568"/>
      <c r="I135" s="568"/>
      <c r="J135" s="568"/>
      <c r="K135" s="568"/>
      <c r="L135" s="568"/>
      <c r="M135" s="568"/>
      <c r="N135" s="568"/>
      <c r="O135" s="568"/>
      <c r="P135" s="568"/>
      <c r="Q135" s="568"/>
      <c r="R135" s="568"/>
      <c r="S135" s="568"/>
      <c r="T135" s="568"/>
      <c r="U135" s="568"/>
      <c r="V135" s="568"/>
      <c r="W135" s="568"/>
      <c r="X135" s="568"/>
      <c r="Y135" s="568"/>
      <c r="Z135" s="568"/>
      <c r="AA135" s="568"/>
      <c r="AB135" s="568"/>
      <c r="AC135" s="568"/>
      <c r="AD135" s="568"/>
      <c r="AE135" s="568"/>
      <c r="AF135" s="568"/>
      <c r="AG135" s="568"/>
      <c r="AH135" s="568"/>
      <c r="AI135" s="568"/>
      <c r="AJ135" s="568"/>
      <c r="AK135" s="568"/>
      <c r="AL135" s="568"/>
      <c r="AM135" s="124"/>
      <c r="AN135" s="124"/>
      <c r="AO135" s="122"/>
      <c r="AP135" s="118"/>
    </row>
    <row r="136" spans="2:42" ht="12.75" x14ac:dyDescent="0.2">
      <c r="B136" s="117"/>
      <c r="C136" s="568" t="s">
        <v>3734</v>
      </c>
      <c r="D136" s="568"/>
      <c r="E136" s="568"/>
      <c r="F136" s="568"/>
      <c r="G136" s="568"/>
      <c r="H136" s="568"/>
      <c r="I136" s="568"/>
      <c r="J136" s="568"/>
      <c r="K136" s="568"/>
      <c r="L136" s="568"/>
      <c r="M136" s="568"/>
      <c r="N136" s="568"/>
      <c r="O136" s="568"/>
      <c r="P136" s="568"/>
      <c r="Q136" s="568"/>
      <c r="R136" s="568"/>
      <c r="S136" s="568"/>
      <c r="T136" s="568"/>
      <c r="U136" s="568"/>
      <c r="V136" s="568"/>
      <c r="W136" s="568"/>
      <c r="X136" s="568"/>
      <c r="Y136" s="568"/>
      <c r="Z136" s="568"/>
      <c r="AA136" s="568"/>
      <c r="AB136" s="568"/>
      <c r="AC136" s="568"/>
      <c r="AD136" s="568"/>
      <c r="AE136" s="568"/>
      <c r="AF136" s="568"/>
      <c r="AG136" s="568"/>
      <c r="AH136" s="568"/>
      <c r="AI136" s="568"/>
      <c r="AJ136" s="568"/>
      <c r="AK136" s="568"/>
      <c r="AL136" s="568"/>
      <c r="AM136" s="124"/>
      <c r="AN136" s="124"/>
      <c r="AO136" s="122"/>
      <c r="AP136" s="118"/>
    </row>
    <row r="137" spans="2:42" ht="12.75" x14ac:dyDescent="0.2">
      <c r="B137" s="117"/>
      <c r="C137" s="568" t="s">
        <v>3772</v>
      </c>
      <c r="D137" s="568"/>
      <c r="E137" s="568"/>
      <c r="F137" s="568"/>
      <c r="G137" s="568"/>
      <c r="H137" s="568"/>
      <c r="I137" s="568"/>
      <c r="J137" s="568"/>
      <c r="K137" s="568"/>
      <c r="L137" s="568"/>
      <c r="M137" s="568"/>
      <c r="N137" s="568"/>
      <c r="O137" s="568"/>
      <c r="P137" s="568"/>
      <c r="Q137" s="568"/>
      <c r="R137" s="568"/>
      <c r="S137" s="568"/>
      <c r="T137" s="568"/>
      <c r="U137" s="568"/>
      <c r="V137" s="568"/>
      <c r="W137" s="568"/>
      <c r="X137" s="568"/>
      <c r="Y137" s="568"/>
      <c r="Z137" s="568"/>
      <c r="AA137" s="568"/>
      <c r="AB137" s="568"/>
      <c r="AC137" s="568"/>
      <c r="AD137" s="568"/>
      <c r="AE137" s="568"/>
      <c r="AF137" s="568"/>
      <c r="AG137" s="568"/>
      <c r="AH137" s="568"/>
      <c r="AI137" s="568"/>
      <c r="AJ137" s="568"/>
      <c r="AK137" s="568"/>
      <c r="AL137" s="568"/>
      <c r="AM137" s="571" t="str">
        <f>LISTAS!D104</f>
        <v/>
      </c>
      <c r="AN137" s="571"/>
      <c r="AO137" s="122"/>
      <c r="AP137" s="118"/>
    </row>
    <row r="138" spans="2:42" ht="12.75" x14ac:dyDescent="0.2">
      <c r="B138" s="117"/>
      <c r="C138" s="568" t="s">
        <v>3773</v>
      </c>
      <c r="D138" s="568"/>
      <c r="E138" s="568"/>
      <c r="F138" s="568"/>
      <c r="G138" s="568"/>
      <c r="H138" s="568"/>
      <c r="I138" s="568"/>
      <c r="J138" s="568"/>
      <c r="K138" s="568"/>
      <c r="L138" s="568"/>
      <c r="M138" s="568"/>
      <c r="N138" s="568"/>
      <c r="O138" s="568"/>
      <c r="P138" s="568"/>
      <c r="Q138" s="568"/>
      <c r="R138" s="568"/>
      <c r="S138" s="568"/>
      <c r="T138" s="568"/>
      <c r="U138" s="568"/>
      <c r="V138" s="568"/>
      <c r="W138" s="568"/>
      <c r="X138" s="568"/>
      <c r="Y138" s="568"/>
      <c r="Z138" s="568"/>
      <c r="AA138" s="568"/>
      <c r="AB138" s="568"/>
      <c r="AC138" s="568"/>
      <c r="AD138" s="568"/>
      <c r="AE138" s="568"/>
      <c r="AF138" s="568"/>
      <c r="AG138" s="568"/>
      <c r="AH138" s="568"/>
      <c r="AI138" s="568"/>
      <c r="AJ138" s="568"/>
      <c r="AK138" s="568"/>
      <c r="AL138" s="568"/>
      <c r="AM138" s="571" t="str">
        <f>LISTAS!D105</f>
        <v/>
      </c>
      <c r="AN138" s="571"/>
      <c r="AO138" s="122"/>
      <c r="AP138" s="118"/>
    </row>
    <row r="139" spans="2:42" ht="25.5" customHeight="1" x14ac:dyDescent="0.2">
      <c r="B139" s="117"/>
      <c r="C139" s="568" t="s">
        <v>3774</v>
      </c>
      <c r="D139" s="568"/>
      <c r="E139" s="568"/>
      <c r="F139" s="568"/>
      <c r="G139" s="568"/>
      <c r="H139" s="568"/>
      <c r="I139" s="568"/>
      <c r="J139" s="568"/>
      <c r="K139" s="568"/>
      <c r="L139" s="568"/>
      <c r="M139" s="568"/>
      <c r="N139" s="568"/>
      <c r="O139" s="568"/>
      <c r="P139" s="568"/>
      <c r="Q139" s="568"/>
      <c r="R139" s="568"/>
      <c r="S139" s="568"/>
      <c r="T139" s="568"/>
      <c r="U139" s="568"/>
      <c r="V139" s="568"/>
      <c r="W139" s="568"/>
      <c r="X139" s="568"/>
      <c r="Y139" s="568"/>
      <c r="Z139" s="568"/>
      <c r="AA139" s="568"/>
      <c r="AB139" s="568"/>
      <c r="AC139" s="568"/>
      <c r="AD139" s="568"/>
      <c r="AE139" s="568"/>
      <c r="AF139" s="568"/>
      <c r="AG139" s="568"/>
      <c r="AH139" s="568"/>
      <c r="AI139" s="568"/>
      <c r="AJ139" s="568"/>
      <c r="AK139" s="568"/>
      <c r="AL139" s="568"/>
      <c r="AM139" s="571" t="str">
        <f>LISTAS!D106</f>
        <v/>
      </c>
      <c r="AN139" s="571"/>
      <c r="AO139" s="122"/>
      <c r="AP139" s="118"/>
    </row>
    <row r="140" spans="2:42" ht="25.5" customHeight="1" x14ac:dyDescent="0.2">
      <c r="B140" s="117"/>
      <c r="C140" s="568" t="s">
        <v>3775</v>
      </c>
      <c r="D140" s="568"/>
      <c r="E140" s="568"/>
      <c r="F140" s="568"/>
      <c r="G140" s="568"/>
      <c r="H140" s="568"/>
      <c r="I140" s="568"/>
      <c r="J140" s="568"/>
      <c r="K140" s="568"/>
      <c r="L140" s="568"/>
      <c r="M140" s="568"/>
      <c r="N140" s="568"/>
      <c r="O140" s="568"/>
      <c r="P140" s="568"/>
      <c r="Q140" s="568"/>
      <c r="R140" s="568"/>
      <c r="S140" s="568"/>
      <c r="T140" s="568"/>
      <c r="U140" s="568"/>
      <c r="V140" s="568"/>
      <c r="W140" s="568"/>
      <c r="X140" s="568"/>
      <c r="Y140" s="568"/>
      <c r="Z140" s="568"/>
      <c r="AA140" s="568"/>
      <c r="AB140" s="568"/>
      <c r="AC140" s="568"/>
      <c r="AD140" s="568"/>
      <c r="AE140" s="568"/>
      <c r="AF140" s="568"/>
      <c r="AG140" s="568"/>
      <c r="AH140" s="568"/>
      <c r="AI140" s="568"/>
      <c r="AJ140" s="568"/>
      <c r="AK140" s="568"/>
      <c r="AL140" s="568"/>
      <c r="AM140" s="571" t="str">
        <f>LISTAS!D107</f>
        <v/>
      </c>
      <c r="AN140" s="571"/>
      <c r="AO140" s="122"/>
      <c r="AP140" s="118"/>
    </row>
    <row r="141" spans="2:42" ht="12.75" x14ac:dyDescent="0.2">
      <c r="B141" s="117"/>
      <c r="C141" s="569" t="s">
        <v>1801</v>
      </c>
      <c r="D141" s="569"/>
      <c r="E141" s="569"/>
      <c r="F141" s="569"/>
      <c r="G141" s="569"/>
      <c r="H141" s="569"/>
      <c r="I141" s="569"/>
      <c r="J141" s="569"/>
      <c r="K141" s="569"/>
      <c r="L141" s="569"/>
      <c r="M141" s="569"/>
      <c r="N141" s="569"/>
      <c r="O141" s="569"/>
      <c r="P141" s="569"/>
      <c r="Q141" s="569"/>
      <c r="R141" s="569"/>
      <c r="S141" s="569"/>
      <c r="T141" s="569"/>
      <c r="U141" s="569"/>
      <c r="V141" s="569"/>
      <c r="W141" s="569"/>
      <c r="X141" s="569"/>
      <c r="Y141" s="569"/>
      <c r="Z141" s="569"/>
      <c r="AA141" s="569"/>
      <c r="AB141" s="569"/>
      <c r="AC141" s="569"/>
      <c r="AD141" s="569"/>
      <c r="AE141" s="569"/>
      <c r="AF141" s="569"/>
      <c r="AG141" s="569"/>
      <c r="AH141" s="569"/>
      <c r="AI141" s="569"/>
      <c r="AJ141" s="569"/>
      <c r="AK141" s="569"/>
      <c r="AL141" s="569"/>
      <c r="AM141" s="122"/>
      <c r="AN141" s="122"/>
      <c r="AO141" s="122"/>
      <c r="AP141" s="118"/>
    </row>
    <row r="142" spans="2:42" ht="25.5" customHeight="1" x14ac:dyDescent="0.2">
      <c r="B142" s="117"/>
      <c r="C142" s="570" t="str">
        <f>LISTAS!D108</f>
        <v/>
      </c>
      <c r="D142" s="570"/>
      <c r="E142" s="570"/>
      <c r="F142" s="570"/>
      <c r="G142" s="570"/>
      <c r="H142" s="570"/>
      <c r="I142" s="570"/>
      <c r="J142" s="570"/>
      <c r="K142" s="570"/>
      <c r="L142" s="570"/>
      <c r="M142" s="570"/>
      <c r="N142" s="570"/>
      <c r="O142" s="570"/>
      <c r="P142" s="570"/>
      <c r="Q142" s="570"/>
      <c r="R142" s="570"/>
      <c r="S142" s="570"/>
      <c r="T142" s="570"/>
      <c r="U142" s="570"/>
      <c r="V142" s="570"/>
      <c r="W142" s="570"/>
      <c r="X142" s="570"/>
      <c r="Y142" s="570"/>
      <c r="Z142" s="570"/>
      <c r="AA142" s="570"/>
      <c r="AB142" s="570"/>
      <c r="AC142" s="570"/>
      <c r="AD142" s="570"/>
      <c r="AE142" s="570"/>
      <c r="AF142" s="570"/>
      <c r="AG142" s="570"/>
      <c r="AH142" s="570"/>
      <c r="AI142" s="570"/>
      <c r="AJ142" s="570"/>
      <c r="AK142" s="570"/>
      <c r="AL142" s="570"/>
      <c r="AM142" s="124"/>
      <c r="AN142" s="124"/>
      <c r="AO142" s="122"/>
      <c r="AP142" s="118"/>
    </row>
    <row r="143" spans="2:42" ht="12.75" x14ac:dyDescent="0.2">
      <c r="B143" s="117"/>
      <c r="C143" s="568"/>
      <c r="D143" s="568"/>
      <c r="E143" s="568"/>
      <c r="F143" s="568"/>
      <c r="G143" s="568"/>
      <c r="H143" s="568"/>
      <c r="I143" s="568"/>
      <c r="J143" s="568"/>
      <c r="K143" s="568"/>
      <c r="L143" s="568"/>
      <c r="M143" s="568"/>
      <c r="N143" s="568"/>
      <c r="O143" s="568"/>
      <c r="P143" s="568"/>
      <c r="Q143" s="568"/>
      <c r="R143" s="568"/>
      <c r="S143" s="568"/>
      <c r="T143" s="568"/>
      <c r="U143" s="568"/>
      <c r="V143" s="568"/>
      <c r="W143" s="568"/>
      <c r="X143" s="568"/>
      <c r="Y143" s="568"/>
      <c r="Z143" s="568"/>
      <c r="AA143" s="568"/>
      <c r="AB143" s="568"/>
      <c r="AC143" s="568"/>
      <c r="AD143" s="568"/>
      <c r="AE143" s="568"/>
      <c r="AF143" s="568"/>
      <c r="AG143" s="568"/>
      <c r="AH143" s="568"/>
      <c r="AI143" s="568"/>
      <c r="AJ143" s="568"/>
      <c r="AK143" s="568"/>
      <c r="AL143" s="568"/>
      <c r="AM143" s="124"/>
      <c r="AN143" s="124"/>
      <c r="AO143" s="122"/>
      <c r="AP143" s="118"/>
    </row>
    <row r="144" spans="2:42" ht="12.75" x14ac:dyDescent="0.2">
      <c r="B144" s="117">
        <v>6</v>
      </c>
      <c r="C144" s="569" t="s">
        <v>3801</v>
      </c>
      <c r="D144" s="569"/>
      <c r="E144" s="569"/>
      <c r="F144" s="569"/>
      <c r="G144" s="569"/>
      <c r="H144" s="569"/>
      <c r="I144" s="569"/>
      <c r="J144" s="569"/>
      <c r="K144" s="569"/>
      <c r="L144" s="569"/>
      <c r="M144" s="569"/>
      <c r="N144" s="569"/>
      <c r="O144" s="569"/>
      <c r="P144" s="569"/>
      <c r="Q144" s="569"/>
      <c r="R144" s="569"/>
      <c r="S144" s="569"/>
      <c r="T144" s="569"/>
      <c r="U144" s="569"/>
      <c r="V144" s="569"/>
      <c r="W144" s="569"/>
      <c r="X144" s="569"/>
      <c r="Y144" s="569"/>
      <c r="Z144" s="569"/>
      <c r="AA144" s="569"/>
      <c r="AB144" s="569"/>
      <c r="AC144" s="569"/>
      <c r="AD144" s="569"/>
      <c r="AE144" s="569"/>
      <c r="AF144" s="569"/>
      <c r="AG144" s="569"/>
      <c r="AH144" s="569"/>
      <c r="AI144" s="569"/>
      <c r="AJ144" s="569"/>
      <c r="AK144" s="569"/>
      <c r="AL144" s="569"/>
      <c r="AM144" s="124"/>
      <c r="AN144" s="124"/>
      <c r="AO144" s="122"/>
      <c r="AP144" s="118"/>
    </row>
    <row r="145" spans="2:42" ht="12.75" x14ac:dyDescent="0.2">
      <c r="B145" s="117"/>
      <c r="C145" s="568" t="s">
        <v>3671</v>
      </c>
      <c r="D145" s="568"/>
      <c r="E145" s="568"/>
      <c r="F145" s="568"/>
      <c r="G145" s="568"/>
      <c r="H145" s="568"/>
      <c r="I145" s="568"/>
      <c r="J145" s="568"/>
      <c r="K145" s="568"/>
      <c r="L145" s="568"/>
      <c r="M145" s="568"/>
      <c r="N145" s="568"/>
      <c r="O145" s="568"/>
      <c r="P145" s="568"/>
      <c r="Q145" s="568"/>
      <c r="R145" s="568"/>
      <c r="S145" s="568"/>
      <c r="T145" s="568"/>
      <c r="U145" s="568"/>
      <c r="V145" s="568"/>
      <c r="W145" s="568"/>
      <c r="X145" s="568"/>
      <c r="Y145" s="568"/>
      <c r="Z145" s="568"/>
      <c r="AA145" s="568"/>
      <c r="AB145" s="568"/>
      <c r="AC145" s="568"/>
      <c r="AD145" s="568"/>
      <c r="AE145" s="568"/>
      <c r="AF145" s="568"/>
      <c r="AG145" s="568"/>
      <c r="AH145" s="568"/>
      <c r="AI145" s="568"/>
      <c r="AJ145" s="568"/>
      <c r="AK145" s="568"/>
      <c r="AL145" s="568"/>
      <c r="AM145" s="124"/>
      <c r="AN145" s="124"/>
      <c r="AO145" s="122"/>
      <c r="AP145" s="118"/>
    </row>
    <row r="146" spans="2:42" ht="12.75" x14ac:dyDescent="0.2">
      <c r="B146" s="117"/>
      <c r="C146" s="568" t="s">
        <v>3735</v>
      </c>
      <c r="D146" s="568"/>
      <c r="E146" s="568"/>
      <c r="F146" s="568"/>
      <c r="G146" s="568"/>
      <c r="H146" s="568"/>
      <c r="I146" s="568"/>
      <c r="J146" s="568"/>
      <c r="K146" s="568"/>
      <c r="L146" s="568"/>
      <c r="M146" s="568"/>
      <c r="N146" s="568"/>
      <c r="O146" s="568"/>
      <c r="P146" s="568"/>
      <c r="Q146" s="568"/>
      <c r="R146" s="568"/>
      <c r="S146" s="568"/>
      <c r="T146" s="568"/>
      <c r="U146" s="568"/>
      <c r="V146" s="568"/>
      <c r="W146" s="568"/>
      <c r="X146" s="568"/>
      <c r="Y146" s="568"/>
      <c r="Z146" s="568"/>
      <c r="AA146" s="568"/>
      <c r="AB146" s="568"/>
      <c r="AC146" s="568"/>
      <c r="AD146" s="568"/>
      <c r="AE146" s="568"/>
      <c r="AF146" s="568"/>
      <c r="AG146" s="568"/>
      <c r="AH146" s="568"/>
      <c r="AI146" s="568"/>
      <c r="AJ146" s="568"/>
      <c r="AK146" s="568"/>
      <c r="AL146" s="568"/>
      <c r="AM146" s="124"/>
      <c r="AN146" s="124"/>
      <c r="AO146" s="122"/>
      <c r="AP146" s="118"/>
    </row>
    <row r="147" spans="2:42" ht="12.75" x14ac:dyDescent="0.2">
      <c r="B147" s="117"/>
      <c r="C147" s="568" t="s">
        <v>3664</v>
      </c>
      <c r="D147" s="568"/>
      <c r="E147" s="568"/>
      <c r="F147" s="568"/>
      <c r="G147" s="568"/>
      <c r="H147" s="568"/>
      <c r="I147" s="568"/>
      <c r="J147" s="568"/>
      <c r="K147" s="568"/>
      <c r="L147" s="568"/>
      <c r="M147" s="568"/>
      <c r="N147" s="568"/>
      <c r="O147" s="568"/>
      <c r="P147" s="568"/>
      <c r="Q147" s="568"/>
      <c r="R147" s="568"/>
      <c r="S147" s="568"/>
      <c r="T147" s="568"/>
      <c r="U147" s="568"/>
      <c r="V147" s="568"/>
      <c r="W147" s="568"/>
      <c r="X147" s="568"/>
      <c r="Y147" s="568"/>
      <c r="Z147" s="568"/>
      <c r="AA147" s="568"/>
      <c r="AB147" s="568"/>
      <c r="AC147" s="568"/>
      <c r="AD147" s="568"/>
      <c r="AE147" s="568"/>
      <c r="AF147" s="568"/>
      <c r="AG147" s="568"/>
      <c r="AH147" s="568"/>
      <c r="AI147" s="568"/>
      <c r="AJ147" s="568"/>
      <c r="AK147" s="568"/>
      <c r="AL147" s="568"/>
      <c r="AM147" s="571" t="str">
        <f>LISTAS!D166</f>
        <v/>
      </c>
      <c r="AN147" s="571"/>
      <c r="AO147" s="122"/>
      <c r="AP147" s="118"/>
    </row>
    <row r="148" spans="2:42" ht="12.75" x14ac:dyDescent="0.2">
      <c r="B148" s="117"/>
      <c r="C148" s="568" t="s">
        <v>3776</v>
      </c>
      <c r="D148" s="568"/>
      <c r="E148" s="568"/>
      <c r="F148" s="568"/>
      <c r="G148" s="568"/>
      <c r="H148" s="568"/>
      <c r="I148" s="568"/>
      <c r="J148" s="568"/>
      <c r="K148" s="568"/>
      <c r="L148" s="568"/>
      <c r="M148" s="568"/>
      <c r="N148" s="568"/>
      <c r="O148" s="568"/>
      <c r="P148" s="568"/>
      <c r="Q148" s="568"/>
      <c r="R148" s="568"/>
      <c r="S148" s="568"/>
      <c r="T148" s="568"/>
      <c r="U148" s="568"/>
      <c r="V148" s="568"/>
      <c r="W148" s="568"/>
      <c r="X148" s="568"/>
      <c r="Y148" s="568"/>
      <c r="Z148" s="568"/>
      <c r="AA148" s="568"/>
      <c r="AB148" s="568"/>
      <c r="AC148" s="568"/>
      <c r="AD148" s="568"/>
      <c r="AE148" s="568"/>
      <c r="AF148" s="568"/>
      <c r="AG148" s="568"/>
      <c r="AH148" s="568"/>
      <c r="AI148" s="568"/>
      <c r="AJ148" s="568"/>
      <c r="AK148" s="568"/>
      <c r="AL148" s="568"/>
      <c r="AM148" s="571" t="str">
        <f>LISTAS!D167</f>
        <v/>
      </c>
      <c r="AN148" s="571"/>
      <c r="AO148" s="122"/>
      <c r="AP148" s="118"/>
    </row>
    <row r="149" spans="2:42" ht="12.75" x14ac:dyDescent="0.2">
      <c r="B149" s="117"/>
      <c r="C149" s="568" t="s">
        <v>3777</v>
      </c>
      <c r="D149" s="568"/>
      <c r="E149" s="568"/>
      <c r="F149" s="568"/>
      <c r="G149" s="568"/>
      <c r="H149" s="568"/>
      <c r="I149" s="568"/>
      <c r="J149" s="568"/>
      <c r="K149" s="568"/>
      <c r="L149" s="568"/>
      <c r="M149" s="568"/>
      <c r="N149" s="568"/>
      <c r="O149" s="568"/>
      <c r="P149" s="568"/>
      <c r="Q149" s="568"/>
      <c r="R149" s="568"/>
      <c r="S149" s="568"/>
      <c r="T149" s="568"/>
      <c r="U149" s="568"/>
      <c r="V149" s="568"/>
      <c r="W149" s="568"/>
      <c r="X149" s="568"/>
      <c r="Y149" s="568"/>
      <c r="Z149" s="568"/>
      <c r="AA149" s="568"/>
      <c r="AB149" s="568"/>
      <c r="AC149" s="568"/>
      <c r="AD149" s="568"/>
      <c r="AE149" s="568"/>
      <c r="AF149" s="568"/>
      <c r="AG149" s="568"/>
      <c r="AH149" s="568"/>
      <c r="AI149" s="568"/>
      <c r="AJ149" s="568"/>
      <c r="AK149" s="568"/>
      <c r="AL149" s="568"/>
      <c r="AM149" s="571" t="str">
        <f>LISTAS!D168</f>
        <v/>
      </c>
      <c r="AN149" s="571"/>
      <c r="AO149" s="122"/>
      <c r="AP149" s="118"/>
    </row>
    <row r="150" spans="2:42" ht="12.75" x14ac:dyDescent="0.2">
      <c r="B150" s="117"/>
      <c r="C150" s="568" t="s">
        <v>3665</v>
      </c>
      <c r="D150" s="568"/>
      <c r="E150" s="568"/>
      <c r="F150" s="568"/>
      <c r="G150" s="568"/>
      <c r="H150" s="568"/>
      <c r="I150" s="568"/>
      <c r="J150" s="568"/>
      <c r="K150" s="568"/>
      <c r="L150" s="568"/>
      <c r="M150" s="568"/>
      <c r="N150" s="568"/>
      <c r="O150" s="568"/>
      <c r="P150" s="568"/>
      <c r="Q150" s="568"/>
      <c r="R150" s="568"/>
      <c r="S150" s="568"/>
      <c r="T150" s="568"/>
      <c r="U150" s="568"/>
      <c r="V150" s="568"/>
      <c r="W150" s="568"/>
      <c r="X150" s="568"/>
      <c r="Y150" s="568"/>
      <c r="Z150" s="568"/>
      <c r="AA150" s="568"/>
      <c r="AB150" s="568"/>
      <c r="AC150" s="568"/>
      <c r="AD150" s="568"/>
      <c r="AE150" s="568"/>
      <c r="AF150" s="568"/>
      <c r="AG150" s="568"/>
      <c r="AH150" s="568"/>
      <c r="AI150" s="568"/>
      <c r="AJ150" s="568"/>
      <c r="AK150" s="568"/>
      <c r="AL150" s="568"/>
      <c r="AM150" s="571" t="str">
        <f>LISTAS!D169</f>
        <v/>
      </c>
      <c r="AN150" s="571"/>
      <c r="AO150" s="122"/>
      <c r="AP150" s="118"/>
    </row>
    <row r="151" spans="2:42" ht="12.75" x14ac:dyDescent="0.2">
      <c r="B151" s="117"/>
      <c r="C151" s="569" t="s">
        <v>1801</v>
      </c>
      <c r="D151" s="569"/>
      <c r="E151" s="569"/>
      <c r="F151" s="569"/>
      <c r="G151" s="569"/>
      <c r="H151" s="569"/>
      <c r="I151" s="569"/>
      <c r="J151" s="569"/>
      <c r="K151" s="569"/>
      <c r="L151" s="569"/>
      <c r="M151" s="569"/>
      <c r="N151" s="569"/>
      <c r="O151" s="569"/>
      <c r="P151" s="569"/>
      <c r="Q151" s="569"/>
      <c r="R151" s="569"/>
      <c r="S151" s="569"/>
      <c r="T151" s="569"/>
      <c r="U151" s="569"/>
      <c r="V151" s="569"/>
      <c r="W151" s="569"/>
      <c r="X151" s="569"/>
      <c r="Y151" s="569"/>
      <c r="Z151" s="569"/>
      <c r="AA151" s="569"/>
      <c r="AB151" s="569"/>
      <c r="AC151" s="569"/>
      <c r="AD151" s="569"/>
      <c r="AE151" s="569"/>
      <c r="AF151" s="569"/>
      <c r="AG151" s="569"/>
      <c r="AH151" s="569"/>
      <c r="AI151" s="569"/>
      <c r="AJ151" s="569"/>
      <c r="AK151" s="569"/>
      <c r="AL151" s="569"/>
      <c r="AM151" s="122"/>
      <c r="AN151" s="122"/>
      <c r="AO151" s="122"/>
      <c r="AP151" s="118"/>
    </row>
    <row r="152" spans="2:42" ht="25.5" customHeight="1" x14ac:dyDescent="0.2">
      <c r="B152" s="117"/>
      <c r="C152" s="570" t="str">
        <f>LISTAS!D170</f>
        <v/>
      </c>
      <c r="D152" s="570"/>
      <c r="E152" s="570"/>
      <c r="F152" s="570"/>
      <c r="G152" s="570"/>
      <c r="H152" s="570"/>
      <c r="I152" s="570"/>
      <c r="J152" s="570"/>
      <c r="K152" s="570"/>
      <c r="L152" s="570"/>
      <c r="M152" s="570"/>
      <c r="N152" s="570"/>
      <c r="O152" s="570"/>
      <c r="P152" s="570"/>
      <c r="Q152" s="570"/>
      <c r="R152" s="570"/>
      <c r="S152" s="570"/>
      <c r="T152" s="570"/>
      <c r="U152" s="570"/>
      <c r="V152" s="570"/>
      <c r="W152" s="570"/>
      <c r="X152" s="570"/>
      <c r="Y152" s="570"/>
      <c r="Z152" s="570"/>
      <c r="AA152" s="570"/>
      <c r="AB152" s="570"/>
      <c r="AC152" s="570"/>
      <c r="AD152" s="570"/>
      <c r="AE152" s="570"/>
      <c r="AF152" s="570"/>
      <c r="AG152" s="570"/>
      <c r="AH152" s="570"/>
      <c r="AI152" s="570"/>
      <c r="AJ152" s="570"/>
      <c r="AK152" s="570"/>
      <c r="AL152" s="570"/>
      <c r="AM152" s="124"/>
      <c r="AN152" s="124"/>
      <c r="AO152" s="122"/>
      <c r="AP152" s="118"/>
    </row>
    <row r="153" spans="2:42" ht="12.75" x14ac:dyDescent="0.2">
      <c r="B153" s="117"/>
      <c r="C153" s="569"/>
      <c r="D153" s="569"/>
      <c r="E153" s="569"/>
      <c r="F153" s="569"/>
      <c r="G153" s="569"/>
      <c r="H153" s="569"/>
      <c r="I153" s="569"/>
      <c r="J153" s="569"/>
      <c r="K153" s="569"/>
      <c r="L153" s="569"/>
      <c r="M153" s="569"/>
      <c r="N153" s="569"/>
      <c r="O153" s="569"/>
      <c r="P153" s="569"/>
      <c r="Q153" s="569"/>
      <c r="R153" s="569"/>
      <c r="S153" s="569"/>
      <c r="T153" s="569"/>
      <c r="U153" s="569"/>
      <c r="V153" s="569"/>
      <c r="W153" s="569"/>
      <c r="X153" s="569"/>
      <c r="Y153" s="569"/>
      <c r="Z153" s="569"/>
      <c r="AA153" s="569"/>
      <c r="AB153" s="569"/>
      <c r="AC153" s="569"/>
      <c r="AD153" s="569"/>
      <c r="AE153" s="569"/>
      <c r="AF153" s="569"/>
      <c r="AG153" s="569"/>
      <c r="AH153" s="569"/>
      <c r="AI153" s="569"/>
      <c r="AJ153" s="569"/>
      <c r="AK153" s="569"/>
      <c r="AL153" s="569"/>
      <c r="AM153" s="124"/>
      <c r="AN153" s="124"/>
      <c r="AO153" s="122"/>
      <c r="AP153" s="118"/>
    </row>
    <row r="154" spans="2:42" ht="12.75" x14ac:dyDescent="0.2">
      <c r="B154" s="117"/>
      <c r="C154" s="568" t="s">
        <v>3672</v>
      </c>
      <c r="D154" s="568"/>
      <c r="E154" s="568"/>
      <c r="F154" s="568"/>
      <c r="G154" s="568"/>
      <c r="H154" s="568"/>
      <c r="I154" s="568"/>
      <c r="J154" s="568"/>
      <c r="K154" s="568"/>
      <c r="L154" s="568"/>
      <c r="M154" s="568"/>
      <c r="N154" s="568"/>
      <c r="O154" s="568"/>
      <c r="P154" s="568"/>
      <c r="Q154" s="568"/>
      <c r="R154" s="568"/>
      <c r="S154" s="568"/>
      <c r="T154" s="568"/>
      <c r="U154" s="568"/>
      <c r="V154" s="568"/>
      <c r="W154" s="568"/>
      <c r="X154" s="568"/>
      <c r="Y154" s="568"/>
      <c r="Z154" s="568"/>
      <c r="AA154" s="568"/>
      <c r="AB154" s="568"/>
      <c r="AC154" s="568"/>
      <c r="AD154" s="568"/>
      <c r="AE154" s="568"/>
      <c r="AF154" s="568"/>
      <c r="AG154" s="568"/>
      <c r="AH154" s="568"/>
      <c r="AI154" s="568"/>
      <c r="AJ154" s="568"/>
      <c r="AK154" s="568"/>
      <c r="AL154" s="568"/>
      <c r="AM154" s="124"/>
      <c r="AN154" s="124"/>
      <c r="AO154" s="122"/>
      <c r="AP154" s="118"/>
    </row>
    <row r="155" spans="2:42" ht="12.75" x14ac:dyDescent="0.2">
      <c r="B155" s="117"/>
      <c r="C155" s="568" t="s">
        <v>3735</v>
      </c>
      <c r="D155" s="568"/>
      <c r="E155" s="568"/>
      <c r="F155" s="568"/>
      <c r="G155" s="568"/>
      <c r="H155" s="568"/>
      <c r="I155" s="568"/>
      <c r="J155" s="568"/>
      <c r="K155" s="568"/>
      <c r="L155" s="568"/>
      <c r="M155" s="568"/>
      <c r="N155" s="568"/>
      <c r="O155" s="568"/>
      <c r="P155" s="568"/>
      <c r="Q155" s="568"/>
      <c r="R155" s="568"/>
      <c r="S155" s="568"/>
      <c r="T155" s="568"/>
      <c r="U155" s="568"/>
      <c r="V155" s="568"/>
      <c r="W155" s="568"/>
      <c r="X155" s="568"/>
      <c r="Y155" s="568"/>
      <c r="Z155" s="568"/>
      <c r="AA155" s="568"/>
      <c r="AB155" s="568"/>
      <c r="AC155" s="568"/>
      <c r="AD155" s="568"/>
      <c r="AE155" s="568"/>
      <c r="AF155" s="568"/>
      <c r="AG155" s="568"/>
      <c r="AH155" s="568"/>
      <c r="AI155" s="568"/>
      <c r="AJ155" s="568"/>
      <c r="AK155" s="568"/>
      <c r="AL155" s="568"/>
      <c r="AM155" s="124"/>
      <c r="AN155" s="124"/>
      <c r="AO155" s="122"/>
      <c r="AP155" s="118"/>
    </row>
    <row r="156" spans="2:42" ht="12.75" x14ac:dyDescent="0.2">
      <c r="B156" s="117"/>
      <c r="C156" s="568" t="s">
        <v>3664</v>
      </c>
      <c r="D156" s="568"/>
      <c r="E156" s="568"/>
      <c r="F156" s="568"/>
      <c r="G156" s="568"/>
      <c r="H156" s="568"/>
      <c r="I156" s="568"/>
      <c r="J156" s="568"/>
      <c r="K156" s="568"/>
      <c r="L156" s="568"/>
      <c r="M156" s="568"/>
      <c r="N156" s="568"/>
      <c r="O156" s="568"/>
      <c r="P156" s="568"/>
      <c r="Q156" s="568"/>
      <c r="R156" s="568"/>
      <c r="S156" s="568"/>
      <c r="T156" s="568"/>
      <c r="U156" s="568"/>
      <c r="V156" s="568"/>
      <c r="W156" s="568"/>
      <c r="X156" s="568"/>
      <c r="Y156" s="568"/>
      <c r="Z156" s="568"/>
      <c r="AA156" s="568"/>
      <c r="AB156" s="568"/>
      <c r="AC156" s="568"/>
      <c r="AD156" s="568"/>
      <c r="AE156" s="568"/>
      <c r="AF156" s="568"/>
      <c r="AG156" s="568"/>
      <c r="AH156" s="568"/>
      <c r="AI156" s="568"/>
      <c r="AJ156" s="568"/>
      <c r="AK156" s="568"/>
      <c r="AL156" s="568"/>
      <c r="AM156" s="571" t="str">
        <f>LISTAS!D171</f>
        <v/>
      </c>
      <c r="AN156" s="571"/>
      <c r="AO156" s="122"/>
      <c r="AP156" s="118"/>
    </row>
    <row r="157" spans="2:42" ht="12.75" x14ac:dyDescent="0.2">
      <c r="B157" s="117"/>
      <c r="C157" s="568" t="s">
        <v>3776</v>
      </c>
      <c r="D157" s="568"/>
      <c r="E157" s="568"/>
      <c r="F157" s="568"/>
      <c r="G157" s="568"/>
      <c r="H157" s="568"/>
      <c r="I157" s="568"/>
      <c r="J157" s="568"/>
      <c r="K157" s="568"/>
      <c r="L157" s="568"/>
      <c r="M157" s="568"/>
      <c r="N157" s="568"/>
      <c r="O157" s="568"/>
      <c r="P157" s="568"/>
      <c r="Q157" s="568"/>
      <c r="R157" s="568"/>
      <c r="S157" s="568"/>
      <c r="T157" s="568"/>
      <c r="U157" s="568"/>
      <c r="V157" s="568"/>
      <c r="W157" s="568"/>
      <c r="X157" s="568"/>
      <c r="Y157" s="568"/>
      <c r="Z157" s="568"/>
      <c r="AA157" s="568"/>
      <c r="AB157" s="568"/>
      <c r="AC157" s="568"/>
      <c r="AD157" s="568"/>
      <c r="AE157" s="568"/>
      <c r="AF157" s="568"/>
      <c r="AG157" s="568"/>
      <c r="AH157" s="568"/>
      <c r="AI157" s="568"/>
      <c r="AJ157" s="568"/>
      <c r="AK157" s="568"/>
      <c r="AL157" s="568"/>
      <c r="AM157" s="571" t="str">
        <f>LISTAS!D172</f>
        <v/>
      </c>
      <c r="AN157" s="571"/>
      <c r="AO157" s="122"/>
      <c r="AP157" s="118"/>
    </row>
    <row r="158" spans="2:42" ht="12.75" x14ac:dyDescent="0.2">
      <c r="B158" s="117"/>
      <c r="C158" s="568" t="s">
        <v>3777</v>
      </c>
      <c r="D158" s="568"/>
      <c r="E158" s="568"/>
      <c r="F158" s="568"/>
      <c r="G158" s="568"/>
      <c r="H158" s="568"/>
      <c r="I158" s="568"/>
      <c r="J158" s="568"/>
      <c r="K158" s="568"/>
      <c r="L158" s="568"/>
      <c r="M158" s="568"/>
      <c r="N158" s="568"/>
      <c r="O158" s="568"/>
      <c r="P158" s="568"/>
      <c r="Q158" s="568"/>
      <c r="R158" s="568"/>
      <c r="S158" s="568"/>
      <c r="T158" s="568"/>
      <c r="U158" s="568"/>
      <c r="V158" s="568"/>
      <c r="W158" s="568"/>
      <c r="X158" s="568"/>
      <c r="Y158" s="568"/>
      <c r="Z158" s="568"/>
      <c r="AA158" s="568"/>
      <c r="AB158" s="568"/>
      <c r="AC158" s="568"/>
      <c r="AD158" s="568"/>
      <c r="AE158" s="568"/>
      <c r="AF158" s="568"/>
      <c r="AG158" s="568"/>
      <c r="AH158" s="568"/>
      <c r="AI158" s="568"/>
      <c r="AJ158" s="568"/>
      <c r="AK158" s="568"/>
      <c r="AL158" s="568"/>
      <c r="AM158" s="571" t="str">
        <f>LISTAS!D173</f>
        <v/>
      </c>
      <c r="AN158" s="571"/>
      <c r="AO158" s="122"/>
      <c r="AP158" s="118"/>
    </row>
    <row r="159" spans="2:42" ht="12.75" x14ac:dyDescent="0.2">
      <c r="B159" s="117"/>
      <c r="C159" s="568" t="s">
        <v>3665</v>
      </c>
      <c r="D159" s="568"/>
      <c r="E159" s="568"/>
      <c r="F159" s="568"/>
      <c r="G159" s="568"/>
      <c r="H159" s="568"/>
      <c r="I159" s="568"/>
      <c r="J159" s="568"/>
      <c r="K159" s="568"/>
      <c r="L159" s="568"/>
      <c r="M159" s="568"/>
      <c r="N159" s="568"/>
      <c r="O159" s="568"/>
      <c r="P159" s="568"/>
      <c r="Q159" s="568"/>
      <c r="R159" s="568"/>
      <c r="S159" s="568"/>
      <c r="T159" s="568"/>
      <c r="U159" s="568"/>
      <c r="V159" s="568"/>
      <c r="W159" s="568"/>
      <c r="X159" s="568"/>
      <c r="Y159" s="568"/>
      <c r="Z159" s="568"/>
      <c r="AA159" s="568"/>
      <c r="AB159" s="568"/>
      <c r="AC159" s="568"/>
      <c r="AD159" s="568"/>
      <c r="AE159" s="568"/>
      <c r="AF159" s="568"/>
      <c r="AG159" s="568"/>
      <c r="AH159" s="568"/>
      <c r="AI159" s="568"/>
      <c r="AJ159" s="568"/>
      <c r="AK159" s="568"/>
      <c r="AL159" s="568"/>
      <c r="AM159" s="571" t="str">
        <f>LISTAS!D174</f>
        <v/>
      </c>
      <c r="AN159" s="571"/>
      <c r="AO159" s="122"/>
      <c r="AP159" s="118"/>
    </row>
    <row r="160" spans="2:42" ht="12.75" x14ac:dyDescent="0.2">
      <c r="B160" s="117"/>
      <c r="C160" s="569" t="s">
        <v>1801</v>
      </c>
      <c r="D160" s="569"/>
      <c r="E160" s="569"/>
      <c r="F160" s="569"/>
      <c r="G160" s="569"/>
      <c r="H160" s="569"/>
      <c r="I160" s="569"/>
      <c r="J160" s="569"/>
      <c r="K160" s="569"/>
      <c r="L160" s="569"/>
      <c r="M160" s="569"/>
      <c r="N160" s="569"/>
      <c r="O160" s="569"/>
      <c r="P160" s="569"/>
      <c r="Q160" s="569"/>
      <c r="R160" s="569"/>
      <c r="S160" s="569"/>
      <c r="T160" s="569"/>
      <c r="U160" s="569"/>
      <c r="V160" s="569"/>
      <c r="W160" s="569"/>
      <c r="X160" s="569"/>
      <c r="Y160" s="569"/>
      <c r="Z160" s="569"/>
      <c r="AA160" s="569"/>
      <c r="AB160" s="569"/>
      <c r="AC160" s="569"/>
      <c r="AD160" s="569"/>
      <c r="AE160" s="569"/>
      <c r="AF160" s="569"/>
      <c r="AG160" s="569"/>
      <c r="AH160" s="569"/>
      <c r="AI160" s="569"/>
      <c r="AJ160" s="569"/>
      <c r="AK160" s="569"/>
      <c r="AL160" s="569"/>
      <c r="AM160" s="122" t="str">
        <f>LISTAS!D175</f>
        <v/>
      </c>
      <c r="AN160" s="122"/>
      <c r="AO160" s="122"/>
      <c r="AP160" s="118"/>
    </row>
    <row r="161" spans="2:42" ht="25.5" customHeight="1" x14ac:dyDescent="0.2">
      <c r="B161" s="117"/>
      <c r="C161" s="570" t="str">
        <f>LISTAS!D175</f>
        <v/>
      </c>
      <c r="D161" s="570"/>
      <c r="E161" s="570"/>
      <c r="F161" s="570"/>
      <c r="G161" s="570"/>
      <c r="H161" s="570"/>
      <c r="I161" s="570"/>
      <c r="J161" s="570"/>
      <c r="K161" s="570"/>
      <c r="L161" s="570"/>
      <c r="M161" s="570"/>
      <c r="N161" s="570"/>
      <c r="O161" s="570"/>
      <c r="P161" s="570"/>
      <c r="Q161" s="570"/>
      <c r="R161" s="570"/>
      <c r="S161" s="570"/>
      <c r="T161" s="570"/>
      <c r="U161" s="570"/>
      <c r="V161" s="570"/>
      <c r="W161" s="570"/>
      <c r="X161" s="570"/>
      <c r="Y161" s="570"/>
      <c r="Z161" s="570"/>
      <c r="AA161" s="570"/>
      <c r="AB161" s="570"/>
      <c r="AC161" s="570"/>
      <c r="AD161" s="570"/>
      <c r="AE161" s="570"/>
      <c r="AF161" s="570"/>
      <c r="AG161" s="570"/>
      <c r="AH161" s="570"/>
      <c r="AI161" s="570"/>
      <c r="AJ161" s="570"/>
      <c r="AK161" s="570"/>
      <c r="AL161" s="570"/>
      <c r="AM161" s="124"/>
      <c r="AN161" s="124"/>
      <c r="AO161" s="122"/>
      <c r="AP161" s="118"/>
    </row>
    <row r="162" spans="2:42" ht="12.75" x14ac:dyDescent="0.2">
      <c r="B162" s="117"/>
      <c r="C162" s="569"/>
      <c r="D162" s="569"/>
      <c r="E162" s="569"/>
      <c r="F162" s="569"/>
      <c r="G162" s="569"/>
      <c r="H162" s="569"/>
      <c r="I162" s="569"/>
      <c r="J162" s="569"/>
      <c r="K162" s="569"/>
      <c r="L162" s="569"/>
      <c r="M162" s="569"/>
      <c r="N162" s="569"/>
      <c r="O162" s="569"/>
      <c r="P162" s="569"/>
      <c r="Q162" s="569"/>
      <c r="R162" s="569"/>
      <c r="S162" s="569"/>
      <c r="T162" s="569"/>
      <c r="U162" s="569"/>
      <c r="V162" s="569"/>
      <c r="W162" s="569"/>
      <c r="X162" s="569"/>
      <c r="Y162" s="569"/>
      <c r="Z162" s="569"/>
      <c r="AA162" s="569"/>
      <c r="AB162" s="569"/>
      <c r="AC162" s="569"/>
      <c r="AD162" s="569"/>
      <c r="AE162" s="569"/>
      <c r="AF162" s="569"/>
      <c r="AG162" s="569"/>
      <c r="AH162" s="569"/>
      <c r="AI162" s="569"/>
      <c r="AJ162" s="569"/>
      <c r="AK162" s="569"/>
      <c r="AL162" s="569"/>
      <c r="AM162" s="124"/>
      <c r="AN162" s="124"/>
      <c r="AO162" s="122"/>
      <c r="AP162" s="118"/>
    </row>
    <row r="163" spans="2:42" ht="12.75" x14ac:dyDescent="0.2">
      <c r="B163" s="117"/>
      <c r="C163" s="568" t="s">
        <v>3673</v>
      </c>
      <c r="D163" s="568"/>
      <c r="E163" s="568"/>
      <c r="F163" s="568"/>
      <c r="G163" s="568"/>
      <c r="H163" s="568"/>
      <c r="I163" s="568"/>
      <c r="J163" s="568"/>
      <c r="K163" s="568"/>
      <c r="L163" s="568"/>
      <c r="M163" s="568"/>
      <c r="N163" s="568"/>
      <c r="O163" s="568"/>
      <c r="P163" s="568"/>
      <c r="Q163" s="568"/>
      <c r="R163" s="568"/>
      <c r="S163" s="568"/>
      <c r="T163" s="568"/>
      <c r="U163" s="568"/>
      <c r="V163" s="568"/>
      <c r="W163" s="568"/>
      <c r="X163" s="568"/>
      <c r="Y163" s="568"/>
      <c r="Z163" s="568"/>
      <c r="AA163" s="568"/>
      <c r="AB163" s="568"/>
      <c r="AC163" s="568"/>
      <c r="AD163" s="568"/>
      <c r="AE163" s="568"/>
      <c r="AF163" s="568"/>
      <c r="AG163" s="568"/>
      <c r="AH163" s="568"/>
      <c r="AI163" s="568"/>
      <c r="AJ163" s="568"/>
      <c r="AK163" s="568"/>
      <c r="AL163" s="568"/>
      <c r="AM163" s="124"/>
      <c r="AN163" s="124"/>
      <c r="AO163" s="122"/>
      <c r="AP163" s="118"/>
    </row>
    <row r="164" spans="2:42" ht="12.75" x14ac:dyDescent="0.2">
      <c r="B164" s="117"/>
      <c r="C164" s="568" t="s">
        <v>3735</v>
      </c>
      <c r="D164" s="568"/>
      <c r="E164" s="568"/>
      <c r="F164" s="568"/>
      <c r="G164" s="568"/>
      <c r="H164" s="568"/>
      <c r="I164" s="568"/>
      <c r="J164" s="568"/>
      <c r="K164" s="568"/>
      <c r="L164" s="568"/>
      <c r="M164" s="568"/>
      <c r="N164" s="568"/>
      <c r="O164" s="568"/>
      <c r="P164" s="568"/>
      <c r="Q164" s="568"/>
      <c r="R164" s="568"/>
      <c r="S164" s="568"/>
      <c r="T164" s="568"/>
      <c r="U164" s="568"/>
      <c r="V164" s="568"/>
      <c r="W164" s="568"/>
      <c r="X164" s="568"/>
      <c r="Y164" s="568"/>
      <c r="Z164" s="568"/>
      <c r="AA164" s="568"/>
      <c r="AB164" s="568"/>
      <c r="AC164" s="568"/>
      <c r="AD164" s="568"/>
      <c r="AE164" s="568"/>
      <c r="AF164" s="568"/>
      <c r="AG164" s="568"/>
      <c r="AH164" s="568"/>
      <c r="AI164" s="568"/>
      <c r="AJ164" s="568"/>
      <c r="AK164" s="568"/>
      <c r="AL164" s="568"/>
      <c r="AM164" s="124"/>
      <c r="AN164" s="124"/>
      <c r="AO164" s="122"/>
      <c r="AP164" s="118"/>
    </row>
    <row r="165" spans="2:42" ht="12.75" x14ac:dyDescent="0.2">
      <c r="B165" s="117"/>
      <c r="C165" s="568" t="s">
        <v>3664</v>
      </c>
      <c r="D165" s="568"/>
      <c r="E165" s="568"/>
      <c r="F165" s="568"/>
      <c r="G165" s="568"/>
      <c r="H165" s="568"/>
      <c r="I165" s="568"/>
      <c r="J165" s="568"/>
      <c r="K165" s="568"/>
      <c r="L165" s="568"/>
      <c r="M165" s="568"/>
      <c r="N165" s="568"/>
      <c r="O165" s="568"/>
      <c r="P165" s="568"/>
      <c r="Q165" s="568"/>
      <c r="R165" s="568"/>
      <c r="S165" s="568"/>
      <c r="T165" s="568"/>
      <c r="U165" s="568"/>
      <c r="V165" s="568"/>
      <c r="W165" s="568"/>
      <c r="X165" s="568"/>
      <c r="Y165" s="568"/>
      <c r="Z165" s="568"/>
      <c r="AA165" s="568"/>
      <c r="AB165" s="568"/>
      <c r="AC165" s="568"/>
      <c r="AD165" s="568"/>
      <c r="AE165" s="568"/>
      <c r="AF165" s="568"/>
      <c r="AG165" s="568"/>
      <c r="AH165" s="568"/>
      <c r="AI165" s="568"/>
      <c r="AJ165" s="568"/>
      <c r="AK165" s="568"/>
      <c r="AL165" s="568"/>
      <c r="AM165" s="571" t="str">
        <f>LISTAS!D176</f>
        <v/>
      </c>
      <c r="AN165" s="571"/>
      <c r="AO165" s="122"/>
      <c r="AP165" s="118"/>
    </row>
    <row r="166" spans="2:42" ht="12.75" x14ac:dyDescent="0.2">
      <c r="B166" s="117"/>
      <c r="C166" s="568" t="s">
        <v>3776</v>
      </c>
      <c r="D166" s="568"/>
      <c r="E166" s="568"/>
      <c r="F166" s="568"/>
      <c r="G166" s="568"/>
      <c r="H166" s="568"/>
      <c r="I166" s="568"/>
      <c r="J166" s="568"/>
      <c r="K166" s="568"/>
      <c r="L166" s="568"/>
      <c r="M166" s="568"/>
      <c r="N166" s="568"/>
      <c r="O166" s="568"/>
      <c r="P166" s="568"/>
      <c r="Q166" s="568"/>
      <c r="R166" s="568"/>
      <c r="S166" s="568"/>
      <c r="T166" s="568"/>
      <c r="U166" s="568"/>
      <c r="V166" s="568"/>
      <c r="W166" s="568"/>
      <c r="X166" s="568"/>
      <c r="Y166" s="568"/>
      <c r="Z166" s="568"/>
      <c r="AA166" s="568"/>
      <c r="AB166" s="568"/>
      <c r="AC166" s="568"/>
      <c r="AD166" s="568"/>
      <c r="AE166" s="568"/>
      <c r="AF166" s="568"/>
      <c r="AG166" s="568"/>
      <c r="AH166" s="568"/>
      <c r="AI166" s="568"/>
      <c r="AJ166" s="568"/>
      <c r="AK166" s="568"/>
      <c r="AL166" s="568"/>
      <c r="AM166" s="571" t="str">
        <f>LISTAS!D177</f>
        <v/>
      </c>
      <c r="AN166" s="571"/>
      <c r="AO166" s="122"/>
      <c r="AP166" s="118"/>
    </row>
    <row r="167" spans="2:42" ht="12.75" x14ac:dyDescent="0.2">
      <c r="B167" s="117"/>
      <c r="C167" s="568" t="s">
        <v>3777</v>
      </c>
      <c r="D167" s="568"/>
      <c r="E167" s="568"/>
      <c r="F167" s="568"/>
      <c r="G167" s="568"/>
      <c r="H167" s="568"/>
      <c r="I167" s="568"/>
      <c r="J167" s="568"/>
      <c r="K167" s="568"/>
      <c r="L167" s="568"/>
      <c r="M167" s="568"/>
      <c r="N167" s="568"/>
      <c r="O167" s="568"/>
      <c r="P167" s="568"/>
      <c r="Q167" s="568"/>
      <c r="R167" s="568"/>
      <c r="S167" s="568"/>
      <c r="T167" s="568"/>
      <c r="U167" s="568"/>
      <c r="V167" s="568"/>
      <c r="W167" s="568"/>
      <c r="X167" s="568"/>
      <c r="Y167" s="568"/>
      <c r="Z167" s="568"/>
      <c r="AA167" s="568"/>
      <c r="AB167" s="568"/>
      <c r="AC167" s="568"/>
      <c r="AD167" s="568"/>
      <c r="AE167" s="568"/>
      <c r="AF167" s="568"/>
      <c r="AG167" s="568"/>
      <c r="AH167" s="568"/>
      <c r="AI167" s="568"/>
      <c r="AJ167" s="568"/>
      <c r="AK167" s="568"/>
      <c r="AL167" s="568"/>
      <c r="AM167" s="571" t="str">
        <f>LISTAS!D178</f>
        <v/>
      </c>
      <c r="AN167" s="571"/>
      <c r="AO167" s="122"/>
      <c r="AP167" s="118"/>
    </row>
    <row r="168" spans="2:42" ht="12.75" x14ac:dyDescent="0.2">
      <c r="B168" s="117"/>
      <c r="C168" s="568" t="s">
        <v>3665</v>
      </c>
      <c r="D168" s="568"/>
      <c r="E168" s="568"/>
      <c r="F168" s="568"/>
      <c r="G168" s="568"/>
      <c r="H168" s="568"/>
      <c r="I168" s="568"/>
      <c r="J168" s="568"/>
      <c r="K168" s="568"/>
      <c r="L168" s="568"/>
      <c r="M168" s="568"/>
      <c r="N168" s="568"/>
      <c r="O168" s="568"/>
      <c r="P168" s="568"/>
      <c r="Q168" s="568"/>
      <c r="R168" s="568"/>
      <c r="S168" s="568"/>
      <c r="T168" s="568"/>
      <c r="U168" s="568"/>
      <c r="V168" s="568"/>
      <c r="W168" s="568"/>
      <c r="X168" s="568"/>
      <c r="Y168" s="568"/>
      <c r="Z168" s="568"/>
      <c r="AA168" s="568"/>
      <c r="AB168" s="568"/>
      <c r="AC168" s="568"/>
      <c r="AD168" s="568"/>
      <c r="AE168" s="568"/>
      <c r="AF168" s="568"/>
      <c r="AG168" s="568"/>
      <c r="AH168" s="568"/>
      <c r="AI168" s="568"/>
      <c r="AJ168" s="568"/>
      <c r="AK168" s="568"/>
      <c r="AL168" s="568"/>
      <c r="AM168" s="571" t="str">
        <f>LISTAS!D179</f>
        <v/>
      </c>
      <c r="AN168" s="571"/>
      <c r="AO168" s="122"/>
      <c r="AP168" s="118"/>
    </row>
    <row r="169" spans="2:42" ht="12.75" x14ac:dyDescent="0.2">
      <c r="B169" s="117"/>
      <c r="C169" s="569" t="s">
        <v>1801</v>
      </c>
      <c r="D169" s="569"/>
      <c r="E169" s="569"/>
      <c r="F169" s="569"/>
      <c r="G169" s="569"/>
      <c r="H169" s="569"/>
      <c r="I169" s="569"/>
      <c r="J169" s="569"/>
      <c r="K169" s="569"/>
      <c r="L169" s="569"/>
      <c r="M169" s="569"/>
      <c r="N169" s="569"/>
      <c r="O169" s="569"/>
      <c r="P169" s="569"/>
      <c r="Q169" s="569"/>
      <c r="R169" s="569"/>
      <c r="S169" s="569"/>
      <c r="T169" s="569"/>
      <c r="U169" s="569"/>
      <c r="V169" s="569"/>
      <c r="W169" s="569"/>
      <c r="X169" s="569"/>
      <c r="Y169" s="569"/>
      <c r="Z169" s="569"/>
      <c r="AA169" s="569"/>
      <c r="AB169" s="569"/>
      <c r="AC169" s="569"/>
      <c r="AD169" s="569"/>
      <c r="AE169" s="569"/>
      <c r="AF169" s="569"/>
      <c r="AG169" s="569"/>
      <c r="AH169" s="569"/>
      <c r="AI169" s="569"/>
      <c r="AJ169" s="569"/>
      <c r="AK169" s="569"/>
      <c r="AL169" s="569"/>
      <c r="AM169" s="122"/>
      <c r="AN169" s="122"/>
      <c r="AO169" s="122"/>
      <c r="AP169" s="118"/>
    </row>
    <row r="170" spans="2:42" ht="25.5" customHeight="1" x14ac:dyDescent="0.2">
      <c r="B170" s="117"/>
      <c r="C170" s="570" t="str">
        <f>LISTAS!D180</f>
        <v/>
      </c>
      <c r="D170" s="570"/>
      <c r="E170" s="570"/>
      <c r="F170" s="570"/>
      <c r="G170" s="570"/>
      <c r="H170" s="570"/>
      <c r="I170" s="570"/>
      <c r="J170" s="570"/>
      <c r="K170" s="570"/>
      <c r="L170" s="570"/>
      <c r="M170" s="570"/>
      <c r="N170" s="570"/>
      <c r="O170" s="570"/>
      <c r="P170" s="570"/>
      <c r="Q170" s="570"/>
      <c r="R170" s="570"/>
      <c r="S170" s="570"/>
      <c r="T170" s="570"/>
      <c r="U170" s="570"/>
      <c r="V170" s="570"/>
      <c r="W170" s="570"/>
      <c r="X170" s="570"/>
      <c r="Y170" s="570"/>
      <c r="Z170" s="570"/>
      <c r="AA170" s="570"/>
      <c r="AB170" s="570"/>
      <c r="AC170" s="570"/>
      <c r="AD170" s="570"/>
      <c r="AE170" s="570"/>
      <c r="AF170" s="570"/>
      <c r="AG170" s="570"/>
      <c r="AH170" s="570"/>
      <c r="AI170" s="570"/>
      <c r="AJ170" s="570"/>
      <c r="AK170" s="570"/>
      <c r="AL170" s="570"/>
      <c r="AM170" s="124"/>
      <c r="AN170" s="124"/>
      <c r="AO170" s="122"/>
      <c r="AP170" s="118"/>
    </row>
    <row r="171" spans="2:42" ht="12.75" x14ac:dyDescent="0.2">
      <c r="B171" s="117"/>
      <c r="C171" s="569"/>
      <c r="D171" s="569"/>
      <c r="E171" s="569"/>
      <c r="F171" s="569"/>
      <c r="G171" s="569"/>
      <c r="H171" s="569"/>
      <c r="I171" s="569"/>
      <c r="J171" s="569"/>
      <c r="K171" s="569"/>
      <c r="L171" s="569"/>
      <c r="M171" s="569"/>
      <c r="N171" s="569"/>
      <c r="O171" s="569"/>
      <c r="P171" s="569"/>
      <c r="Q171" s="569"/>
      <c r="R171" s="569"/>
      <c r="S171" s="569"/>
      <c r="T171" s="569"/>
      <c r="U171" s="569"/>
      <c r="V171" s="569"/>
      <c r="W171" s="569"/>
      <c r="X171" s="569"/>
      <c r="Y171" s="569"/>
      <c r="Z171" s="569"/>
      <c r="AA171" s="569"/>
      <c r="AB171" s="569"/>
      <c r="AC171" s="569"/>
      <c r="AD171" s="569"/>
      <c r="AE171" s="569"/>
      <c r="AF171" s="569"/>
      <c r="AG171" s="569"/>
      <c r="AH171" s="569"/>
      <c r="AI171" s="569"/>
      <c r="AJ171" s="569"/>
      <c r="AK171" s="569"/>
      <c r="AL171" s="569"/>
      <c r="AM171" s="124"/>
      <c r="AN171" s="124"/>
      <c r="AO171" s="122"/>
      <c r="AP171" s="118"/>
    </row>
    <row r="172" spans="2:42" ht="12.75" x14ac:dyDescent="0.2">
      <c r="B172" s="117"/>
      <c r="C172" s="568" t="s">
        <v>3674</v>
      </c>
      <c r="D172" s="568"/>
      <c r="E172" s="568"/>
      <c r="F172" s="568"/>
      <c r="G172" s="568"/>
      <c r="H172" s="568"/>
      <c r="I172" s="568"/>
      <c r="J172" s="568"/>
      <c r="K172" s="568"/>
      <c r="L172" s="568"/>
      <c r="M172" s="568"/>
      <c r="N172" s="568"/>
      <c r="O172" s="568"/>
      <c r="P172" s="568"/>
      <c r="Q172" s="568"/>
      <c r="R172" s="568"/>
      <c r="S172" s="568"/>
      <c r="T172" s="568"/>
      <c r="U172" s="568"/>
      <c r="V172" s="568"/>
      <c r="W172" s="568"/>
      <c r="X172" s="568"/>
      <c r="Y172" s="568"/>
      <c r="Z172" s="568"/>
      <c r="AA172" s="568"/>
      <c r="AB172" s="568"/>
      <c r="AC172" s="568"/>
      <c r="AD172" s="568"/>
      <c r="AE172" s="568"/>
      <c r="AF172" s="568"/>
      <c r="AG172" s="568"/>
      <c r="AH172" s="568"/>
      <c r="AI172" s="568"/>
      <c r="AJ172" s="568"/>
      <c r="AK172" s="568"/>
      <c r="AL172" s="568"/>
      <c r="AM172" s="124"/>
      <c r="AN172" s="124"/>
      <c r="AO172" s="122"/>
      <c r="AP172" s="118"/>
    </row>
    <row r="173" spans="2:42" ht="12.75" x14ac:dyDescent="0.2">
      <c r="B173" s="117"/>
      <c r="C173" s="568" t="s">
        <v>3735</v>
      </c>
      <c r="D173" s="568"/>
      <c r="E173" s="568"/>
      <c r="F173" s="568"/>
      <c r="G173" s="568"/>
      <c r="H173" s="568"/>
      <c r="I173" s="568"/>
      <c r="J173" s="568"/>
      <c r="K173" s="568"/>
      <c r="L173" s="568"/>
      <c r="M173" s="568"/>
      <c r="N173" s="568"/>
      <c r="O173" s="568"/>
      <c r="P173" s="568"/>
      <c r="Q173" s="568"/>
      <c r="R173" s="568"/>
      <c r="S173" s="568"/>
      <c r="T173" s="568"/>
      <c r="U173" s="568"/>
      <c r="V173" s="568"/>
      <c r="W173" s="568"/>
      <c r="X173" s="568"/>
      <c r="Y173" s="568"/>
      <c r="Z173" s="568"/>
      <c r="AA173" s="568"/>
      <c r="AB173" s="568"/>
      <c r="AC173" s="568"/>
      <c r="AD173" s="568"/>
      <c r="AE173" s="568"/>
      <c r="AF173" s="568"/>
      <c r="AG173" s="568"/>
      <c r="AH173" s="568"/>
      <c r="AI173" s="568"/>
      <c r="AJ173" s="568"/>
      <c r="AK173" s="568"/>
      <c r="AL173" s="568"/>
      <c r="AM173" s="124"/>
      <c r="AN173" s="124"/>
      <c r="AO173" s="122"/>
      <c r="AP173" s="118"/>
    </row>
    <row r="174" spans="2:42" ht="12.75" x14ac:dyDescent="0.2">
      <c r="B174" s="117"/>
      <c r="C174" s="568" t="s">
        <v>3664</v>
      </c>
      <c r="D174" s="568"/>
      <c r="E174" s="568"/>
      <c r="F174" s="568"/>
      <c r="G174" s="568"/>
      <c r="H174" s="568"/>
      <c r="I174" s="568"/>
      <c r="J174" s="568"/>
      <c r="K174" s="568"/>
      <c r="L174" s="568"/>
      <c r="M174" s="568"/>
      <c r="N174" s="568"/>
      <c r="O174" s="568"/>
      <c r="P174" s="568"/>
      <c r="Q174" s="568"/>
      <c r="R174" s="568"/>
      <c r="S174" s="568"/>
      <c r="T174" s="568"/>
      <c r="U174" s="568"/>
      <c r="V174" s="568"/>
      <c r="W174" s="568"/>
      <c r="X174" s="568"/>
      <c r="Y174" s="568"/>
      <c r="Z174" s="568"/>
      <c r="AA174" s="568"/>
      <c r="AB174" s="568"/>
      <c r="AC174" s="568"/>
      <c r="AD174" s="568"/>
      <c r="AE174" s="568"/>
      <c r="AF174" s="568"/>
      <c r="AG174" s="568"/>
      <c r="AH174" s="568"/>
      <c r="AI174" s="568"/>
      <c r="AJ174" s="568"/>
      <c r="AK174" s="568"/>
      <c r="AL174" s="568"/>
      <c r="AM174" s="571" t="str">
        <f>LISTAS!D181</f>
        <v/>
      </c>
      <c r="AN174" s="571"/>
      <c r="AO174" s="122"/>
      <c r="AP174" s="118"/>
    </row>
    <row r="175" spans="2:42" ht="12.75" x14ac:dyDescent="0.2">
      <c r="B175" s="117"/>
      <c r="C175" s="568" t="s">
        <v>3776</v>
      </c>
      <c r="D175" s="568"/>
      <c r="E175" s="568"/>
      <c r="F175" s="568"/>
      <c r="G175" s="568"/>
      <c r="H175" s="568"/>
      <c r="I175" s="568"/>
      <c r="J175" s="568"/>
      <c r="K175" s="568"/>
      <c r="L175" s="568"/>
      <c r="M175" s="568"/>
      <c r="N175" s="568"/>
      <c r="O175" s="568"/>
      <c r="P175" s="568"/>
      <c r="Q175" s="568"/>
      <c r="R175" s="568"/>
      <c r="S175" s="568"/>
      <c r="T175" s="568"/>
      <c r="U175" s="568"/>
      <c r="V175" s="568"/>
      <c r="W175" s="568"/>
      <c r="X175" s="568"/>
      <c r="Y175" s="568"/>
      <c r="Z175" s="568"/>
      <c r="AA175" s="568"/>
      <c r="AB175" s="568"/>
      <c r="AC175" s="568"/>
      <c r="AD175" s="568"/>
      <c r="AE175" s="568"/>
      <c r="AF175" s="568"/>
      <c r="AG175" s="568"/>
      <c r="AH175" s="568"/>
      <c r="AI175" s="568"/>
      <c r="AJ175" s="568"/>
      <c r="AK175" s="568"/>
      <c r="AL175" s="568"/>
      <c r="AM175" s="571" t="str">
        <f>LISTAS!D182</f>
        <v/>
      </c>
      <c r="AN175" s="571"/>
      <c r="AO175" s="122"/>
      <c r="AP175" s="118"/>
    </row>
    <row r="176" spans="2:42" ht="12.75" x14ac:dyDescent="0.2">
      <c r="B176" s="117"/>
      <c r="C176" s="568" t="s">
        <v>3777</v>
      </c>
      <c r="D176" s="568"/>
      <c r="E176" s="568"/>
      <c r="F176" s="568"/>
      <c r="G176" s="568"/>
      <c r="H176" s="568"/>
      <c r="I176" s="568"/>
      <c r="J176" s="568"/>
      <c r="K176" s="568"/>
      <c r="L176" s="568"/>
      <c r="M176" s="568"/>
      <c r="N176" s="568"/>
      <c r="O176" s="568"/>
      <c r="P176" s="568"/>
      <c r="Q176" s="568"/>
      <c r="R176" s="568"/>
      <c r="S176" s="568"/>
      <c r="T176" s="568"/>
      <c r="U176" s="568"/>
      <c r="V176" s="568"/>
      <c r="W176" s="568"/>
      <c r="X176" s="568"/>
      <c r="Y176" s="568"/>
      <c r="Z176" s="568"/>
      <c r="AA176" s="568"/>
      <c r="AB176" s="568"/>
      <c r="AC176" s="568"/>
      <c r="AD176" s="568"/>
      <c r="AE176" s="568"/>
      <c r="AF176" s="568"/>
      <c r="AG176" s="568"/>
      <c r="AH176" s="568"/>
      <c r="AI176" s="568"/>
      <c r="AJ176" s="568"/>
      <c r="AK176" s="568"/>
      <c r="AL176" s="568"/>
      <c r="AM176" s="571" t="str">
        <f>LISTAS!D183</f>
        <v/>
      </c>
      <c r="AN176" s="571"/>
      <c r="AO176" s="122"/>
      <c r="AP176" s="118"/>
    </row>
    <row r="177" spans="2:42" ht="12.75" x14ac:dyDescent="0.2">
      <c r="B177" s="117"/>
      <c r="C177" s="568" t="s">
        <v>3665</v>
      </c>
      <c r="D177" s="568"/>
      <c r="E177" s="568"/>
      <c r="F177" s="568"/>
      <c r="G177" s="568"/>
      <c r="H177" s="568"/>
      <c r="I177" s="568"/>
      <c r="J177" s="568"/>
      <c r="K177" s="568"/>
      <c r="L177" s="568"/>
      <c r="M177" s="568"/>
      <c r="N177" s="568"/>
      <c r="O177" s="568"/>
      <c r="P177" s="568"/>
      <c r="Q177" s="568"/>
      <c r="R177" s="568"/>
      <c r="S177" s="568"/>
      <c r="T177" s="568"/>
      <c r="U177" s="568"/>
      <c r="V177" s="568"/>
      <c r="W177" s="568"/>
      <c r="X177" s="568"/>
      <c r="Y177" s="568"/>
      <c r="Z177" s="568"/>
      <c r="AA177" s="568"/>
      <c r="AB177" s="568"/>
      <c r="AC177" s="568"/>
      <c r="AD177" s="568"/>
      <c r="AE177" s="568"/>
      <c r="AF177" s="568"/>
      <c r="AG177" s="568"/>
      <c r="AH177" s="568"/>
      <c r="AI177" s="568"/>
      <c r="AJ177" s="568"/>
      <c r="AK177" s="568"/>
      <c r="AL177" s="568"/>
      <c r="AM177" s="571" t="str">
        <f>LISTAS!D184</f>
        <v/>
      </c>
      <c r="AN177" s="571"/>
      <c r="AO177" s="122"/>
      <c r="AP177" s="118"/>
    </row>
    <row r="178" spans="2:42" ht="12.75" x14ac:dyDescent="0.2">
      <c r="B178" s="117"/>
      <c r="C178" s="569" t="s">
        <v>1801</v>
      </c>
      <c r="D178" s="569"/>
      <c r="E178" s="569"/>
      <c r="F178" s="569"/>
      <c r="G178" s="569"/>
      <c r="H178" s="569"/>
      <c r="I178" s="569"/>
      <c r="J178" s="569"/>
      <c r="K178" s="569"/>
      <c r="L178" s="569"/>
      <c r="M178" s="569"/>
      <c r="N178" s="569"/>
      <c r="O178" s="569"/>
      <c r="P178" s="569"/>
      <c r="Q178" s="569"/>
      <c r="R178" s="569"/>
      <c r="S178" s="569"/>
      <c r="T178" s="569"/>
      <c r="U178" s="569"/>
      <c r="V178" s="569"/>
      <c r="W178" s="569"/>
      <c r="X178" s="569"/>
      <c r="Y178" s="569"/>
      <c r="Z178" s="569"/>
      <c r="AA178" s="569"/>
      <c r="AB178" s="569"/>
      <c r="AC178" s="569"/>
      <c r="AD178" s="569"/>
      <c r="AE178" s="569"/>
      <c r="AF178" s="569"/>
      <c r="AG178" s="569"/>
      <c r="AH178" s="569"/>
      <c r="AI178" s="569"/>
      <c r="AJ178" s="569"/>
      <c r="AK178" s="569"/>
      <c r="AL178" s="569"/>
      <c r="AM178" s="122"/>
      <c r="AN178" s="122"/>
      <c r="AO178" s="122"/>
      <c r="AP178" s="118"/>
    </row>
    <row r="179" spans="2:42" ht="25.5" customHeight="1" x14ac:dyDescent="0.2">
      <c r="B179" s="117"/>
      <c r="C179" s="570" t="str">
        <f>LISTAS!D185</f>
        <v/>
      </c>
      <c r="D179" s="570"/>
      <c r="E179" s="570"/>
      <c r="F179" s="570"/>
      <c r="G179" s="570"/>
      <c r="H179" s="570"/>
      <c r="I179" s="570"/>
      <c r="J179" s="570"/>
      <c r="K179" s="570"/>
      <c r="L179" s="570"/>
      <c r="M179" s="570"/>
      <c r="N179" s="570"/>
      <c r="O179" s="570"/>
      <c r="P179" s="570"/>
      <c r="Q179" s="570"/>
      <c r="R179" s="570"/>
      <c r="S179" s="570"/>
      <c r="T179" s="570"/>
      <c r="U179" s="570"/>
      <c r="V179" s="570"/>
      <c r="W179" s="570"/>
      <c r="X179" s="570"/>
      <c r="Y179" s="570"/>
      <c r="Z179" s="570"/>
      <c r="AA179" s="570"/>
      <c r="AB179" s="570"/>
      <c r="AC179" s="570"/>
      <c r="AD179" s="570"/>
      <c r="AE179" s="570"/>
      <c r="AF179" s="570"/>
      <c r="AG179" s="570"/>
      <c r="AH179" s="570"/>
      <c r="AI179" s="570"/>
      <c r="AJ179" s="570"/>
      <c r="AK179" s="570"/>
      <c r="AL179" s="570"/>
      <c r="AM179" s="124"/>
      <c r="AN179" s="124"/>
      <c r="AO179" s="122"/>
      <c r="AP179" s="118"/>
    </row>
    <row r="180" spans="2:42" ht="12.75" x14ac:dyDescent="0.2">
      <c r="B180" s="117"/>
      <c r="C180" s="569"/>
      <c r="D180" s="569"/>
      <c r="E180" s="569"/>
      <c r="F180" s="569"/>
      <c r="G180" s="569"/>
      <c r="H180" s="569"/>
      <c r="I180" s="569"/>
      <c r="J180" s="569"/>
      <c r="K180" s="569"/>
      <c r="L180" s="569"/>
      <c r="M180" s="569"/>
      <c r="N180" s="569"/>
      <c r="O180" s="569"/>
      <c r="P180" s="569"/>
      <c r="Q180" s="569"/>
      <c r="R180" s="569"/>
      <c r="S180" s="569"/>
      <c r="T180" s="569"/>
      <c r="U180" s="569"/>
      <c r="V180" s="569"/>
      <c r="W180" s="569"/>
      <c r="X180" s="569"/>
      <c r="Y180" s="569"/>
      <c r="Z180" s="569"/>
      <c r="AA180" s="569"/>
      <c r="AB180" s="569"/>
      <c r="AC180" s="569"/>
      <c r="AD180" s="569"/>
      <c r="AE180" s="569"/>
      <c r="AF180" s="569"/>
      <c r="AG180" s="569"/>
      <c r="AH180" s="569"/>
      <c r="AI180" s="569"/>
      <c r="AJ180" s="569"/>
      <c r="AK180" s="569"/>
      <c r="AL180" s="569"/>
      <c r="AM180" s="124"/>
      <c r="AN180" s="124"/>
      <c r="AO180" s="122"/>
      <c r="AP180" s="118"/>
    </row>
    <row r="181" spans="2:42" ht="12.75" x14ac:dyDescent="0.2">
      <c r="B181" s="117"/>
      <c r="C181" s="568" t="s">
        <v>3675</v>
      </c>
      <c r="D181" s="568"/>
      <c r="E181" s="568"/>
      <c r="F181" s="568"/>
      <c r="G181" s="568"/>
      <c r="H181" s="568"/>
      <c r="I181" s="568"/>
      <c r="J181" s="568"/>
      <c r="K181" s="568"/>
      <c r="L181" s="568"/>
      <c r="M181" s="568"/>
      <c r="N181" s="568"/>
      <c r="O181" s="568"/>
      <c r="P181" s="568"/>
      <c r="Q181" s="568"/>
      <c r="R181" s="568"/>
      <c r="S181" s="568"/>
      <c r="T181" s="568"/>
      <c r="U181" s="568"/>
      <c r="V181" s="568"/>
      <c r="W181" s="568"/>
      <c r="X181" s="568"/>
      <c r="Y181" s="568"/>
      <c r="Z181" s="568"/>
      <c r="AA181" s="568"/>
      <c r="AB181" s="568"/>
      <c r="AC181" s="568"/>
      <c r="AD181" s="568"/>
      <c r="AE181" s="568"/>
      <c r="AF181" s="568"/>
      <c r="AG181" s="568"/>
      <c r="AH181" s="568"/>
      <c r="AI181" s="568"/>
      <c r="AJ181" s="568"/>
      <c r="AK181" s="568"/>
      <c r="AL181" s="568"/>
      <c r="AM181" s="124"/>
      <c r="AN181" s="124"/>
      <c r="AO181" s="122"/>
      <c r="AP181" s="118"/>
    </row>
    <row r="182" spans="2:42" ht="12.75" x14ac:dyDescent="0.2">
      <c r="B182" s="117"/>
      <c r="C182" s="568" t="s">
        <v>3735</v>
      </c>
      <c r="D182" s="568"/>
      <c r="E182" s="568"/>
      <c r="F182" s="568"/>
      <c r="G182" s="568"/>
      <c r="H182" s="568"/>
      <c r="I182" s="568"/>
      <c r="J182" s="568"/>
      <c r="K182" s="568"/>
      <c r="L182" s="568"/>
      <c r="M182" s="568"/>
      <c r="N182" s="568"/>
      <c r="O182" s="568"/>
      <c r="P182" s="568"/>
      <c r="Q182" s="568"/>
      <c r="R182" s="568"/>
      <c r="S182" s="568"/>
      <c r="T182" s="568"/>
      <c r="U182" s="568"/>
      <c r="V182" s="568"/>
      <c r="W182" s="568"/>
      <c r="X182" s="568"/>
      <c r="Y182" s="568"/>
      <c r="Z182" s="568"/>
      <c r="AA182" s="568"/>
      <c r="AB182" s="568"/>
      <c r="AC182" s="568"/>
      <c r="AD182" s="568"/>
      <c r="AE182" s="568"/>
      <c r="AF182" s="568"/>
      <c r="AG182" s="568"/>
      <c r="AH182" s="568"/>
      <c r="AI182" s="568"/>
      <c r="AJ182" s="568"/>
      <c r="AK182" s="568"/>
      <c r="AL182" s="568"/>
      <c r="AM182" s="124"/>
      <c r="AN182" s="124"/>
      <c r="AO182" s="122"/>
      <c r="AP182" s="118"/>
    </row>
    <row r="183" spans="2:42" ht="12.75" x14ac:dyDescent="0.2">
      <c r="B183" s="117"/>
      <c r="C183" s="568" t="s">
        <v>3664</v>
      </c>
      <c r="D183" s="568"/>
      <c r="E183" s="568"/>
      <c r="F183" s="568"/>
      <c r="G183" s="568"/>
      <c r="H183" s="568"/>
      <c r="I183" s="568"/>
      <c r="J183" s="568"/>
      <c r="K183" s="568"/>
      <c r="L183" s="568"/>
      <c r="M183" s="568"/>
      <c r="N183" s="568"/>
      <c r="O183" s="568"/>
      <c r="P183" s="568"/>
      <c r="Q183" s="568"/>
      <c r="R183" s="568"/>
      <c r="S183" s="568"/>
      <c r="T183" s="568"/>
      <c r="U183" s="568"/>
      <c r="V183" s="568"/>
      <c r="W183" s="568"/>
      <c r="X183" s="568"/>
      <c r="Y183" s="568"/>
      <c r="Z183" s="568"/>
      <c r="AA183" s="568"/>
      <c r="AB183" s="568"/>
      <c r="AC183" s="568"/>
      <c r="AD183" s="568"/>
      <c r="AE183" s="568"/>
      <c r="AF183" s="568"/>
      <c r="AG183" s="568"/>
      <c r="AH183" s="568"/>
      <c r="AI183" s="568"/>
      <c r="AJ183" s="568"/>
      <c r="AK183" s="568"/>
      <c r="AL183" s="568"/>
      <c r="AM183" s="571" t="str">
        <f>LISTAS!D186</f>
        <v/>
      </c>
      <c r="AN183" s="571"/>
      <c r="AO183" s="122"/>
      <c r="AP183" s="118"/>
    </row>
    <row r="184" spans="2:42" ht="12.75" x14ac:dyDescent="0.2">
      <c r="B184" s="117"/>
      <c r="C184" s="568" t="s">
        <v>3776</v>
      </c>
      <c r="D184" s="568"/>
      <c r="E184" s="568"/>
      <c r="F184" s="568"/>
      <c r="G184" s="568"/>
      <c r="H184" s="568"/>
      <c r="I184" s="568"/>
      <c r="J184" s="568"/>
      <c r="K184" s="568"/>
      <c r="L184" s="568"/>
      <c r="M184" s="568"/>
      <c r="N184" s="568"/>
      <c r="O184" s="568"/>
      <c r="P184" s="568"/>
      <c r="Q184" s="568"/>
      <c r="R184" s="568"/>
      <c r="S184" s="568"/>
      <c r="T184" s="568"/>
      <c r="U184" s="568"/>
      <c r="V184" s="568"/>
      <c r="W184" s="568"/>
      <c r="X184" s="568"/>
      <c r="Y184" s="568"/>
      <c r="Z184" s="568"/>
      <c r="AA184" s="568"/>
      <c r="AB184" s="568"/>
      <c r="AC184" s="568"/>
      <c r="AD184" s="568"/>
      <c r="AE184" s="568"/>
      <c r="AF184" s="568"/>
      <c r="AG184" s="568"/>
      <c r="AH184" s="568"/>
      <c r="AI184" s="568"/>
      <c r="AJ184" s="568"/>
      <c r="AK184" s="568"/>
      <c r="AL184" s="568"/>
      <c r="AM184" s="571" t="str">
        <f>LISTAS!D187</f>
        <v/>
      </c>
      <c r="AN184" s="571"/>
      <c r="AO184" s="122"/>
      <c r="AP184" s="118"/>
    </row>
    <row r="185" spans="2:42" ht="12.75" x14ac:dyDescent="0.2">
      <c r="B185" s="117"/>
      <c r="C185" s="568" t="s">
        <v>3777</v>
      </c>
      <c r="D185" s="568"/>
      <c r="E185" s="568"/>
      <c r="F185" s="568"/>
      <c r="G185" s="568"/>
      <c r="H185" s="568"/>
      <c r="I185" s="568"/>
      <c r="J185" s="568"/>
      <c r="K185" s="568"/>
      <c r="L185" s="568"/>
      <c r="M185" s="568"/>
      <c r="N185" s="568"/>
      <c r="O185" s="568"/>
      <c r="P185" s="568"/>
      <c r="Q185" s="568"/>
      <c r="R185" s="568"/>
      <c r="S185" s="568"/>
      <c r="T185" s="568"/>
      <c r="U185" s="568"/>
      <c r="V185" s="568"/>
      <c r="W185" s="568"/>
      <c r="X185" s="568"/>
      <c r="Y185" s="568"/>
      <c r="Z185" s="568"/>
      <c r="AA185" s="568"/>
      <c r="AB185" s="568"/>
      <c r="AC185" s="568"/>
      <c r="AD185" s="568"/>
      <c r="AE185" s="568"/>
      <c r="AF185" s="568"/>
      <c r="AG185" s="568"/>
      <c r="AH185" s="568"/>
      <c r="AI185" s="568"/>
      <c r="AJ185" s="568"/>
      <c r="AK185" s="568"/>
      <c r="AL185" s="568"/>
      <c r="AM185" s="571" t="str">
        <f>LISTAS!D188</f>
        <v/>
      </c>
      <c r="AN185" s="571"/>
      <c r="AO185" s="122"/>
      <c r="AP185" s="118"/>
    </row>
    <row r="186" spans="2:42" ht="12.75" x14ac:dyDescent="0.2">
      <c r="B186" s="117"/>
      <c r="C186" s="568" t="s">
        <v>3665</v>
      </c>
      <c r="D186" s="568"/>
      <c r="E186" s="568"/>
      <c r="F186" s="568"/>
      <c r="G186" s="568"/>
      <c r="H186" s="568"/>
      <c r="I186" s="568"/>
      <c r="J186" s="568"/>
      <c r="K186" s="568"/>
      <c r="L186" s="568"/>
      <c r="M186" s="568"/>
      <c r="N186" s="568"/>
      <c r="O186" s="568"/>
      <c r="P186" s="568"/>
      <c r="Q186" s="568"/>
      <c r="R186" s="568"/>
      <c r="S186" s="568"/>
      <c r="T186" s="568"/>
      <c r="U186" s="568"/>
      <c r="V186" s="568"/>
      <c r="W186" s="568"/>
      <c r="X186" s="568"/>
      <c r="Y186" s="568"/>
      <c r="Z186" s="568"/>
      <c r="AA186" s="568"/>
      <c r="AB186" s="568"/>
      <c r="AC186" s="568"/>
      <c r="AD186" s="568"/>
      <c r="AE186" s="568"/>
      <c r="AF186" s="568"/>
      <c r="AG186" s="568"/>
      <c r="AH186" s="568"/>
      <c r="AI186" s="568"/>
      <c r="AJ186" s="568"/>
      <c r="AK186" s="568"/>
      <c r="AL186" s="568"/>
      <c r="AM186" s="571" t="str">
        <f>LISTAS!D189</f>
        <v/>
      </c>
      <c r="AN186" s="571"/>
      <c r="AO186" s="122"/>
      <c r="AP186" s="118"/>
    </row>
    <row r="187" spans="2:42" ht="12.75" x14ac:dyDescent="0.2">
      <c r="B187" s="117"/>
      <c r="C187" s="569" t="s">
        <v>1801</v>
      </c>
      <c r="D187" s="569"/>
      <c r="E187" s="569"/>
      <c r="F187" s="569"/>
      <c r="G187" s="569"/>
      <c r="H187" s="569"/>
      <c r="I187" s="569"/>
      <c r="J187" s="569"/>
      <c r="K187" s="569"/>
      <c r="L187" s="569"/>
      <c r="M187" s="569"/>
      <c r="N187" s="569"/>
      <c r="O187" s="569"/>
      <c r="P187" s="569"/>
      <c r="Q187" s="569"/>
      <c r="R187" s="569"/>
      <c r="S187" s="569"/>
      <c r="T187" s="569"/>
      <c r="U187" s="569"/>
      <c r="V187" s="569"/>
      <c r="W187" s="569"/>
      <c r="X187" s="569"/>
      <c r="Y187" s="569"/>
      <c r="Z187" s="569"/>
      <c r="AA187" s="569"/>
      <c r="AB187" s="569"/>
      <c r="AC187" s="569"/>
      <c r="AD187" s="569"/>
      <c r="AE187" s="569"/>
      <c r="AF187" s="569"/>
      <c r="AG187" s="569"/>
      <c r="AH187" s="569"/>
      <c r="AI187" s="569"/>
      <c r="AJ187" s="569"/>
      <c r="AK187" s="569"/>
      <c r="AL187" s="569"/>
      <c r="AM187" s="122"/>
      <c r="AN187" s="122"/>
      <c r="AO187" s="122"/>
      <c r="AP187" s="118"/>
    </row>
    <row r="188" spans="2:42" ht="25.5" customHeight="1" x14ac:dyDescent="0.2">
      <c r="B188" s="117"/>
      <c r="C188" s="570" t="str">
        <f>LISTAS!D190</f>
        <v/>
      </c>
      <c r="D188" s="570"/>
      <c r="E188" s="570"/>
      <c r="F188" s="570"/>
      <c r="G188" s="570"/>
      <c r="H188" s="570"/>
      <c r="I188" s="570"/>
      <c r="J188" s="570"/>
      <c r="K188" s="570"/>
      <c r="L188" s="570"/>
      <c r="M188" s="570"/>
      <c r="N188" s="570"/>
      <c r="O188" s="570"/>
      <c r="P188" s="570"/>
      <c r="Q188" s="570"/>
      <c r="R188" s="570"/>
      <c r="S188" s="570"/>
      <c r="T188" s="570"/>
      <c r="U188" s="570"/>
      <c r="V188" s="570"/>
      <c r="W188" s="570"/>
      <c r="X188" s="570"/>
      <c r="Y188" s="570"/>
      <c r="Z188" s="570"/>
      <c r="AA188" s="570"/>
      <c r="AB188" s="570"/>
      <c r="AC188" s="570"/>
      <c r="AD188" s="570"/>
      <c r="AE188" s="570"/>
      <c r="AF188" s="570"/>
      <c r="AG188" s="570"/>
      <c r="AH188" s="570"/>
      <c r="AI188" s="570"/>
      <c r="AJ188" s="570"/>
      <c r="AK188" s="570"/>
      <c r="AL188" s="570"/>
      <c r="AM188" s="124"/>
      <c r="AN188" s="124"/>
      <c r="AO188" s="122"/>
      <c r="AP188" s="118"/>
    </row>
    <row r="189" spans="2:42" ht="12.75" x14ac:dyDescent="0.2">
      <c r="B189" s="117"/>
      <c r="C189" s="569"/>
      <c r="D189" s="569"/>
      <c r="E189" s="569"/>
      <c r="F189" s="569"/>
      <c r="G189" s="569"/>
      <c r="H189" s="569"/>
      <c r="I189" s="569"/>
      <c r="J189" s="569"/>
      <c r="K189" s="569"/>
      <c r="L189" s="569"/>
      <c r="M189" s="569"/>
      <c r="N189" s="569"/>
      <c r="O189" s="569"/>
      <c r="P189" s="569"/>
      <c r="Q189" s="569"/>
      <c r="R189" s="569"/>
      <c r="S189" s="569"/>
      <c r="T189" s="569"/>
      <c r="U189" s="569"/>
      <c r="V189" s="569"/>
      <c r="W189" s="569"/>
      <c r="X189" s="569"/>
      <c r="Y189" s="569"/>
      <c r="Z189" s="569"/>
      <c r="AA189" s="569"/>
      <c r="AB189" s="569"/>
      <c r="AC189" s="569"/>
      <c r="AD189" s="569"/>
      <c r="AE189" s="569"/>
      <c r="AF189" s="569"/>
      <c r="AG189" s="569"/>
      <c r="AH189" s="569"/>
      <c r="AI189" s="569"/>
      <c r="AJ189" s="569"/>
      <c r="AK189" s="569"/>
      <c r="AL189" s="569"/>
      <c r="AM189" s="124"/>
      <c r="AN189" s="124"/>
      <c r="AO189" s="122"/>
      <c r="AP189" s="118"/>
    </row>
    <row r="190" spans="2:42" ht="12.75" x14ac:dyDescent="0.2">
      <c r="B190" s="117"/>
      <c r="C190" s="568" t="str">
        <f>IF(LISTAS!AI22="","Otros Proyectos 1",LISTAS!AI22)</f>
        <v>Otros Proyectos 1</v>
      </c>
      <c r="D190" s="568"/>
      <c r="E190" s="568"/>
      <c r="F190" s="568"/>
      <c r="G190" s="568"/>
      <c r="H190" s="568"/>
      <c r="I190" s="568"/>
      <c r="J190" s="568"/>
      <c r="K190" s="568"/>
      <c r="L190" s="568"/>
      <c r="M190" s="568"/>
      <c r="N190" s="568"/>
      <c r="O190" s="568"/>
      <c r="P190" s="568"/>
      <c r="Q190" s="568"/>
      <c r="R190" s="568"/>
      <c r="S190" s="568"/>
      <c r="T190" s="568"/>
      <c r="U190" s="568"/>
      <c r="V190" s="568"/>
      <c r="W190" s="568"/>
      <c r="X190" s="568"/>
      <c r="Y190" s="568"/>
      <c r="Z190" s="568"/>
      <c r="AA190" s="568"/>
      <c r="AB190" s="568"/>
      <c r="AC190" s="568"/>
      <c r="AD190" s="568"/>
      <c r="AE190" s="568"/>
      <c r="AF190" s="568"/>
      <c r="AG190" s="568"/>
      <c r="AH190" s="568"/>
      <c r="AI190" s="568"/>
      <c r="AJ190" s="568"/>
      <c r="AK190" s="568"/>
      <c r="AL190" s="568"/>
      <c r="AM190" s="124"/>
      <c r="AN190" s="124"/>
      <c r="AO190" s="122"/>
      <c r="AP190" s="118"/>
    </row>
    <row r="191" spans="2:42" ht="12.75" x14ac:dyDescent="0.2">
      <c r="B191" s="117"/>
      <c r="C191" s="568" t="s">
        <v>3735</v>
      </c>
      <c r="D191" s="568"/>
      <c r="E191" s="568"/>
      <c r="F191" s="568"/>
      <c r="G191" s="568"/>
      <c r="H191" s="568"/>
      <c r="I191" s="568"/>
      <c r="J191" s="568"/>
      <c r="K191" s="568"/>
      <c r="L191" s="568"/>
      <c r="M191" s="568"/>
      <c r="N191" s="568"/>
      <c r="O191" s="568"/>
      <c r="P191" s="568"/>
      <c r="Q191" s="568"/>
      <c r="R191" s="568"/>
      <c r="S191" s="568"/>
      <c r="T191" s="568"/>
      <c r="U191" s="568"/>
      <c r="V191" s="568"/>
      <c r="W191" s="568"/>
      <c r="X191" s="568"/>
      <c r="Y191" s="568"/>
      <c r="Z191" s="568"/>
      <c r="AA191" s="568"/>
      <c r="AB191" s="568"/>
      <c r="AC191" s="568"/>
      <c r="AD191" s="568"/>
      <c r="AE191" s="568"/>
      <c r="AF191" s="568"/>
      <c r="AG191" s="568"/>
      <c r="AH191" s="568"/>
      <c r="AI191" s="568"/>
      <c r="AJ191" s="568"/>
      <c r="AK191" s="568"/>
      <c r="AL191" s="568"/>
      <c r="AM191" s="124"/>
      <c r="AN191" s="124"/>
      <c r="AO191" s="122"/>
      <c r="AP191" s="118"/>
    </row>
    <row r="192" spans="2:42" ht="12.75" x14ac:dyDescent="0.2">
      <c r="B192" s="117"/>
      <c r="C192" s="568" t="s">
        <v>3664</v>
      </c>
      <c r="D192" s="568"/>
      <c r="E192" s="568"/>
      <c r="F192" s="568"/>
      <c r="G192" s="568"/>
      <c r="H192" s="568"/>
      <c r="I192" s="568"/>
      <c r="J192" s="568"/>
      <c r="K192" s="568"/>
      <c r="L192" s="568"/>
      <c r="M192" s="568"/>
      <c r="N192" s="568"/>
      <c r="O192" s="568"/>
      <c r="P192" s="568"/>
      <c r="Q192" s="568"/>
      <c r="R192" s="568"/>
      <c r="S192" s="568"/>
      <c r="T192" s="568"/>
      <c r="U192" s="568"/>
      <c r="V192" s="568"/>
      <c r="W192" s="568"/>
      <c r="X192" s="568"/>
      <c r="Y192" s="568"/>
      <c r="Z192" s="568"/>
      <c r="AA192" s="568"/>
      <c r="AB192" s="568"/>
      <c r="AC192" s="568"/>
      <c r="AD192" s="568"/>
      <c r="AE192" s="568"/>
      <c r="AF192" s="568"/>
      <c r="AG192" s="568"/>
      <c r="AH192" s="568"/>
      <c r="AI192" s="568"/>
      <c r="AJ192" s="568"/>
      <c r="AK192" s="568"/>
      <c r="AL192" s="568"/>
      <c r="AM192" s="571" t="str">
        <f>LISTAS!D191</f>
        <v/>
      </c>
      <c r="AN192" s="571"/>
      <c r="AO192" s="122"/>
      <c r="AP192" s="118"/>
    </row>
    <row r="193" spans="2:42" ht="12.75" x14ac:dyDescent="0.2">
      <c r="B193" s="117"/>
      <c r="C193" s="568" t="s">
        <v>3776</v>
      </c>
      <c r="D193" s="568"/>
      <c r="E193" s="568"/>
      <c r="F193" s="568"/>
      <c r="G193" s="568"/>
      <c r="H193" s="568"/>
      <c r="I193" s="568"/>
      <c r="J193" s="568"/>
      <c r="K193" s="568"/>
      <c r="L193" s="568"/>
      <c r="M193" s="568"/>
      <c r="N193" s="568"/>
      <c r="O193" s="568"/>
      <c r="P193" s="568"/>
      <c r="Q193" s="568"/>
      <c r="R193" s="568"/>
      <c r="S193" s="568"/>
      <c r="T193" s="568"/>
      <c r="U193" s="568"/>
      <c r="V193" s="568"/>
      <c r="W193" s="568"/>
      <c r="X193" s="568"/>
      <c r="Y193" s="568"/>
      <c r="Z193" s="568"/>
      <c r="AA193" s="568"/>
      <c r="AB193" s="568"/>
      <c r="AC193" s="568"/>
      <c r="AD193" s="568"/>
      <c r="AE193" s="568"/>
      <c r="AF193" s="568"/>
      <c r="AG193" s="568"/>
      <c r="AH193" s="568"/>
      <c r="AI193" s="568"/>
      <c r="AJ193" s="568"/>
      <c r="AK193" s="568"/>
      <c r="AL193" s="568"/>
      <c r="AM193" s="571" t="str">
        <f>LISTAS!D192</f>
        <v/>
      </c>
      <c r="AN193" s="571"/>
      <c r="AO193" s="122"/>
      <c r="AP193" s="118"/>
    </row>
    <row r="194" spans="2:42" ht="12.75" x14ac:dyDescent="0.2">
      <c r="B194" s="117"/>
      <c r="C194" s="568" t="s">
        <v>3777</v>
      </c>
      <c r="D194" s="568"/>
      <c r="E194" s="568"/>
      <c r="F194" s="568"/>
      <c r="G194" s="568"/>
      <c r="H194" s="568"/>
      <c r="I194" s="568"/>
      <c r="J194" s="568"/>
      <c r="K194" s="568"/>
      <c r="L194" s="568"/>
      <c r="M194" s="568"/>
      <c r="N194" s="568"/>
      <c r="O194" s="568"/>
      <c r="P194" s="568"/>
      <c r="Q194" s="568"/>
      <c r="R194" s="568"/>
      <c r="S194" s="568"/>
      <c r="T194" s="568"/>
      <c r="U194" s="568"/>
      <c r="V194" s="568"/>
      <c r="W194" s="568"/>
      <c r="X194" s="568"/>
      <c r="Y194" s="568"/>
      <c r="Z194" s="568"/>
      <c r="AA194" s="568"/>
      <c r="AB194" s="568"/>
      <c r="AC194" s="568"/>
      <c r="AD194" s="568"/>
      <c r="AE194" s="568"/>
      <c r="AF194" s="568"/>
      <c r="AG194" s="568"/>
      <c r="AH194" s="568"/>
      <c r="AI194" s="568"/>
      <c r="AJ194" s="568"/>
      <c r="AK194" s="568"/>
      <c r="AL194" s="568"/>
      <c r="AM194" s="571" t="str">
        <f>LISTAS!D193</f>
        <v/>
      </c>
      <c r="AN194" s="571"/>
      <c r="AO194" s="122"/>
      <c r="AP194" s="118"/>
    </row>
    <row r="195" spans="2:42" ht="12.75" x14ac:dyDescent="0.2">
      <c r="B195" s="117"/>
      <c r="C195" s="568" t="s">
        <v>3665</v>
      </c>
      <c r="D195" s="568"/>
      <c r="E195" s="568"/>
      <c r="F195" s="568"/>
      <c r="G195" s="568"/>
      <c r="H195" s="568"/>
      <c r="I195" s="568"/>
      <c r="J195" s="568"/>
      <c r="K195" s="568"/>
      <c r="L195" s="568"/>
      <c r="M195" s="568"/>
      <c r="N195" s="568"/>
      <c r="O195" s="568"/>
      <c r="P195" s="568"/>
      <c r="Q195" s="568"/>
      <c r="R195" s="568"/>
      <c r="S195" s="568"/>
      <c r="T195" s="568"/>
      <c r="U195" s="568"/>
      <c r="V195" s="568"/>
      <c r="W195" s="568"/>
      <c r="X195" s="568"/>
      <c r="Y195" s="568"/>
      <c r="Z195" s="568"/>
      <c r="AA195" s="568"/>
      <c r="AB195" s="568"/>
      <c r="AC195" s="568"/>
      <c r="AD195" s="568"/>
      <c r="AE195" s="568"/>
      <c r="AF195" s="568"/>
      <c r="AG195" s="568"/>
      <c r="AH195" s="568"/>
      <c r="AI195" s="568"/>
      <c r="AJ195" s="568"/>
      <c r="AK195" s="568"/>
      <c r="AL195" s="568"/>
      <c r="AM195" s="571" t="str">
        <f>LISTAS!D194</f>
        <v/>
      </c>
      <c r="AN195" s="571"/>
      <c r="AO195" s="122"/>
      <c r="AP195" s="118"/>
    </row>
    <row r="196" spans="2:42" ht="12.75" x14ac:dyDescent="0.2">
      <c r="B196" s="117"/>
      <c r="C196" s="569" t="s">
        <v>1801</v>
      </c>
      <c r="D196" s="569"/>
      <c r="E196" s="569"/>
      <c r="F196" s="569"/>
      <c r="G196" s="569"/>
      <c r="H196" s="569"/>
      <c r="I196" s="569"/>
      <c r="J196" s="569"/>
      <c r="K196" s="569"/>
      <c r="L196" s="569"/>
      <c r="M196" s="569"/>
      <c r="N196" s="569"/>
      <c r="O196" s="569"/>
      <c r="P196" s="569"/>
      <c r="Q196" s="569"/>
      <c r="R196" s="569"/>
      <c r="S196" s="569"/>
      <c r="T196" s="569"/>
      <c r="U196" s="569"/>
      <c r="V196" s="569"/>
      <c r="W196" s="569"/>
      <c r="X196" s="569"/>
      <c r="Y196" s="569"/>
      <c r="Z196" s="569"/>
      <c r="AA196" s="569"/>
      <c r="AB196" s="569"/>
      <c r="AC196" s="569"/>
      <c r="AD196" s="569"/>
      <c r="AE196" s="569"/>
      <c r="AF196" s="569"/>
      <c r="AG196" s="569"/>
      <c r="AH196" s="569"/>
      <c r="AI196" s="569"/>
      <c r="AJ196" s="569"/>
      <c r="AK196" s="569"/>
      <c r="AL196" s="569"/>
      <c r="AM196" s="122"/>
      <c r="AN196" s="122"/>
      <c r="AO196" s="122"/>
      <c r="AP196" s="118"/>
    </row>
    <row r="197" spans="2:42" ht="25.5" customHeight="1" x14ac:dyDescent="0.2">
      <c r="B197" s="117"/>
      <c r="C197" s="570" t="str">
        <f>LISTAS!D195</f>
        <v/>
      </c>
      <c r="D197" s="570"/>
      <c r="E197" s="570"/>
      <c r="F197" s="570"/>
      <c r="G197" s="570"/>
      <c r="H197" s="570"/>
      <c r="I197" s="570"/>
      <c r="J197" s="570"/>
      <c r="K197" s="570"/>
      <c r="L197" s="570"/>
      <c r="M197" s="570"/>
      <c r="N197" s="570"/>
      <c r="O197" s="570"/>
      <c r="P197" s="570"/>
      <c r="Q197" s="570"/>
      <c r="R197" s="570"/>
      <c r="S197" s="570"/>
      <c r="T197" s="570"/>
      <c r="U197" s="570"/>
      <c r="V197" s="570"/>
      <c r="W197" s="570"/>
      <c r="X197" s="570"/>
      <c r="Y197" s="570"/>
      <c r="Z197" s="570"/>
      <c r="AA197" s="570"/>
      <c r="AB197" s="570"/>
      <c r="AC197" s="570"/>
      <c r="AD197" s="570"/>
      <c r="AE197" s="570"/>
      <c r="AF197" s="570"/>
      <c r="AG197" s="570"/>
      <c r="AH197" s="570"/>
      <c r="AI197" s="570"/>
      <c r="AJ197" s="570"/>
      <c r="AK197" s="570"/>
      <c r="AL197" s="570"/>
      <c r="AM197" s="124"/>
      <c r="AN197" s="124"/>
      <c r="AO197" s="122"/>
      <c r="AP197" s="118"/>
    </row>
    <row r="198" spans="2:42" ht="12.75" x14ac:dyDescent="0.2">
      <c r="B198" s="117"/>
      <c r="C198" s="569"/>
      <c r="D198" s="569"/>
      <c r="E198" s="569"/>
      <c r="F198" s="569"/>
      <c r="G198" s="569"/>
      <c r="H198" s="569"/>
      <c r="I198" s="569"/>
      <c r="J198" s="569"/>
      <c r="K198" s="569"/>
      <c r="L198" s="569"/>
      <c r="M198" s="569"/>
      <c r="N198" s="569"/>
      <c r="O198" s="569"/>
      <c r="P198" s="569"/>
      <c r="Q198" s="569"/>
      <c r="R198" s="569"/>
      <c r="S198" s="569"/>
      <c r="T198" s="569"/>
      <c r="U198" s="569"/>
      <c r="V198" s="569"/>
      <c r="W198" s="569"/>
      <c r="X198" s="569"/>
      <c r="Y198" s="569"/>
      <c r="Z198" s="569"/>
      <c r="AA198" s="569"/>
      <c r="AB198" s="569"/>
      <c r="AC198" s="569"/>
      <c r="AD198" s="569"/>
      <c r="AE198" s="569"/>
      <c r="AF198" s="569"/>
      <c r="AG198" s="569"/>
      <c r="AH198" s="569"/>
      <c r="AI198" s="569"/>
      <c r="AJ198" s="569"/>
      <c r="AK198" s="569"/>
      <c r="AL198" s="569"/>
      <c r="AM198" s="124"/>
      <c r="AN198" s="124"/>
      <c r="AO198" s="122"/>
      <c r="AP198" s="118"/>
    </row>
    <row r="199" spans="2:42" ht="12.75" x14ac:dyDescent="0.2">
      <c r="B199" s="117"/>
      <c r="C199" s="568" t="str">
        <f>IF(LISTAS!AI23="","Otros Proyectos 2",LISTAS!AI23)</f>
        <v>Otros Proyectos 2</v>
      </c>
      <c r="D199" s="568"/>
      <c r="E199" s="568"/>
      <c r="F199" s="568"/>
      <c r="G199" s="568"/>
      <c r="H199" s="568"/>
      <c r="I199" s="568"/>
      <c r="J199" s="568"/>
      <c r="K199" s="568"/>
      <c r="L199" s="568"/>
      <c r="M199" s="568"/>
      <c r="N199" s="568"/>
      <c r="O199" s="568"/>
      <c r="P199" s="568"/>
      <c r="Q199" s="568"/>
      <c r="R199" s="568"/>
      <c r="S199" s="568"/>
      <c r="T199" s="568"/>
      <c r="U199" s="568"/>
      <c r="V199" s="568"/>
      <c r="W199" s="568"/>
      <c r="X199" s="568"/>
      <c r="Y199" s="568"/>
      <c r="Z199" s="568"/>
      <c r="AA199" s="568"/>
      <c r="AB199" s="568"/>
      <c r="AC199" s="568"/>
      <c r="AD199" s="568"/>
      <c r="AE199" s="568"/>
      <c r="AF199" s="568"/>
      <c r="AG199" s="568"/>
      <c r="AH199" s="568"/>
      <c r="AI199" s="568"/>
      <c r="AJ199" s="568"/>
      <c r="AK199" s="568"/>
      <c r="AL199" s="568"/>
      <c r="AM199" s="124"/>
      <c r="AN199" s="124"/>
      <c r="AO199" s="122"/>
      <c r="AP199" s="118"/>
    </row>
    <row r="200" spans="2:42" ht="12.75" x14ac:dyDescent="0.2">
      <c r="B200" s="117"/>
      <c r="C200" s="568" t="s">
        <v>3735</v>
      </c>
      <c r="D200" s="568"/>
      <c r="E200" s="568"/>
      <c r="F200" s="568"/>
      <c r="G200" s="568"/>
      <c r="H200" s="568"/>
      <c r="I200" s="568"/>
      <c r="J200" s="568"/>
      <c r="K200" s="568"/>
      <c r="L200" s="568"/>
      <c r="M200" s="568"/>
      <c r="N200" s="568"/>
      <c r="O200" s="568"/>
      <c r="P200" s="568"/>
      <c r="Q200" s="568"/>
      <c r="R200" s="568"/>
      <c r="S200" s="568"/>
      <c r="T200" s="568"/>
      <c r="U200" s="568"/>
      <c r="V200" s="568"/>
      <c r="W200" s="568"/>
      <c r="X200" s="568"/>
      <c r="Y200" s="568"/>
      <c r="Z200" s="568"/>
      <c r="AA200" s="568"/>
      <c r="AB200" s="568"/>
      <c r="AC200" s="568"/>
      <c r="AD200" s="568"/>
      <c r="AE200" s="568"/>
      <c r="AF200" s="568"/>
      <c r="AG200" s="568"/>
      <c r="AH200" s="568"/>
      <c r="AI200" s="568"/>
      <c r="AJ200" s="568"/>
      <c r="AK200" s="568"/>
      <c r="AL200" s="568"/>
      <c r="AM200" s="124"/>
      <c r="AN200" s="124"/>
      <c r="AO200" s="122"/>
      <c r="AP200" s="118"/>
    </row>
    <row r="201" spans="2:42" ht="12.75" x14ac:dyDescent="0.2">
      <c r="B201" s="117"/>
      <c r="C201" s="568" t="s">
        <v>3664</v>
      </c>
      <c r="D201" s="568"/>
      <c r="E201" s="568"/>
      <c r="F201" s="568"/>
      <c r="G201" s="568"/>
      <c r="H201" s="568"/>
      <c r="I201" s="568"/>
      <c r="J201" s="568"/>
      <c r="K201" s="568"/>
      <c r="L201" s="568"/>
      <c r="M201" s="568"/>
      <c r="N201" s="568"/>
      <c r="O201" s="568"/>
      <c r="P201" s="568"/>
      <c r="Q201" s="568"/>
      <c r="R201" s="568"/>
      <c r="S201" s="568"/>
      <c r="T201" s="568"/>
      <c r="U201" s="568"/>
      <c r="V201" s="568"/>
      <c r="W201" s="568"/>
      <c r="X201" s="568"/>
      <c r="Y201" s="568"/>
      <c r="Z201" s="568"/>
      <c r="AA201" s="568"/>
      <c r="AB201" s="568"/>
      <c r="AC201" s="568"/>
      <c r="AD201" s="568"/>
      <c r="AE201" s="568"/>
      <c r="AF201" s="568"/>
      <c r="AG201" s="568"/>
      <c r="AH201" s="568"/>
      <c r="AI201" s="568"/>
      <c r="AJ201" s="568"/>
      <c r="AK201" s="568"/>
      <c r="AL201" s="568"/>
      <c r="AM201" s="571" t="str">
        <f>LISTAS!D196</f>
        <v/>
      </c>
      <c r="AN201" s="571"/>
      <c r="AO201" s="122"/>
      <c r="AP201" s="118"/>
    </row>
    <row r="202" spans="2:42" ht="12.75" x14ac:dyDescent="0.2">
      <c r="B202" s="117"/>
      <c r="C202" s="568" t="s">
        <v>3776</v>
      </c>
      <c r="D202" s="568"/>
      <c r="E202" s="568"/>
      <c r="F202" s="568"/>
      <c r="G202" s="568"/>
      <c r="H202" s="568"/>
      <c r="I202" s="568"/>
      <c r="J202" s="568"/>
      <c r="K202" s="568"/>
      <c r="L202" s="568"/>
      <c r="M202" s="568"/>
      <c r="N202" s="568"/>
      <c r="O202" s="568"/>
      <c r="P202" s="568"/>
      <c r="Q202" s="568"/>
      <c r="R202" s="568"/>
      <c r="S202" s="568"/>
      <c r="T202" s="568"/>
      <c r="U202" s="568"/>
      <c r="V202" s="568"/>
      <c r="W202" s="568"/>
      <c r="X202" s="568"/>
      <c r="Y202" s="568"/>
      <c r="Z202" s="568"/>
      <c r="AA202" s="568"/>
      <c r="AB202" s="568"/>
      <c r="AC202" s="568"/>
      <c r="AD202" s="568"/>
      <c r="AE202" s="568"/>
      <c r="AF202" s="568"/>
      <c r="AG202" s="568"/>
      <c r="AH202" s="568"/>
      <c r="AI202" s="568"/>
      <c r="AJ202" s="568"/>
      <c r="AK202" s="568"/>
      <c r="AL202" s="568"/>
      <c r="AM202" s="571" t="str">
        <f>LISTAS!D197</f>
        <v/>
      </c>
      <c r="AN202" s="571"/>
      <c r="AO202" s="122"/>
      <c r="AP202" s="118"/>
    </row>
    <row r="203" spans="2:42" ht="12.75" x14ac:dyDescent="0.2">
      <c r="B203" s="117"/>
      <c r="C203" s="568" t="s">
        <v>3777</v>
      </c>
      <c r="D203" s="568"/>
      <c r="E203" s="568"/>
      <c r="F203" s="568"/>
      <c r="G203" s="568"/>
      <c r="H203" s="568"/>
      <c r="I203" s="568"/>
      <c r="J203" s="568"/>
      <c r="K203" s="568"/>
      <c r="L203" s="568"/>
      <c r="M203" s="568"/>
      <c r="N203" s="568"/>
      <c r="O203" s="568"/>
      <c r="P203" s="568"/>
      <c r="Q203" s="568"/>
      <c r="R203" s="568"/>
      <c r="S203" s="568"/>
      <c r="T203" s="568"/>
      <c r="U203" s="568"/>
      <c r="V203" s="568"/>
      <c r="W203" s="568"/>
      <c r="X203" s="568"/>
      <c r="Y203" s="568"/>
      <c r="Z203" s="568"/>
      <c r="AA203" s="568"/>
      <c r="AB203" s="568"/>
      <c r="AC203" s="568"/>
      <c r="AD203" s="568"/>
      <c r="AE203" s="568"/>
      <c r="AF203" s="568"/>
      <c r="AG203" s="568"/>
      <c r="AH203" s="568"/>
      <c r="AI203" s="568"/>
      <c r="AJ203" s="568"/>
      <c r="AK203" s="568"/>
      <c r="AL203" s="568"/>
      <c r="AM203" s="571" t="str">
        <f>LISTAS!D198</f>
        <v/>
      </c>
      <c r="AN203" s="571"/>
      <c r="AO203" s="122"/>
      <c r="AP203" s="118"/>
    </row>
    <row r="204" spans="2:42" ht="12.75" x14ac:dyDescent="0.2">
      <c r="B204" s="117"/>
      <c r="C204" s="568" t="s">
        <v>3665</v>
      </c>
      <c r="D204" s="568"/>
      <c r="E204" s="568"/>
      <c r="F204" s="568"/>
      <c r="G204" s="568"/>
      <c r="H204" s="568"/>
      <c r="I204" s="568"/>
      <c r="J204" s="568"/>
      <c r="K204" s="568"/>
      <c r="L204" s="568"/>
      <c r="M204" s="568"/>
      <c r="N204" s="568"/>
      <c r="O204" s="568"/>
      <c r="P204" s="568"/>
      <c r="Q204" s="568"/>
      <c r="R204" s="568"/>
      <c r="S204" s="568"/>
      <c r="T204" s="568"/>
      <c r="U204" s="568"/>
      <c r="V204" s="568"/>
      <c r="W204" s="568"/>
      <c r="X204" s="568"/>
      <c r="Y204" s="568"/>
      <c r="Z204" s="568"/>
      <c r="AA204" s="568"/>
      <c r="AB204" s="568"/>
      <c r="AC204" s="568"/>
      <c r="AD204" s="568"/>
      <c r="AE204" s="568"/>
      <c r="AF204" s="568"/>
      <c r="AG204" s="568"/>
      <c r="AH204" s="568"/>
      <c r="AI204" s="568"/>
      <c r="AJ204" s="568"/>
      <c r="AK204" s="568"/>
      <c r="AL204" s="568"/>
      <c r="AM204" s="571" t="str">
        <f>LISTAS!D199</f>
        <v/>
      </c>
      <c r="AN204" s="571"/>
      <c r="AO204" s="122"/>
      <c r="AP204" s="118"/>
    </row>
    <row r="205" spans="2:42" ht="12.75" x14ac:dyDescent="0.2">
      <c r="B205" s="117"/>
      <c r="C205" s="569" t="s">
        <v>1801</v>
      </c>
      <c r="D205" s="569"/>
      <c r="E205" s="569"/>
      <c r="F205" s="569"/>
      <c r="G205" s="569"/>
      <c r="H205" s="569"/>
      <c r="I205" s="569"/>
      <c r="J205" s="569"/>
      <c r="K205" s="569"/>
      <c r="L205" s="569"/>
      <c r="M205" s="569"/>
      <c r="N205" s="569"/>
      <c r="O205" s="569"/>
      <c r="P205" s="569"/>
      <c r="Q205" s="569"/>
      <c r="R205" s="569"/>
      <c r="S205" s="569"/>
      <c r="T205" s="569"/>
      <c r="U205" s="569"/>
      <c r="V205" s="569"/>
      <c r="W205" s="569"/>
      <c r="X205" s="569"/>
      <c r="Y205" s="569"/>
      <c r="Z205" s="569"/>
      <c r="AA205" s="569"/>
      <c r="AB205" s="569"/>
      <c r="AC205" s="569"/>
      <c r="AD205" s="569"/>
      <c r="AE205" s="569"/>
      <c r="AF205" s="569"/>
      <c r="AG205" s="569"/>
      <c r="AH205" s="569"/>
      <c r="AI205" s="569"/>
      <c r="AJ205" s="569"/>
      <c r="AK205" s="569"/>
      <c r="AL205" s="569"/>
      <c r="AM205" s="122"/>
      <c r="AN205" s="122"/>
      <c r="AO205" s="122"/>
      <c r="AP205" s="118"/>
    </row>
    <row r="206" spans="2:42" ht="25.5" customHeight="1" x14ac:dyDescent="0.2">
      <c r="B206" s="117"/>
      <c r="C206" s="570" t="str">
        <f>LISTAS!D200</f>
        <v/>
      </c>
      <c r="D206" s="570"/>
      <c r="E206" s="570"/>
      <c r="F206" s="570"/>
      <c r="G206" s="570"/>
      <c r="H206" s="570"/>
      <c r="I206" s="570"/>
      <c r="J206" s="570"/>
      <c r="K206" s="570"/>
      <c r="L206" s="570"/>
      <c r="M206" s="570"/>
      <c r="N206" s="570"/>
      <c r="O206" s="570"/>
      <c r="P206" s="570"/>
      <c r="Q206" s="570"/>
      <c r="R206" s="570"/>
      <c r="S206" s="570"/>
      <c r="T206" s="570"/>
      <c r="U206" s="570"/>
      <c r="V206" s="570"/>
      <c r="W206" s="570"/>
      <c r="X206" s="570"/>
      <c r="Y206" s="570"/>
      <c r="Z206" s="570"/>
      <c r="AA206" s="570"/>
      <c r="AB206" s="570"/>
      <c r="AC206" s="570"/>
      <c r="AD206" s="570"/>
      <c r="AE206" s="570"/>
      <c r="AF206" s="570"/>
      <c r="AG206" s="570"/>
      <c r="AH206" s="570"/>
      <c r="AI206" s="570"/>
      <c r="AJ206" s="570"/>
      <c r="AK206" s="570"/>
      <c r="AL206" s="570"/>
      <c r="AM206" s="124"/>
      <c r="AN206" s="124"/>
      <c r="AO206" s="122"/>
      <c r="AP206" s="118"/>
    </row>
    <row r="207" spans="2:42" ht="12.75" x14ac:dyDescent="0.2">
      <c r="B207" s="117"/>
      <c r="C207" s="569"/>
      <c r="D207" s="569"/>
      <c r="E207" s="569"/>
      <c r="F207" s="569"/>
      <c r="G207" s="569"/>
      <c r="H207" s="569"/>
      <c r="I207" s="569"/>
      <c r="J207" s="569"/>
      <c r="K207" s="569"/>
      <c r="L207" s="569"/>
      <c r="M207" s="569"/>
      <c r="N207" s="569"/>
      <c r="O207" s="569"/>
      <c r="P207" s="569"/>
      <c r="Q207" s="569"/>
      <c r="R207" s="569"/>
      <c r="S207" s="569"/>
      <c r="T207" s="569"/>
      <c r="U207" s="569"/>
      <c r="V207" s="569"/>
      <c r="W207" s="569"/>
      <c r="X207" s="569"/>
      <c r="Y207" s="569"/>
      <c r="Z207" s="569"/>
      <c r="AA207" s="569"/>
      <c r="AB207" s="569"/>
      <c r="AC207" s="569"/>
      <c r="AD207" s="569"/>
      <c r="AE207" s="569"/>
      <c r="AF207" s="569"/>
      <c r="AG207" s="569"/>
      <c r="AH207" s="569"/>
      <c r="AI207" s="569"/>
      <c r="AJ207" s="569"/>
      <c r="AK207" s="569"/>
      <c r="AL207" s="569"/>
      <c r="AM207" s="124"/>
      <c r="AN207" s="124"/>
      <c r="AO207" s="122"/>
      <c r="AP207" s="118"/>
    </row>
    <row r="208" spans="2:42" ht="12.75" x14ac:dyDescent="0.2">
      <c r="B208" s="117"/>
      <c r="C208" s="568" t="str">
        <f>IF(LISTAS!AI24="","Otros Proyectos 3",LISTAS!AI24)</f>
        <v>Otros Proyectos 3</v>
      </c>
      <c r="D208" s="568"/>
      <c r="E208" s="568"/>
      <c r="F208" s="568"/>
      <c r="G208" s="568"/>
      <c r="H208" s="568"/>
      <c r="I208" s="568"/>
      <c r="J208" s="568"/>
      <c r="K208" s="568"/>
      <c r="L208" s="568"/>
      <c r="M208" s="568"/>
      <c r="N208" s="568"/>
      <c r="O208" s="568"/>
      <c r="P208" s="568"/>
      <c r="Q208" s="568"/>
      <c r="R208" s="568"/>
      <c r="S208" s="568"/>
      <c r="T208" s="568"/>
      <c r="U208" s="568"/>
      <c r="V208" s="568"/>
      <c r="W208" s="568"/>
      <c r="X208" s="568"/>
      <c r="Y208" s="568"/>
      <c r="Z208" s="568"/>
      <c r="AA208" s="568"/>
      <c r="AB208" s="568"/>
      <c r="AC208" s="568"/>
      <c r="AD208" s="568"/>
      <c r="AE208" s="568"/>
      <c r="AF208" s="568"/>
      <c r="AG208" s="568"/>
      <c r="AH208" s="568"/>
      <c r="AI208" s="568"/>
      <c r="AJ208" s="568"/>
      <c r="AK208" s="568"/>
      <c r="AL208" s="568"/>
      <c r="AM208" s="124"/>
      <c r="AN208" s="124"/>
      <c r="AO208" s="122"/>
      <c r="AP208" s="118"/>
    </row>
    <row r="209" spans="2:42" ht="12.75" x14ac:dyDescent="0.2">
      <c r="B209" s="117"/>
      <c r="C209" s="568" t="s">
        <v>3735</v>
      </c>
      <c r="D209" s="568"/>
      <c r="E209" s="568"/>
      <c r="F209" s="568"/>
      <c r="G209" s="568"/>
      <c r="H209" s="568"/>
      <c r="I209" s="568"/>
      <c r="J209" s="568"/>
      <c r="K209" s="568"/>
      <c r="L209" s="568"/>
      <c r="M209" s="568"/>
      <c r="N209" s="568"/>
      <c r="O209" s="568"/>
      <c r="P209" s="568"/>
      <c r="Q209" s="568"/>
      <c r="R209" s="568"/>
      <c r="S209" s="568"/>
      <c r="T209" s="568"/>
      <c r="U209" s="568"/>
      <c r="V209" s="568"/>
      <c r="W209" s="568"/>
      <c r="X209" s="568"/>
      <c r="Y209" s="568"/>
      <c r="Z209" s="568"/>
      <c r="AA209" s="568"/>
      <c r="AB209" s="568"/>
      <c r="AC209" s="568"/>
      <c r="AD209" s="568"/>
      <c r="AE209" s="568"/>
      <c r="AF209" s="568"/>
      <c r="AG209" s="568"/>
      <c r="AH209" s="568"/>
      <c r="AI209" s="568"/>
      <c r="AJ209" s="568"/>
      <c r="AK209" s="568"/>
      <c r="AL209" s="568"/>
      <c r="AM209" s="124"/>
      <c r="AN209" s="124"/>
      <c r="AO209" s="122"/>
      <c r="AP209" s="118"/>
    </row>
    <row r="210" spans="2:42" ht="12.75" x14ac:dyDescent="0.2">
      <c r="B210" s="117"/>
      <c r="C210" s="568" t="s">
        <v>3664</v>
      </c>
      <c r="D210" s="568"/>
      <c r="E210" s="568"/>
      <c r="F210" s="568"/>
      <c r="G210" s="568"/>
      <c r="H210" s="568"/>
      <c r="I210" s="568"/>
      <c r="J210" s="568"/>
      <c r="K210" s="568"/>
      <c r="L210" s="568"/>
      <c r="M210" s="568"/>
      <c r="N210" s="568"/>
      <c r="O210" s="568"/>
      <c r="P210" s="568"/>
      <c r="Q210" s="568"/>
      <c r="R210" s="568"/>
      <c r="S210" s="568"/>
      <c r="T210" s="568"/>
      <c r="U210" s="568"/>
      <c r="V210" s="568"/>
      <c r="W210" s="568"/>
      <c r="X210" s="568"/>
      <c r="Y210" s="568"/>
      <c r="Z210" s="568"/>
      <c r="AA210" s="568"/>
      <c r="AB210" s="568"/>
      <c r="AC210" s="568"/>
      <c r="AD210" s="568"/>
      <c r="AE210" s="568"/>
      <c r="AF210" s="568"/>
      <c r="AG210" s="568"/>
      <c r="AH210" s="568"/>
      <c r="AI210" s="568"/>
      <c r="AJ210" s="568"/>
      <c r="AK210" s="568"/>
      <c r="AL210" s="568"/>
      <c r="AM210" s="571" t="str">
        <f>LISTAS!D201</f>
        <v/>
      </c>
      <c r="AN210" s="571"/>
      <c r="AO210" s="122"/>
      <c r="AP210" s="118"/>
    </row>
    <row r="211" spans="2:42" ht="12.75" x14ac:dyDescent="0.2">
      <c r="B211" s="117"/>
      <c r="C211" s="568" t="s">
        <v>3776</v>
      </c>
      <c r="D211" s="568"/>
      <c r="E211" s="568"/>
      <c r="F211" s="568"/>
      <c r="G211" s="568"/>
      <c r="H211" s="568"/>
      <c r="I211" s="568"/>
      <c r="J211" s="568"/>
      <c r="K211" s="568"/>
      <c r="L211" s="568"/>
      <c r="M211" s="568"/>
      <c r="N211" s="568"/>
      <c r="O211" s="568"/>
      <c r="P211" s="568"/>
      <c r="Q211" s="568"/>
      <c r="R211" s="568"/>
      <c r="S211" s="568"/>
      <c r="T211" s="568"/>
      <c r="U211" s="568"/>
      <c r="V211" s="568"/>
      <c r="W211" s="568"/>
      <c r="X211" s="568"/>
      <c r="Y211" s="568"/>
      <c r="Z211" s="568"/>
      <c r="AA211" s="568"/>
      <c r="AB211" s="568"/>
      <c r="AC211" s="568"/>
      <c r="AD211" s="568"/>
      <c r="AE211" s="568"/>
      <c r="AF211" s="568"/>
      <c r="AG211" s="568"/>
      <c r="AH211" s="568"/>
      <c r="AI211" s="568"/>
      <c r="AJ211" s="568"/>
      <c r="AK211" s="568"/>
      <c r="AL211" s="568"/>
      <c r="AM211" s="571" t="str">
        <f>LISTAS!D202</f>
        <v/>
      </c>
      <c r="AN211" s="571"/>
      <c r="AO211" s="122"/>
      <c r="AP211" s="118"/>
    </row>
    <row r="212" spans="2:42" ht="12.75" x14ac:dyDescent="0.2">
      <c r="B212" s="117"/>
      <c r="C212" s="568" t="s">
        <v>3777</v>
      </c>
      <c r="D212" s="568"/>
      <c r="E212" s="568"/>
      <c r="F212" s="568"/>
      <c r="G212" s="568"/>
      <c r="H212" s="568"/>
      <c r="I212" s="568"/>
      <c r="J212" s="568"/>
      <c r="K212" s="568"/>
      <c r="L212" s="568"/>
      <c r="M212" s="568"/>
      <c r="N212" s="568"/>
      <c r="O212" s="568"/>
      <c r="P212" s="568"/>
      <c r="Q212" s="568"/>
      <c r="R212" s="568"/>
      <c r="S212" s="568"/>
      <c r="T212" s="568"/>
      <c r="U212" s="568"/>
      <c r="V212" s="568"/>
      <c r="W212" s="568"/>
      <c r="X212" s="568"/>
      <c r="Y212" s="568"/>
      <c r="Z212" s="568"/>
      <c r="AA212" s="568"/>
      <c r="AB212" s="568"/>
      <c r="AC212" s="568"/>
      <c r="AD212" s="568"/>
      <c r="AE212" s="568"/>
      <c r="AF212" s="568"/>
      <c r="AG212" s="568"/>
      <c r="AH212" s="568"/>
      <c r="AI212" s="568"/>
      <c r="AJ212" s="568"/>
      <c r="AK212" s="568"/>
      <c r="AL212" s="568"/>
      <c r="AM212" s="571" t="str">
        <f>LISTAS!D203</f>
        <v/>
      </c>
      <c r="AN212" s="571"/>
      <c r="AO212" s="122"/>
      <c r="AP212" s="118"/>
    </row>
    <row r="213" spans="2:42" ht="12.75" x14ac:dyDescent="0.2">
      <c r="B213" s="117"/>
      <c r="C213" s="568" t="s">
        <v>3665</v>
      </c>
      <c r="D213" s="568"/>
      <c r="E213" s="568"/>
      <c r="F213" s="568"/>
      <c r="G213" s="568"/>
      <c r="H213" s="568"/>
      <c r="I213" s="568"/>
      <c r="J213" s="568"/>
      <c r="K213" s="568"/>
      <c r="L213" s="568"/>
      <c r="M213" s="568"/>
      <c r="N213" s="568"/>
      <c r="O213" s="568"/>
      <c r="P213" s="568"/>
      <c r="Q213" s="568"/>
      <c r="R213" s="568"/>
      <c r="S213" s="568"/>
      <c r="T213" s="568"/>
      <c r="U213" s="568"/>
      <c r="V213" s="568"/>
      <c r="W213" s="568"/>
      <c r="X213" s="568"/>
      <c r="Y213" s="568"/>
      <c r="Z213" s="568"/>
      <c r="AA213" s="568"/>
      <c r="AB213" s="568"/>
      <c r="AC213" s="568"/>
      <c r="AD213" s="568"/>
      <c r="AE213" s="568"/>
      <c r="AF213" s="568"/>
      <c r="AG213" s="568"/>
      <c r="AH213" s="568"/>
      <c r="AI213" s="568"/>
      <c r="AJ213" s="568"/>
      <c r="AK213" s="568"/>
      <c r="AL213" s="568"/>
      <c r="AM213" s="571" t="str">
        <f>LISTAS!D204</f>
        <v/>
      </c>
      <c r="AN213" s="571"/>
      <c r="AO213" s="122"/>
      <c r="AP213" s="118"/>
    </row>
    <row r="214" spans="2:42" ht="12.75" x14ac:dyDescent="0.2">
      <c r="B214" s="117"/>
      <c r="C214" s="569" t="s">
        <v>1801</v>
      </c>
      <c r="D214" s="569"/>
      <c r="E214" s="569"/>
      <c r="F214" s="569"/>
      <c r="G214" s="569"/>
      <c r="H214" s="569"/>
      <c r="I214" s="569"/>
      <c r="J214" s="569"/>
      <c r="K214" s="569"/>
      <c r="L214" s="569"/>
      <c r="M214" s="569"/>
      <c r="N214" s="569"/>
      <c r="O214" s="569"/>
      <c r="P214" s="569"/>
      <c r="Q214" s="569"/>
      <c r="R214" s="569"/>
      <c r="S214" s="569"/>
      <c r="T214" s="569"/>
      <c r="U214" s="569"/>
      <c r="V214" s="569"/>
      <c r="W214" s="569"/>
      <c r="X214" s="569"/>
      <c r="Y214" s="569"/>
      <c r="Z214" s="569"/>
      <c r="AA214" s="569"/>
      <c r="AB214" s="569"/>
      <c r="AC214" s="569"/>
      <c r="AD214" s="569"/>
      <c r="AE214" s="569"/>
      <c r="AF214" s="569"/>
      <c r="AG214" s="569"/>
      <c r="AH214" s="569"/>
      <c r="AI214" s="569"/>
      <c r="AJ214" s="569"/>
      <c r="AK214" s="569"/>
      <c r="AL214" s="569"/>
      <c r="AM214" s="122" t="str">
        <f>LISTAS!D205</f>
        <v/>
      </c>
      <c r="AN214" s="122"/>
      <c r="AO214" s="122"/>
      <c r="AP214" s="118"/>
    </row>
    <row r="215" spans="2:42" ht="25.5" customHeight="1" x14ac:dyDescent="0.2">
      <c r="B215" s="117"/>
      <c r="C215" s="570" t="str">
        <f>LISTAS!D205</f>
        <v/>
      </c>
      <c r="D215" s="570"/>
      <c r="E215" s="570"/>
      <c r="F215" s="570"/>
      <c r="G215" s="570"/>
      <c r="H215" s="570"/>
      <c r="I215" s="570"/>
      <c r="J215" s="570"/>
      <c r="K215" s="570"/>
      <c r="L215" s="570"/>
      <c r="M215" s="570"/>
      <c r="N215" s="570"/>
      <c r="O215" s="570"/>
      <c r="P215" s="570"/>
      <c r="Q215" s="570"/>
      <c r="R215" s="570"/>
      <c r="S215" s="570"/>
      <c r="T215" s="570"/>
      <c r="U215" s="570"/>
      <c r="V215" s="570"/>
      <c r="W215" s="570"/>
      <c r="X215" s="570"/>
      <c r="Y215" s="570"/>
      <c r="Z215" s="570"/>
      <c r="AA215" s="570"/>
      <c r="AB215" s="570"/>
      <c r="AC215" s="570"/>
      <c r="AD215" s="570"/>
      <c r="AE215" s="570"/>
      <c r="AF215" s="570"/>
      <c r="AG215" s="570"/>
      <c r="AH215" s="570"/>
      <c r="AI215" s="570"/>
      <c r="AJ215" s="570"/>
      <c r="AK215" s="570"/>
      <c r="AL215" s="570"/>
      <c r="AM215" s="124"/>
      <c r="AN215" s="124"/>
      <c r="AO215" s="122"/>
      <c r="AP215" s="118"/>
    </row>
    <row r="216" spans="2:42" ht="12" customHeight="1" x14ac:dyDescent="0.2">
      <c r="B216" s="117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  <c r="AH216" s="122"/>
      <c r="AI216" s="122"/>
      <c r="AJ216" s="122"/>
      <c r="AK216" s="122"/>
      <c r="AL216" s="122"/>
      <c r="AM216" s="124"/>
      <c r="AN216" s="124"/>
      <c r="AO216" s="122"/>
      <c r="AP216" s="118"/>
    </row>
    <row r="217" spans="2:42" ht="12" customHeight="1" x14ac:dyDescent="0.2">
      <c r="B217" s="117"/>
      <c r="C217" s="123"/>
      <c r="D217" s="123"/>
      <c r="E217" s="123"/>
      <c r="F217" s="123"/>
      <c r="G217" s="123"/>
      <c r="H217" s="123"/>
      <c r="I217" s="123"/>
      <c r="J217" s="123"/>
      <c r="K217" s="123"/>
      <c r="L217" s="123"/>
      <c r="M217" s="123"/>
      <c r="N217" s="123"/>
      <c r="O217" s="123"/>
      <c r="P217" s="123"/>
      <c r="Q217" s="123"/>
      <c r="R217" s="123"/>
      <c r="S217" s="123"/>
      <c r="T217" s="123"/>
      <c r="U217" s="123"/>
      <c r="V217" s="123"/>
      <c r="W217" s="123"/>
      <c r="X217" s="123"/>
      <c r="Y217" s="123"/>
      <c r="Z217" s="123"/>
      <c r="AA217" s="123"/>
      <c r="AB217" s="123"/>
      <c r="AC217" s="123"/>
      <c r="AD217" s="123"/>
      <c r="AE217" s="123"/>
      <c r="AF217" s="123"/>
      <c r="AG217" s="123"/>
      <c r="AH217" s="123"/>
      <c r="AI217" s="123"/>
      <c r="AJ217" s="123"/>
      <c r="AK217" s="123"/>
      <c r="AL217" s="123"/>
      <c r="AM217" s="125"/>
      <c r="AN217" s="125"/>
      <c r="AO217" s="123"/>
      <c r="AP217" s="118"/>
    </row>
    <row r="218" spans="2:42" ht="12" customHeight="1" x14ac:dyDescent="0.2">
      <c r="B218" s="117"/>
      <c r="C218" s="123"/>
      <c r="D218" s="123"/>
      <c r="E218" s="123"/>
      <c r="F218" s="123"/>
      <c r="G218" s="123"/>
      <c r="H218" s="123"/>
      <c r="I218" s="123"/>
      <c r="J218" s="123"/>
      <c r="K218" s="123"/>
      <c r="L218" s="123"/>
      <c r="M218" s="123"/>
      <c r="N218" s="123"/>
      <c r="O218" s="123"/>
      <c r="P218" s="123"/>
      <c r="Q218" s="123"/>
      <c r="R218" s="123"/>
      <c r="S218" s="123"/>
      <c r="T218" s="123"/>
      <c r="U218" s="123"/>
      <c r="V218" s="123"/>
      <c r="W218" s="123"/>
      <c r="X218" s="123"/>
      <c r="Y218" s="123"/>
      <c r="Z218" s="123"/>
      <c r="AA218" s="123"/>
      <c r="AB218" s="123"/>
      <c r="AC218" s="123"/>
      <c r="AD218" s="123"/>
      <c r="AE218" s="123"/>
      <c r="AF218" s="123"/>
      <c r="AG218" s="123"/>
      <c r="AH218" s="123"/>
      <c r="AI218" s="123"/>
      <c r="AJ218" s="123"/>
      <c r="AK218" s="123"/>
      <c r="AL218" s="123"/>
      <c r="AM218" s="125"/>
      <c r="AN218" s="125"/>
      <c r="AO218" s="123"/>
      <c r="AP218" s="119"/>
    </row>
    <row r="219" spans="2:42" ht="12" customHeight="1" x14ac:dyDescent="0.2">
      <c r="B219" s="10" t="s">
        <v>1806</v>
      </c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3"/>
      <c r="Z219" s="13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5" t="str">
        <f ca="1">IF('MOD7'!AJ63="","",'MOD7'!$AJ$63)</f>
        <v>*Equipo de Gestión de la Información - EBR - Ministerio de Educación - Versión de la Herramienta: 1.5</v>
      </c>
    </row>
  </sheetData>
  <sheetProtection algorithmName="SHA-512" hashValue="Em3R+Js38Z3n3Rl94nHt2ReUEQIudd7dMWZnWMuwbKBL3GPhTax8DwgFmPgW4KEMG5p4I1zGnaUPodk4FzXzwg==" saltValue="XkJjVa9sSH82ipfskTtM2Q==" spinCount="100000" sheet="1" objects="1" scenarios="1"/>
  <mergeCells count="292">
    <mergeCell ref="C179:AL179"/>
    <mergeCell ref="C188:AL188"/>
    <mergeCell ref="C197:AL197"/>
    <mergeCell ref="C206:AL206"/>
    <mergeCell ref="C215:AL215"/>
    <mergeCell ref="AM23:AN23"/>
    <mergeCell ref="AM24:AN24"/>
    <mergeCell ref="AM29:AN29"/>
    <mergeCell ref="AM30:AN30"/>
    <mergeCell ref="AM47:AN47"/>
    <mergeCell ref="AM58:AN58"/>
    <mergeCell ref="AM63:AN63"/>
    <mergeCell ref="AM64:AN64"/>
    <mergeCell ref="AM65:AN65"/>
    <mergeCell ref="AM66:AN66"/>
    <mergeCell ref="AM48:AN48"/>
    <mergeCell ref="AM49:AN49"/>
    <mergeCell ref="AM55:AN55"/>
    <mergeCell ref="AM56:AN56"/>
    <mergeCell ref="AM57:AN57"/>
    <mergeCell ref="AM112:AN112"/>
    <mergeCell ref="AM113:AN113"/>
    <mergeCell ref="AM114:AN114"/>
    <mergeCell ref="AM115:AN115"/>
    <mergeCell ref="C3:AO4"/>
    <mergeCell ref="C5:AO17"/>
    <mergeCell ref="AM21:AN21"/>
    <mergeCell ref="AM22:AN22"/>
    <mergeCell ref="AM18:AN18"/>
    <mergeCell ref="C26:AL26"/>
    <mergeCell ref="AM39:AN39"/>
    <mergeCell ref="AM40:AN40"/>
    <mergeCell ref="AM46:AN46"/>
    <mergeCell ref="AM31:AN31"/>
    <mergeCell ref="AM32:AN32"/>
    <mergeCell ref="AM37:AN37"/>
    <mergeCell ref="AM38:AN38"/>
    <mergeCell ref="AM120:AN120"/>
    <mergeCell ref="AM99:AN99"/>
    <mergeCell ref="AM104:AN104"/>
    <mergeCell ref="AM105:AN105"/>
    <mergeCell ref="AM106:AN106"/>
    <mergeCell ref="AM107:AN107"/>
    <mergeCell ref="AM140:AN140"/>
    <mergeCell ref="AM130:AN130"/>
    <mergeCell ref="AM131:AN131"/>
    <mergeCell ref="AM137:AN137"/>
    <mergeCell ref="AM138:AN138"/>
    <mergeCell ref="AM139:AN139"/>
    <mergeCell ref="AM121:AN121"/>
    <mergeCell ref="AM122:AN122"/>
    <mergeCell ref="AM123:AN123"/>
    <mergeCell ref="AM128:AN128"/>
    <mergeCell ref="AM129:AN129"/>
    <mergeCell ref="AM157:AN157"/>
    <mergeCell ref="AM158:AN158"/>
    <mergeCell ref="AM159:AN159"/>
    <mergeCell ref="AM165:AN165"/>
    <mergeCell ref="AM166:AN166"/>
    <mergeCell ref="AM147:AN147"/>
    <mergeCell ref="AM148:AN148"/>
    <mergeCell ref="AM150:AN150"/>
    <mergeCell ref="AM156:AN156"/>
    <mergeCell ref="AM177:AN177"/>
    <mergeCell ref="AM183:AN183"/>
    <mergeCell ref="AM184:AN184"/>
    <mergeCell ref="AM185:AN185"/>
    <mergeCell ref="AM186:AN186"/>
    <mergeCell ref="AM167:AN167"/>
    <mergeCell ref="AM168:AN168"/>
    <mergeCell ref="AM174:AN174"/>
    <mergeCell ref="AM175:AN175"/>
    <mergeCell ref="AM176:AN176"/>
    <mergeCell ref="AM203:AN203"/>
    <mergeCell ref="AM204:AN204"/>
    <mergeCell ref="AM210:AN210"/>
    <mergeCell ref="AM211:AN211"/>
    <mergeCell ref="AM192:AN192"/>
    <mergeCell ref="AM193:AN193"/>
    <mergeCell ref="AM194:AN194"/>
    <mergeCell ref="AM195:AN195"/>
    <mergeCell ref="AM201:AN201"/>
    <mergeCell ref="AM90:AN90"/>
    <mergeCell ref="AM91:AN91"/>
    <mergeCell ref="AM96:AN96"/>
    <mergeCell ref="AM97:AN97"/>
    <mergeCell ref="AM98:AN98"/>
    <mergeCell ref="AM80:AN80"/>
    <mergeCell ref="AM81:AN81"/>
    <mergeCell ref="AM82:AN82"/>
    <mergeCell ref="AM88:AN88"/>
    <mergeCell ref="AM89:AN89"/>
    <mergeCell ref="AM71:AN71"/>
    <mergeCell ref="AM72:AN72"/>
    <mergeCell ref="AM73:AN73"/>
    <mergeCell ref="AM74:AN74"/>
    <mergeCell ref="AM79:AN79"/>
    <mergeCell ref="C19:AL19"/>
    <mergeCell ref="C20:AL20"/>
    <mergeCell ref="C21:AL21"/>
    <mergeCell ref="C22:AL22"/>
    <mergeCell ref="C23:AL23"/>
    <mergeCell ref="C24:AL24"/>
    <mergeCell ref="C25:AL25"/>
    <mergeCell ref="C27:AL27"/>
    <mergeCell ref="C28:AL28"/>
    <mergeCell ref="C29:AL29"/>
    <mergeCell ref="C30:AL30"/>
    <mergeCell ref="C31:AL31"/>
    <mergeCell ref="C32:AL32"/>
    <mergeCell ref="C33:AL33"/>
    <mergeCell ref="C35:AL35"/>
    <mergeCell ref="C36:AL36"/>
    <mergeCell ref="C37:AL37"/>
    <mergeCell ref="C34:AL34"/>
    <mergeCell ref="C64:AL64"/>
    <mergeCell ref="AM212:AN212"/>
    <mergeCell ref="AM213:AN213"/>
    <mergeCell ref="AM149:AN149"/>
    <mergeCell ref="AM202:AN202"/>
    <mergeCell ref="C38:AL38"/>
    <mergeCell ref="C39:AL39"/>
    <mergeCell ref="C40:AL40"/>
    <mergeCell ref="C41:AL41"/>
    <mergeCell ref="C43:AL43"/>
    <mergeCell ref="C42:AL42"/>
    <mergeCell ref="C49:AL49"/>
    <mergeCell ref="C50:AL50"/>
    <mergeCell ref="C52:AL52"/>
    <mergeCell ref="C53:AL53"/>
    <mergeCell ref="C54:AL54"/>
    <mergeCell ref="C44:AL44"/>
    <mergeCell ref="C45:AL45"/>
    <mergeCell ref="C46:AL46"/>
    <mergeCell ref="C47:AL47"/>
    <mergeCell ref="C48:AL48"/>
    <mergeCell ref="C51:AL51"/>
    <mergeCell ref="C61:AL61"/>
    <mergeCell ref="C62:AL62"/>
    <mergeCell ref="C63:AL63"/>
    <mergeCell ref="C65:AL65"/>
    <mergeCell ref="C55:AL55"/>
    <mergeCell ref="C56:AL56"/>
    <mergeCell ref="C57:AL57"/>
    <mergeCell ref="C58:AL58"/>
    <mergeCell ref="C59:AL59"/>
    <mergeCell ref="C60:AL60"/>
    <mergeCell ref="C72:AL72"/>
    <mergeCell ref="C73:AL73"/>
    <mergeCell ref="C74:AL74"/>
    <mergeCell ref="C75:AL75"/>
    <mergeCell ref="C77:AL77"/>
    <mergeCell ref="C66:AL66"/>
    <mergeCell ref="C67:AL67"/>
    <mergeCell ref="C69:AL69"/>
    <mergeCell ref="C70:AL70"/>
    <mergeCell ref="C71:AL71"/>
    <mergeCell ref="C68:AL68"/>
    <mergeCell ref="C76:AL76"/>
    <mergeCell ref="C83:AL83"/>
    <mergeCell ref="C85:AL85"/>
    <mergeCell ref="C86:AL86"/>
    <mergeCell ref="C87:AL87"/>
    <mergeCell ref="C88:AL88"/>
    <mergeCell ref="C78:AL78"/>
    <mergeCell ref="C79:AL79"/>
    <mergeCell ref="C80:AL80"/>
    <mergeCell ref="C81:AL81"/>
    <mergeCell ref="C82:AL82"/>
    <mergeCell ref="C84:AL84"/>
    <mergeCell ref="C95:AL95"/>
    <mergeCell ref="C96:AL96"/>
    <mergeCell ref="C97:AL97"/>
    <mergeCell ref="C98:AL98"/>
    <mergeCell ref="C99:AL99"/>
    <mergeCell ref="C89:AL89"/>
    <mergeCell ref="C90:AL90"/>
    <mergeCell ref="C91:AL91"/>
    <mergeCell ref="C92:AL92"/>
    <mergeCell ref="C94:AL94"/>
    <mergeCell ref="C93:AL93"/>
    <mergeCell ref="C106:AL106"/>
    <mergeCell ref="C107:AL107"/>
    <mergeCell ref="C108:AL108"/>
    <mergeCell ref="C110:AL110"/>
    <mergeCell ref="C111:AL111"/>
    <mergeCell ref="C100:AL100"/>
    <mergeCell ref="C102:AL102"/>
    <mergeCell ref="C103:AL103"/>
    <mergeCell ref="C104:AL104"/>
    <mergeCell ref="C105:AL105"/>
    <mergeCell ref="C101:AL101"/>
    <mergeCell ref="C109:AL109"/>
    <mergeCell ref="C118:AL118"/>
    <mergeCell ref="C119:AL119"/>
    <mergeCell ref="C120:AL120"/>
    <mergeCell ref="C121:AL121"/>
    <mergeCell ref="C122:AL122"/>
    <mergeCell ref="C112:AL112"/>
    <mergeCell ref="C113:AL113"/>
    <mergeCell ref="C114:AL114"/>
    <mergeCell ref="C115:AL115"/>
    <mergeCell ref="C116:AL116"/>
    <mergeCell ref="C117:AL117"/>
    <mergeCell ref="C129:AL129"/>
    <mergeCell ref="C130:AL130"/>
    <mergeCell ref="C131:AL131"/>
    <mergeCell ref="C132:AL132"/>
    <mergeCell ref="C134:AL134"/>
    <mergeCell ref="C123:AL123"/>
    <mergeCell ref="C124:AL124"/>
    <mergeCell ref="C126:AL126"/>
    <mergeCell ref="C127:AL127"/>
    <mergeCell ref="C128:AL128"/>
    <mergeCell ref="C125:AL125"/>
    <mergeCell ref="C133:AL133"/>
    <mergeCell ref="C140:AL140"/>
    <mergeCell ref="C141:AL141"/>
    <mergeCell ref="C143:AL143"/>
    <mergeCell ref="C144:AL144"/>
    <mergeCell ref="C145:AL145"/>
    <mergeCell ref="C135:AL135"/>
    <mergeCell ref="C136:AL136"/>
    <mergeCell ref="C137:AL137"/>
    <mergeCell ref="C138:AL138"/>
    <mergeCell ref="C139:AL139"/>
    <mergeCell ref="C142:AL142"/>
    <mergeCell ref="C151:AL151"/>
    <mergeCell ref="C153:AL153"/>
    <mergeCell ref="C154:AL154"/>
    <mergeCell ref="C155:AL155"/>
    <mergeCell ref="C156:AL156"/>
    <mergeCell ref="C146:AL146"/>
    <mergeCell ref="C147:AL147"/>
    <mergeCell ref="C148:AL148"/>
    <mergeCell ref="C149:AL149"/>
    <mergeCell ref="C150:AL150"/>
    <mergeCell ref="C152:AL152"/>
    <mergeCell ref="C163:AL163"/>
    <mergeCell ref="C164:AL164"/>
    <mergeCell ref="C165:AL165"/>
    <mergeCell ref="C166:AL166"/>
    <mergeCell ref="C167:AL167"/>
    <mergeCell ref="C157:AL157"/>
    <mergeCell ref="C158:AL158"/>
    <mergeCell ref="C159:AL159"/>
    <mergeCell ref="C160:AL160"/>
    <mergeCell ref="C162:AL162"/>
    <mergeCell ref="C161:AL161"/>
    <mergeCell ref="C174:AL174"/>
    <mergeCell ref="C175:AL175"/>
    <mergeCell ref="C176:AL176"/>
    <mergeCell ref="C177:AL177"/>
    <mergeCell ref="C178:AL178"/>
    <mergeCell ref="C168:AL168"/>
    <mergeCell ref="C169:AL169"/>
    <mergeCell ref="C171:AL171"/>
    <mergeCell ref="C172:AL172"/>
    <mergeCell ref="C173:AL173"/>
    <mergeCell ref="C170:AL170"/>
    <mergeCell ref="C185:AL185"/>
    <mergeCell ref="C186:AL186"/>
    <mergeCell ref="C187:AL187"/>
    <mergeCell ref="C189:AL189"/>
    <mergeCell ref="C190:AL190"/>
    <mergeCell ref="C180:AL180"/>
    <mergeCell ref="C181:AL181"/>
    <mergeCell ref="C182:AL182"/>
    <mergeCell ref="C183:AL183"/>
    <mergeCell ref="C184:AL184"/>
    <mergeCell ref="C196:AL196"/>
    <mergeCell ref="C198:AL198"/>
    <mergeCell ref="C199:AL199"/>
    <mergeCell ref="C200:AL200"/>
    <mergeCell ref="C201:AL201"/>
    <mergeCell ref="C191:AL191"/>
    <mergeCell ref="C192:AL192"/>
    <mergeCell ref="C193:AL193"/>
    <mergeCell ref="C194:AL194"/>
    <mergeCell ref="C195:AL195"/>
    <mergeCell ref="C213:AL213"/>
    <mergeCell ref="C214:AL214"/>
    <mergeCell ref="C208:AL208"/>
    <mergeCell ref="C209:AL209"/>
    <mergeCell ref="C210:AL210"/>
    <mergeCell ref="C211:AL211"/>
    <mergeCell ref="C212:AL212"/>
    <mergeCell ref="C202:AL202"/>
    <mergeCell ref="C203:AL203"/>
    <mergeCell ref="C204:AL204"/>
    <mergeCell ref="C205:AL205"/>
    <mergeCell ref="C207:AL207"/>
  </mergeCells>
  <printOptions horizontalCentered="1"/>
  <pageMargins left="0" right="0" top="0.39370078740157483" bottom="0.39370078740157483" header="0.19685039370078741" footer="0.19685039370078741"/>
  <pageSetup paperSize="9" scale="95" orientation="portrait" r:id="rId1"/>
  <headerFooter>
    <oddHeader>&amp;L&amp;8&amp;F&amp;R&amp;8&amp;A</oddHeader>
    <oddFooter>&amp;L&amp;8Impreso el &amp;D, a horas: &amp;T&amp;R&amp;8Página: &amp;P de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-0.249977111117893"/>
    <pageSetUpPr fitToPage="1"/>
  </sheetPr>
  <dimension ref="A1:AY49"/>
  <sheetViews>
    <sheetView showGridLines="0" topLeftCell="A10" zoomScaleNormal="100" zoomScaleSheetLayoutView="100" workbookViewId="0">
      <selection activeCell="C46" sqref="C46:AX47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15" t="str">
        <f>LISTAS!AI17</f>
        <v>Espacio de Vida – EsVi</v>
      </c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  <c r="W9" s="316"/>
      <c r="X9" s="316"/>
      <c r="Y9" s="316"/>
      <c r="Z9" s="316"/>
      <c r="AA9" s="316"/>
      <c r="AB9" s="316"/>
      <c r="AC9" s="316"/>
      <c r="AD9" s="316"/>
      <c r="AE9" s="316"/>
      <c r="AF9" s="316"/>
      <c r="AG9" s="316"/>
      <c r="AH9" s="316"/>
      <c r="AI9" s="316"/>
      <c r="AJ9" s="316"/>
      <c r="AK9" s="316"/>
      <c r="AL9" s="316"/>
      <c r="AM9" s="316"/>
      <c r="AN9" s="316"/>
      <c r="AO9" s="316"/>
      <c r="AP9" s="316"/>
      <c r="AQ9" s="316"/>
      <c r="AR9" s="316"/>
      <c r="AS9" s="316"/>
      <c r="AT9" s="316"/>
      <c r="AU9" s="316"/>
      <c r="AV9" s="316"/>
      <c r="AW9" s="316"/>
      <c r="AX9" s="316"/>
      <c r="AY9" s="9"/>
    </row>
    <row r="10" spans="1:51" ht="9" customHeight="1" x14ac:dyDescent="0.2">
      <c r="B10" s="7"/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9"/>
    </row>
    <row r="11" spans="1:51" ht="12" customHeight="1" x14ac:dyDescent="0.2">
      <c r="B11" s="7"/>
      <c r="C11" s="319" t="s">
        <v>1793</v>
      </c>
      <c r="D11" s="320"/>
      <c r="E11" s="320"/>
      <c r="F11" s="320"/>
      <c r="G11" s="320"/>
      <c r="H11" s="321" t="s">
        <v>1794</v>
      </c>
      <c r="I11" s="322"/>
      <c r="J11" s="322"/>
      <c r="K11" s="322"/>
      <c r="L11" s="322"/>
      <c r="M11" s="322"/>
      <c r="N11" s="322"/>
      <c r="O11" s="322"/>
      <c r="P11" s="322"/>
      <c r="Q11" s="322"/>
      <c r="R11" s="322"/>
      <c r="S11" s="322"/>
      <c r="T11" s="322"/>
      <c r="U11" s="322"/>
      <c r="V11" s="322"/>
      <c r="W11" s="322"/>
      <c r="X11" s="322"/>
      <c r="Y11" s="322"/>
      <c r="Z11" s="322"/>
      <c r="AA11" s="322"/>
      <c r="AB11" s="322"/>
      <c r="AC11" s="322"/>
      <c r="AD11" s="322"/>
      <c r="AE11" s="322"/>
      <c r="AF11" s="324"/>
      <c r="AG11" s="324"/>
      <c r="AH11" s="324"/>
      <c r="AI11" s="323"/>
      <c r="AJ11" s="319" t="s">
        <v>1800</v>
      </c>
      <c r="AK11" s="320"/>
      <c r="AL11" s="320"/>
      <c r="AM11" s="320"/>
      <c r="AN11" s="320"/>
      <c r="AO11" s="320"/>
      <c r="AP11" s="319" t="s">
        <v>1801</v>
      </c>
      <c r="AQ11" s="320"/>
      <c r="AR11" s="320"/>
      <c r="AS11" s="320"/>
      <c r="AT11" s="320"/>
      <c r="AU11" s="320"/>
      <c r="AV11" s="320"/>
      <c r="AW11" s="320"/>
      <c r="AX11" s="320"/>
      <c r="AY11" s="9"/>
    </row>
    <row r="12" spans="1:51" ht="9.9499999999999993" customHeight="1" x14ac:dyDescent="0.2">
      <c r="B12" s="7"/>
      <c r="C12" s="320"/>
      <c r="D12" s="320"/>
      <c r="E12" s="320"/>
      <c r="F12" s="320"/>
      <c r="G12" s="320"/>
      <c r="H12" s="321" t="s">
        <v>1795</v>
      </c>
      <c r="I12" s="322"/>
      <c r="J12" s="322"/>
      <c r="K12" s="322"/>
      <c r="L12" s="322"/>
      <c r="M12" s="322"/>
      <c r="N12" s="323"/>
      <c r="O12" s="321" t="s">
        <v>1796</v>
      </c>
      <c r="P12" s="322"/>
      <c r="Q12" s="322"/>
      <c r="R12" s="322"/>
      <c r="S12" s="322"/>
      <c r="T12" s="322"/>
      <c r="U12" s="323"/>
      <c r="V12" s="321" t="s">
        <v>1797</v>
      </c>
      <c r="W12" s="322"/>
      <c r="X12" s="322"/>
      <c r="Y12" s="322"/>
      <c r="Z12" s="322"/>
      <c r="AA12" s="322"/>
      <c r="AB12" s="323"/>
      <c r="AC12" s="321" t="s">
        <v>1798</v>
      </c>
      <c r="AD12" s="322"/>
      <c r="AE12" s="322"/>
      <c r="AF12" s="322"/>
      <c r="AG12" s="322"/>
      <c r="AH12" s="322"/>
      <c r="AI12" s="323"/>
      <c r="AJ12" s="320"/>
      <c r="AK12" s="320"/>
      <c r="AL12" s="320"/>
      <c r="AM12" s="320"/>
      <c r="AN12" s="320"/>
      <c r="AO12" s="320"/>
      <c r="AP12" s="320"/>
      <c r="AQ12" s="320"/>
      <c r="AR12" s="320"/>
      <c r="AS12" s="320"/>
      <c r="AT12" s="320"/>
      <c r="AU12" s="320"/>
      <c r="AV12" s="320"/>
      <c r="AW12" s="320"/>
      <c r="AX12" s="320"/>
      <c r="AY12" s="9"/>
    </row>
    <row r="13" spans="1:51" ht="11.45" customHeight="1" x14ac:dyDescent="0.2">
      <c r="B13" s="7"/>
      <c r="C13" s="317" t="str">
        <f>LISTAS!AJ17</f>
        <v>16. LA I.E. implementó un PEAI como recurso pedagógico y para el desarrollo de la conciencia ambiental y sobre la salud.</v>
      </c>
      <c r="D13" s="318"/>
      <c r="E13" s="318"/>
      <c r="F13" s="318"/>
      <c r="G13" s="318"/>
      <c r="H13" s="334" t="str">
        <f>LISTAS!AK17</f>
        <v xml:space="preserve">El PEAI fue incluido en el PAT. </v>
      </c>
      <c r="I13" s="335"/>
      <c r="J13" s="335"/>
      <c r="K13" s="335"/>
      <c r="L13" s="335"/>
      <c r="M13" s="335"/>
      <c r="N13" s="336"/>
      <c r="O13" s="334" t="str">
        <f>LISTAS!AL17</f>
        <v xml:space="preserve">La I.E. implementó el PEAI con actividades pedagógicas articuladas mínimo a tres áreas curriculares. </v>
      </c>
      <c r="P13" s="335"/>
      <c r="Q13" s="335"/>
      <c r="R13" s="335"/>
      <c r="S13" s="335"/>
      <c r="T13" s="335"/>
      <c r="U13" s="336"/>
      <c r="V13" s="334" t="str">
        <f>LISTAS!AM17</f>
        <v>La I.E. implementó actividades institucionales para la ejecución del PEAI a lo largo de todo el año escolar.</v>
      </c>
      <c r="W13" s="335"/>
      <c r="X13" s="335"/>
      <c r="Y13" s="335"/>
      <c r="Z13" s="335"/>
      <c r="AA13" s="335"/>
      <c r="AB13" s="336"/>
      <c r="AC13" s="334" t="str">
        <f>LISTAS!AN17</f>
        <v>El PEAI se implementó con apoyo de instituciones del sector público y/o privado.</v>
      </c>
      <c r="AD13" s="335"/>
      <c r="AE13" s="335"/>
      <c r="AF13" s="335"/>
      <c r="AG13" s="335"/>
      <c r="AH13" s="335"/>
      <c r="AI13" s="336"/>
      <c r="AJ13" s="338" t="str">
        <f>LISTAS!AO17</f>
        <v>N° de hitos de aplicación del enfoque ambiental puestos en práctica en la implementación del PEAI.</v>
      </c>
      <c r="AK13" s="339"/>
      <c r="AL13" s="339"/>
      <c r="AM13" s="339"/>
      <c r="AN13" s="339"/>
      <c r="AO13" s="340"/>
      <c r="AP13" s="350"/>
      <c r="AQ13" s="351"/>
      <c r="AR13" s="351"/>
      <c r="AS13" s="351"/>
      <c r="AT13" s="351"/>
      <c r="AU13" s="351"/>
      <c r="AV13" s="351"/>
      <c r="AW13" s="351"/>
      <c r="AX13" s="351"/>
      <c r="AY13" s="9"/>
    </row>
    <row r="14" spans="1:51" ht="11.45" customHeight="1" x14ac:dyDescent="0.2">
      <c r="B14" s="7"/>
      <c r="C14" s="318"/>
      <c r="D14" s="318"/>
      <c r="E14" s="318"/>
      <c r="F14" s="318"/>
      <c r="G14" s="318"/>
      <c r="H14" s="337"/>
      <c r="I14" s="335"/>
      <c r="J14" s="335"/>
      <c r="K14" s="335"/>
      <c r="L14" s="335"/>
      <c r="M14" s="335"/>
      <c r="N14" s="336"/>
      <c r="O14" s="337"/>
      <c r="P14" s="335"/>
      <c r="Q14" s="335"/>
      <c r="R14" s="335"/>
      <c r="S14" s="335"/>
      <c r="T14" s="335"/>
      <c r="U14" s="336"/>
      <c r="V14" s="337"/>
      <c r="W14" s="335"/>
      <c r="X14" s="335"/>
      <c r="Y14" s="335"/>
      <c r="Z14" s="335"/>
      <c r="AA14" s="335"/>
      <c r="AB14" s="336"/>
      <c r="AC14" s="337"/>
      <c r="AD14" s="335"/>
      <c r="AE14" s="335"/>
      <c r="AF14" s="335"/>
      <c r="AG14" s="335"/>
      <c r="AH14" s="335"/>
      <c r="AI14" s="336"/>
      <c r="AJ14" s="341"/>
      <c r="AK14" s="342"/>
      <c r="AL14" s="342"/>
      <c r="AM14" s="342"/>
      <c r="AN14" s="342"/>
      <c r="AO14" s="343"/>
      <c r="AP14" s="351"/>
      <c r="AQ14" s="351"/>
      <c r="AR14" s="351"/>
      <c r="AS14" s="351"/>
      <c r="AT14" s="351"/>
      <c r="AU14" s="351"/>
      <c r="AV14" s="351"/>
      <c r="AW14" s="351"/>
      <c r="AX14" s="351"/>
      <c r="AY14" s="9"/>
    </row>
    <row r="15" spans="1:51" ht="11.45" customHeight="1" x14ac:dyDescent="0.2">
      <c r="B15" s="7"/>
      <c r="C15" s="318"/>
      <c r="D15" s="318"/>
      <c r="E15" s="318"/>
      <c r="F15" s="318"/>
      <c r="G15" s="318"/>
      <c r="H15" s="337"/>
      <c r="I15" s="335"/>
      <c r="J15" s="335"/>
      <c r="K15" s="335"/>
      <c r="L15" s="335"/>
      <c r="M15" s="335"/>
      <c r="N15" s="336"/>
      <c r="O15" s="337"/>
      <c r="P15" s="335"/>
      <c r="Q15" s="335"/>
      <c r="R15" s="335"/>
      <c r="S15" s="335"/>
      <c r="T15" s="335"/>
      <c r="U15" s="336"/>
      <c r="V15" s="337"/>
      <c r="W15" s="335"/>
      <c r="X15" s="335"/>
      <c r="Y15" s="335"/>
      <c r="Z15" s="335"/>
      <c r="AA15" s="335"/>
      <c r="AB15" s="336"/>
      <c r="AC15" s="337"/>
      <c r="AD15" s="335"/>
      <c r="AE15" s="335"/>
      <c r="AF15" s="335"/>
      <c r="AG15" s="335"/>
      <c r="AH15" s="335"/>
      <c r="AI15" s="336"/>
      <c r="AJ15" s="341"/>
      <c r="AK15" s="342"/>
      <c r="AL15" s="342"/>
      <c r="AM15" s="342"/>
      <c r="AN15" s="342"/>
      <c r="AO15" s="343"/>
      <c r="AP15" s="351"/>
      <c r="AQ15" s="351"/>
      <c r="AR15" s="351"/>
      <c r="AS15" s="351"/>
      <c r="AT15" s="351"/>
      <c r="AU15" s="351"/>
      <c r="AV15" s="351"/>
      <c r="AW15" s="351"/>
      <c r="AX15" s="351"/>
      <c r="AY15" s="9"/>
    </row>
    <row r="16" spans="1:51" ht="11.45" customHeight="1" x14ac:dyDescent="0.2">
      <c r="B16" s="7"/>
      <c r="C16" s="318"/>
      <c r="D16" s="318"/>
      <c r="E16" s="318"/>
      <c r="F16" s="318"/>
      <c r="G16" s="318"/>
      <c r="H16" s="337"/>
      <c r="I16" s="335"/>
      <c r="J16" s="335"/>
      <c r="K16" s="335"/>
      <c r="L16" s="335"/>
      <c r="M16" s="335"/>
      <c r="N16" s="336"/>
      <c r="O16" s="337"/>
      <c r="P16" s="335"/>
      <c r="Q16" s="335"/>
      <c r="R16" s="335"/>
      <c r="S16" s="335"/>
      <c r="T16" s="335"/>
      <c r="U16" s="336"/>
      <c r="V16" s="337"/>
      <c r="W16" s="335"/>
      <c r="X16" s="335"/>
      <c r="Y16" s="335"/>
      <c r="Z16" s="335"/>
      <c r="AA16" s="335"/>
      <c r="AB16" s="336"/>
      <c r="AC16" s="337"/>
      <c r="AD16" s="335"/>
      <c r="AE16" s="335"/>
      <c r="AF16" s="335"/>
      <c r="AG16" s="335"/>
      <c r="AH16" s="335"/>
      <c r="AI16" s="336"/>
      <c r="AJ16" s="341"/>
      <c r="AK16" s="342"/>
      <c r="AL16" s="342"/>
      <c r="AM16" s="342"/>
      <c r="AN16" s="342"/>
      <c r="AO16" s="343"/>
      <c r="AP16" s="351"/>
      <c r="AQ16" s="351"/>
      <c r="AR16" s="351"/>
      <c r="AS16" s="351"/>
      <c r="AT16" s="351"/>
      <c r="AU16" s="351"/>
      <c r="AV16" s="351"/>
      <c r="AW16" s="351"/>
      <c r="AX16" s="351"/>
      <c r="AY16" s="9"/>
    </row>
    <row r="17" spans="2:51" ht="11.45" customHeight="1" x14ac:dyDescent="0.2">
      <c r="B17" s="7"/>
      <c r="C17" s="318"/>
      <c r="D17" s="318"/>
      <c r="E17" s="318"/>
      <c r="F17" s="318"/>
      <c r="G17" s="318"/>
      <c r="H17" s="337"/>
      <c r="I17" s="335"/>
      <c r="J17" s="335"/>
      <c r="K17" s="335"/>
      <c r="L17" s="335"/>
      <c r="M17" s="335"/>
      <c r="N17" s="336"/>
      <c r="O17" s="337"/>
      <c r="P17" s="335"/>
      <c r="Q17" s="335"/>
      <c r="R17" s="335"/>
      <c r="S17" s="335"/>
      <c r="T17" s="335"/>
      <c r="U17" s="336"/>
      <c r="V17" s="337"/>
      <c r="W17" s="335"/>
      <c r="X17" s="335"/>
      <c r="Y17" s="335"/>
      <c r="Z17" s="335"/>
      <c r="AA17" s="335"/>
      <c r="AB17" s="336"/>
      <c r="AC17" s="337"/>
      <c r="AD17" s="335"/>
      <c r="AE17" s="335"/>
      <c r="AF17" s="335"/>
      <c r="AG17" s="335"/>
      <c r="AH17" s="335"/>
      <c r="AI17" s="336"/>
      <c r="AJ17" s="341"/>
      <c r="AK17" s="342"/>
      <c r="AL17" s="342"/>
      <c r="AM17" s="342"/>
      <c r="AN17" s="342"/>
      <c r="AO17" s="343"/>
      <c r="AP17" s="351"/>
      <c r="AQ17" s="351"/>
      <c r="AR17" s="351"/>
      <c r="AS17" s="351"/>
      <c r="AT17" s="351"/>
      <c r="AU17" s="351"/>
      <c r="AV17" s="351"/>
      <c r="AW17" s="351"/>
      <c r="AX17" s="351"/>
      <c r="AY17" s="9"/>
    </row>
    <row r="18" spans="2:51" ht="11.45" customHeight="1" x14ac:dyDescent="0.2">
      <c r="B18" s="7"/>
      <c r="C18" s="318"/>
      <c r="D18" s="318"/>
      <c r="E18" s="318"/>
      <c r="F18" s="318"/>
      <c r="G18" s="318"/>
      <c r="H18" s="337"/>
      <c r="I18" s="335"/>
      <c r="J18" s="335"/>
      <c r="K18" s="335"/>
      <c r="L18" s="335"/>
      <c r="M18" s="335"/>
      <c r="N18" s="336"/>
      <c r="O18" s="337"/>
      <c r="P18" s="335"/>
      <c r="Q18" s="335"/>
      <c r="R18" s="335"/>
      <c r="S18" s="335"/>
      <c r="T18" s="335"/>
      <c r="U18" s="336"/>
      <c r="V18" s="337"/>
      <c r="W18" s="335"/>
      <c r="X18" s="335"/>
      <c r="Y18" s="335"/>
      <c r="Z18" s="335"/>
      <c r="AA18" s="335"/>
      <c r="AB18" s="336"/>
      <c r="AC18" s="337"/>
      <c r="AD18" s="335"/>
      <c r="AE18" s="335"/>
      <c r="AF18" s="335"/>
      <c r="AG18" s="335"/>
      <c r="AH18" s="335"/>
      <c r="AI18" s="336"/>
      <c r="AJ18" s="341"/>
      <c r="AK18" s="342"/>
      <c r="AL18" s="342"/>
      <c r="AM18" s="342"/>
      <c r="AN18" s="342"/>
      <c r="AO18" s="343"/>
      <c r="AP18" s="351"/>
      <c r="AQ18" s="351"/>
      <c r="AR18" s="351"/>
      <c r="AS18" s="351"/>
      <c r="AT18" s="351"/>
      <c r="AU18" s="351"/>
      <c r="AV18" s="351"/>
      <c r="AW18" s="351"/>
      <c r="AX18" s="351"/>
      <c r="AY18" s="9"/>
    </row>
    <row r="19" spans="2:51" ht="11.45" customHeight="1" x14ac:dyDescent="0.2">
      <c r="B19" s="7"/>
      <c r="C19" s="318"/>
      <c r="D19" s="318"/>
      <c r="E19" s="318"/>
      <c r="F19" s="318"/>
      <c r="G19" s="318"/>
      <c r="H19" s="337"/>
      <c r="I19" s="335"/>
      <c r="J19" s="335"/>
      <c r="K19" s="335"/>
      <c r="L19" s="335"/>
      <c r="M19" s="335"/>
      <c r="N19" s="336"/>
      <c r="O19" s="337"/>
      <c r="P19" s="335"/>
      <c r="Q19" s="335"/>
      <c r="R19" s="335"/>
      <c r="S19" s="335"/>
      <c r="T19" s="335"/>
      <c r="U19" s="336"/>
      <c r="V19" s="337"/>
      <c r="W19" s="335"/>
      <c r="X19" s="335"/>
      <c r="Y19" s="335"/>
      <c r="Z19" s="335"/>
      <c r="AA19" s="335"/>
      <c r="AB19" s="336"/>
      <c r="AC19" s="337"/>
      <c r="AD19" s="335"/>
      <c r="AE19" s="335"/>
      <c r="AF19" s="335"/>
      <c r="AG19" s="335"/>
      <c r="AH19" s="335"/>
      <c r="AI19" s="336"/>
      <c r="AJ19" s="341"/>
      <c r="AK19" s="342"/>
      <c r="AL19" s="342"/>
      <c r="AM19" s="342"/>
      <c r="AN19" s="342"/>
      <c r="AO19" s="343"/>
      <c r="AP19" s="351"/>
      <c r="AQ19" s="351"/>
      <c r="AR19" s="351"/>
      <c r="AS19" s="351"/>
      <c r="AT19" s="351"/>
      <c r="AU19" s="351"/>
      <c r="AV19" s="351"/>
      <c r="AW19" s="351"/>
      <c r="AX19" s="351"/>
      <c r="AY19" s="9"/>
    </row>
    <row r="20" spans="2:51" ht="25.5" customHeight="1" x14ac:dyDescent="0.2">
      <c r="B20" s="7"/>
      <c r="C20" s="318"/>
      <c r="D20" s="318"/>
      <c r="E20" s="318"/>
      <c r="F20" s="318"/>
      <c r="G20" s="318"/>
      <c r="H20" s="337"/>
      <c r="I20" s="335"/>
      <c r="J20" s="335"/>
      <c r="K20" s="335"/>
      <c r="L20" s="335"/>
      <c r="M20" s="335"/>
      <c r="N20" s="336"/>
      <c r="O20" s="337"/>
      <c r="P20" s="335"/>
      <c r="Q20" s="335"/>
      <c r="R20" s="335"/>
      <c r="S20" s="335"/>
      <c r="T20" s="335"/>
      <c r="U20" s="336"/>
      <c r="V20" s="337"/>
      <c r="W20" s="335"/>
      <c r="X20" s="335"/>
      <c r="Y20" s="335"/>
      <c r="Z20" s="335"/>
      <c r="AA20" s="335"/>
      <c r="AB20" s="336"/>
      <c r="AC20" s="337"/>
      <c r="AD20" s="335"/>
      <c r="AE20" s="335"/>
      <c r="AF20" s="335"/>
      <c r="AG20" s="335"/>
      <c r="AH20" s="335"/>
      <c r="AI20" s="336"/>
      <c r="AJ20" s="341"/>
      <c r="AK20" s="342"/>
      <c r="AL20" s="342"/>
      <c r="AM20" s="342"/>
      <c r="AN20" s="342"/>
      <c r="AO20" s="343"/>
      <c r="AP20" s="351"/>
      <c r="AQ20" s="351"/>
      <c r="AR20" s="351"/>
      <c r="AS20" s="351"/>
      <c r="AT20" s="351"/>
      <c r="AU20" s="351"/>
      <c r="AV20" s="351"/>
      <c r="AW20" s="351"/>
      <c r="AX20" s="351"/>
      <c r="AY20" s="9"/>
    </row>
    <row r="21" spans="2:51" ht="6.95" customHeight="1" x14ac:dyDescent="0.2">
      <c r="B21" s="7"/>
      <c r="C21" s="318"/>
      <c r="D21" s="318"/>
      <c r="E21" s="318"/>
      <c r="F21" s="318"/>
      <c r="G21" s="318"/>
      <c r="H21" s="325"/>
      <c r="I21" s="326"/>
      <c r="J21" s="326"/>
      <c r="K21" s="326"/>
      <c r="L21" s="326"/>
      <c r="M21" s="326"/>
      <c r="N21" s="327"/>
      <c r="O21" s="325"/>
      <c r="P21" s="326"/>
      <c r="Q21" s="326"/>
      <c r="R21" s="326"/>
      <c r="S21" s="326"/>
      <c r="T21" s="326"/>
      <c r="U21" s="327"/>
      <c r="V21" s="325"/>
      <c r="W21" s="326"/>
      <c r="X21" s="326"/>
      <c r="Y21" s="326"/>
      <c r="Z21" s="326"/>
      <c r="AA21" s="326"/>
      <c r="AB21" s="327"/>
      <c r="AC21" s="325"/>
      <c r="AD21" s="326"/>
      <c r="AE21" s="326"/>
      <c r="AF21" s="326"/>
      <c r="AG21" s="326"/>
      <c r="AH21" s="326"/>
      <c r="AI21" s="327"/>
      <c r="AJ21" s="341"/>
      <c r="AK21" s="342"/>
      <c r="AL21" s="342"/>
      <c r="AM21" s="342"/>
      <c r="AN21" s="342"/>
      <c r="AO21" s="343"/>
      <c r="AP21" s="351"/>
      <c r="AQ21" s="351"/>
      <c r="AR21" s="351"/>
      <c r="AS21" s="351"/>
      <c r="AT21" s="351"/>
      <c r="AU21" s="351"/>
      <c r="AV21" s="351"/>
      <c r="AW21" s="351"/>
      <c r="AX21" s="351"/>
      <c r="AY21" s="9"/>
    </row>
    <row r="22" spans="2:51" ht="6.95" customHeight="1" x14ac:dyDescent="0.2">
      <c r="B22" s="7"/>
      <c r="C22" s="318"/>
      <c r="D22" s="318"/>
      <c r="E22" s="318"/>
      <c r="F22" s="318"/>
      <c r="G22" s="318"/>
      <c r="H22" s="328"/>
      <c r="I22" s="326"/>
      <c r="J22" s="326"/>
      <c r="K22" s="326"/>
      <c r="L22" s="326"/>
      <c r="M22" s="326"/>
      <c r="N22" s="327"/>
      <c r="O22" s="328"/>
      <c r="P22" s="326"/>
      <c r="Q22" s="326"/>
      <c r="R22" s="326"/>
      <c r="S22" s="326"/>
      <c r="T22" s="326"/>
      <c r="U22" s="327"/>
      <c r="V22" s="328"/>
      <c r="W22" s="326"/>
      <c r="X22" s="326"/>
      <c r="Y22" s="326"/>
      <c r="Z22" s="326"/>
      <c r="AA22" s="326"/>
      <c r="AB22" s="327"/>
      <c r="AC22" s="328"/>
      <c r="AD22" s="326"/>
      <c r="AE22" s="326"/>
      <c r="AF22" s="326"/>
      <c r="AG22" s="326"/>
      <c r="AH22" s="326"/>
      <c r="AI22" s="327"/>
      <c r="AJ22" s="341"/>
      <c r="AK22" s="342"/>
      <c r="AL22" s="342"/>
      <c r="AM22" s="342"/>
      <c r="AN22" s="342"/>
      <c r="AO22" s="343"/>
      <c r="AP22" s="351"/>
      <c r="AQ22" s="351"/>
      <c r="AR22" s="351"/>
      <c r="AS22" s="351"/>
      <c r="AT22" s="351"/>
      <c r="AU22" s="351"/>
      <c r="AV22" s="351"/>
      <c r="AW22" s="351"/>
      <c r="AX22" s="351"/>
      <c r="AY22" s="9"/>
    </row>
    <row r="23" spans="2:51" ht="11.45" customHeight="1" x14ac:dyDescent="0.2">
      <c r="B23" s="7"/>
      <c r="C23" s="360" t="s">
        <v>4107</v>
      </c>
      <c r="D23" s="360"/>
      <c r="E23" s="360"/>
      <c r="F23" s="360"/>
      <c r="G23" s="360"/>
      <c r="H23" s="329" t="str">
        <f>LISTAS!AP17</f>
        <v>PAT.</v>
      </c>
      <c r="I23" s="330"/>
      <c r="J23" s="330"/>
      <c r="K23" s="330"/>
      <c r="L23" s="330"/>
      <c r="M23" s="330"/>
      <c r="N23" s="330"/>
      <c r="O23" s="329" t="str">
        <f>LISTAS!AQ17</f>
        <v>Plan de Trabajo del PEAI. PCI.</v>
      </c>
      <c r="P23" s="330"/>
      <c r="Q23" s="330"/>
      <c r="R23" s="330"/>
      <c r="S23" s="330"/>
      <c r="T23" s="330"/>
      <c r="U23" s="330"/>
      <c r="V23" s="329" t="str">
        <f>LISTAS!AR17</f>
        <v>PAT.</v>
      </c>
      <c r="W23" s="330"/>
      <c r="X23" s="330"/>
      <c r="Y23" s="330"/>
      <c r="Z23" s="330"/>
      <c r="AA23" s="330"/>
      <c r="AB23" s="330"/>
      <c r="AC23" s="329" t="str">
        <f>LISTAS!AS17</f>
        <v>Documentos administrativos: Cartas, Oficios, Memo. Actas, Convenios, Acuerdos.</v>
      </c>
      <c r="AD23" s="330"/>
      <c r="AE23" s="330"/>
      <c r="AF23" s="330"/>
      <c r="AG23" s="330"/>
      <c r="AH23" s="330"/>
      <c r="AI23" s="330"/>
      <c r="AJ23" s="344"/>
      <c r="AK23" s="345"/>
      <c r="AL23" s="345"/>
      <c r="AM23" s="345"/>
      <c r="AN23" s="345"/>
      <c r="AO23" s="346"/>
      <c r="AP23" s="329" t="s">
        <v>3721</v>
      </c>
      <c r="AQ23" s="329"/>
      <c r="AR23" s="329"/>
      <c r="AS23" s="329"/>
      <c r="AT23" s="329"/>
      <c r="AU23" s="329"/>
      <c r="AV23" s="329"/>
      <c r="AW23" s="329"/>
      <c r="AX23" s="329"/>
      <c r="AY23" s="9"/>
    </row>
    <row r="24" spans="2:51" ht="11.45" customHeight="1" x14ac:dyDescent="0.2">
      <c r="B24" s="7"/>
      <c r="C24" s="361"/>
      <c r="D24" s="361"/>
      <c r="E24" s="361"/>
      <c r="F24" s="361"/>
      <c r="G24" s="361"/>
      <c r="H24" s="331"/>
      <c r="I24" s="332"/>
      <c r="J24" s="332"/>
      <c r="K24" s="332"/>
      <c r="L24" s="332"/>
      <c r="M24" s="332"/>
      <c r="N24" s="332"/>
      <c r="O24" s="331"/>
      <c r="P24" s="332"/>
      <c r="Q24" s="332"/>
      <c r="R24" s="332"/>
      <c r="S24" s="332"/>
      <c r="T24" s="332"/>
      <c r="U24" s="332"/>
      <c r="V24" s="331"/>
      <c r="W24" s="332"/>
      <c r="X24" s="332"/>
      <c r="Y24" s="332"/>
      <c r="Z24" s="332"/>
      <c r="AA24" s="332"/>
      <c r="AB24" s="332"/>
      <c r="AC24" s="331"/>
      <c r="AD24" s="332"/>
      <c r="AE24" s="332"/>
      <c r="AF24" s="332"/>
      <c r="AG24" s="332"/>
      <c r="AH24" s="332"/>
      <c r="AI24" s="332"/>
      <c r="AJ24" s="344"/>
      <c r="AK24" s="345"/>
      <c r="AL24" s="345"/>
      <c r="AM24" s="345"/>
      <c r="AN24" s="345"/>
      <c r="AO24" s="346"/>
      <c r="AP24" s="331"/>
      <c r="AQ24" s="331"/>
      <c r="AR24" s="331"/>
      <c r="AS24" s="331"/>
      <c r="AT24" s="331"/>
      <c r="AU24" s="331"/>
      <c r="AV24" s="331"/>
      <c r="AW24" s="331"/>
      <c r="AX24" s="331"/>
      <c r="AY24" s="9"/>
    </row>
    <row r="25" spans="2:51" ht="11.45" customHeight="1" x14ac:dyDescent="0.2">
      <c r="B25" s="7"/>
      <c r="C25" s="361"/>
      <c r="D25" s="361"/>
      <c r="E25" s="361"/>
      <c r="F25" s="361"/>
      <c r="G25" s="361"/>
      <c r="H25" s="331"/>
      <c r="I25" s="332"/>
      <c r="J25" s="332"/>
      <c r="K25" s="332"/>
      <c r="L25" s="332"/>
      <c r="M25" s="332"/>
      <c r="N25" s="332"/>
      <c r="O25" s="331"/>
      <c r="P25" s="332"/>
      <c r="Q25" s="332"/>
      <c r="R25" s="332"/>
      <c r="S25" s="332"/>
      <c r="T25" s="332"/>
      <c r="U25" s="332"/>
      <c r="V25" s="331"/>
      <c r="W25" s="332"/>
      <c r="X25" s="332"/>
      <c r="Y25" s="332"/>
      <c r="Z25" s="332"/>
      <c r="AA25" s="332"/>
      <c r="AB25" s="332"/>
      <c r="AC25" s="331"/>
      <c r="AD25" s="332"/>
      <c r="AE25" s="332"/>
      <c r="AF25" s="332"/>
      <c r="AG25" s="332"/>
      <c r="AH25" s="332"/>
      <c r="AI25" s="332"/>
      <c r="AJ25" s="344"/>
      <c r="AK25" s="345"/>
      <c r="AL25" s="345"/>
      <c r="AM25" s="345"/>
      <c r="AN25" s="345"/>
      <c r="AO25" s="346"/>
      <c r="AP25" s="331"/>
      <c r="AQ25" s="331"/>
      <c r="AR25" s="331"/>
      <c r="AS25" s="331"/>
      <c r="AT25" s="331"/>
      <c r="AU25" s="331"/>
      <c r="AV25" s="331"/>
      <c r="AW25" s="331"/>
      <c r="AX25" s="331"/>
      <c r="AY25" s="9"/>
    </row>
    <row r="26" spans="2:51" ht="11.45" customHeight="1" x14ac:dyDescent="0.2">
      <c r="B26" s="7"/>
      <c r="C26" s="362"/>
      <c r="D26" s="362"/>
      <c r="E26" s="362"/>
      <c r="F26" s="362"/>
      <c r="G26" s="362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3"/>
      <c r="AC26" s="333"/>
      <c r="AD26" s="333"/>
      <c r="AE26" s="333"/>
      <c r="AF26" s="333"/>
      <c r="AG26" s="333"/>
      <c r="AH26" s="333"/>
      <c r="AI26" s="333"/>
      <c r="AJ26" s="347"/>
      <c r="AK26" s="348"/>
      <c r="AL26" s="348"/>
      <c r="AM26" s="348"/>
      <c r="AN26" s="348"/>
      <c r="AO26" s="349"/>
      <c r="AP26" s="352"/>
      <c r="AQ26" s="352"/>
      <c r="AR26" s="352"/>
      <c r="AS26" s="352"/>
      <c r="AT26" s="352"/>
      <c r="AU26" s="352"/>
      <c r="AV26" s="352"/>
      <c r="AW26" s="352"/>
      <c r="AX26" s="352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55"/>
      <c r="D28" s="56"/>
      <c r="E28" s="56"/>
      <c r="F28" s="56"/>
      <c r="G28" s="56"/>
      <c r="H28" s="57"/>
      <c r="I28" s="58"/>
      <c r="J28" s="58"/>
      <c r="K28" s="58"/>
      <c r="L28" s="58"/>
      <c r="M28" s="58"/>
      <c r="N28" s="48"/>
      <c r="O28" s="57"/>
      <c r="P28" s="58"/>
      <c r="Q28" s="58"/>
      <c r="R28" s="58"/>
      <c r="S28" s="58"/>
      <c r="T28" s="58"/>
      <c r="U28" s="48"/>
      <c r="V28" s="57"/>
      <c r="W28" s="58"/>
      <c r="X28" s="58"/>
      <c r="Y28" s="58"/>
      <c r="Z28" s="58"/>
      <c r="AA28" s="58"/>
      <c r="AB28" s="48"/>
      <c r="AC28" s="57"/>
      <c r="AD28" s="58"/>
      <c r="AE28" s="58"/>
      <c r="AF28" s="58"/>
      <c r="AG28" s="58"/>
      <c r="AH28" s="58"/>
      <c r="AI28" s="48"/>
      <c r="AJ28" s="59"/>
      <c r="AK28" s="60"/>
      <c r="AL28" s="60"/>
      <c r="AM28" s="60"/>
      <c r="AN28" s="60"/>
      <c r="AO28" s="61"/>
      <c r="AP28" s="62"/>
      <c r="AQ28" s="63"/>
      <c r="AR28" s="63"/>
      <c r="AS28" s="63"/>
      <c r="AT28" s="63"/>
      <c r="AU28" s="63"/>
      <c r="AV28" s="63"/>
      <c r="AW28" s="63"/>
      <c r="AX28" s="63"/>
      <c r="AY28" s="9"/>
    </row>
    <row r="29" spans="2:51" ht="11.45" customHeight="1" x14ac:dyDescent="0.2">
      <c r="B29" s="7"/>
      <c r="C29" s="56"/>
      <c r="D29" s="56"/>
      <c r="E29" s="56"/>
      <c r="F29" s="56"/>
      <c r="G29" s="56"/>
      <c r="H29" s="64"/>
      <c r="I29" s="58"/>
      <c r="J29" s="58"/>
      <c r="K29" s="58"/>
      <c r="L29" s="58"/>
      <c r="M29" s="58"/>
      <c r="N29" s="48"/>
      <c r="O29" s="64"/>
      <c r="P29" s="58"/>
      <c r="Q29" s="58"/>
      <c r="R29" s="58"/>
      <c r="S29" s="58"/>
      <c r="T29" s="58"/>
      <c r="U29" s="48"/>
      <c r="V29" s="64"/>
      <c r="W29" s="58"/>
      <c r="X29" s="58"/>
      <c r="Y29" s="58"/>
      <c r="Z29" s="58"/>
      <c r="AA29" s="58"/>
      <c r="AB29" s="48"/>
      <c r="AC29" s="64"/>
      <c r="AD29" s="58"/>
      <c r="AE29" s="58"/>
      <c r="AF29" s="58"/>
      <c r="AG29" s="58"/>
      <c r="AH29" s="58"/>
      <c r="AI29" s="48"/>
      <c r="AJ29" s="65"/>
      <c r="AK29" s="66"/>
      <c r="AL29" s="66"/>
      <c r="AM29" s="66"/>
      <c r="AN29" s="66"/>
      <c r="AO29" s="67"/>
      <c r="AP29" s="63"/>
      <c r="AQ29" s="63"/>
      <c r="AR29" s="63"/>
      <c r="AS29" s="63"/>
      <c r="AT29" s="63"/>
      <c r="AU29" s="63"/>
      <c r="AV29" s="63"/>
      <c r="AW29" s="63"/>
      <c r="AX29" s="63"/>
      <c r="AY29" s="9"/>
    </row>
    <row r="30" spans="2:51" ht="11.45" customHeight="1" x14ac:dyDescent="0.2">
      <c r="B30" s="7"/>
      <c r="C30" s="56"/>
      <c r="D30" s="56"/>
      <c r="E30" s="56"/>
      <c r="F30" s="56"/>
      <c r="G30" s="56"/>
      <c r="H30" s="64"/>
      <c r="I30" s="58"/>
      <c r="J30" s="58"/>
      <c r="K30" s="58"/>
      <c r="L30" s="58"/>
      <c r="M30" s="58"/>
      <c r="N30" s="48"/>
      <c r="O30" s="64"/>
      <c r="P30" s="58"/>
      <c r="Q30" s="58"/>
      <c r="R30" s="58"/>
      <c r="S30" s="58"/>
      <c r="T30" s="58"/>
      <c r="U30" s="48"/>
      <c r="V30" s="64"/>
      <c r="W30" s="58"/>
      <c r="X30" s="58"/>
      <c r="Y30" s="58"/>
      <c r="Z30" s="58"/>
      <c r="AA30" s="58"/>
      <c r="AB30" s="48"/>
      <c r="AC30" s="64"/>
      <c r="AD30" s="58"/>
      <c r="AE30" s="58"/>
      <c r="AF30" s="58"/>
      <c r="AG30" s="58"/>
      <c r="AH30" s="58"/>
      <c r="AI30" s="48"/>
      <c r="AJ30" s="65"/>
      <c r="AK30" s="66"/>
      <c r="AL30" s="66"/>
      <c r="AM30" s="66"/>
      <c r="AN30" s="66"/>
      <c r="AO30" s="67"/>
      <c r="AP30" s="63"/>
      <c r="AQ30" s="63"/>
      <c r="AR30" s="63"/>
      <c r="AS30" s="63"/>
      <c r="AT30" s="63"/>
      <c r="AU30" s="63"/>
      <c r="AV30" s="63"/>
      <c r="AW30" s="63"/>
      <c r="AX30" s="63"/>
      <c r="AY30" s="9"/>
    </row>
    <row r="31" spans="2:51" ht="11.45" customHeight="1" x14ac:dyDescent="0.2">
      <c r="B31" s="7"/>
      <c r="C31" s="56"/>
      <c r="D31" s="56"/>
      <c r="E31" s="56"/>
      <c r="F31" s="56"/>
      <c r="G31" s="56"/>
      <c r="H31" s="64"/>
      <c r="I31" s="58"/>
      <c r="J31" s="58"/>
      <c r="K31" s="58"/>
      <c r="L31" s="58"/>
      <c r="M31" s="58"/>
      <c r="N31" s="48"/>
      <c r="O31" s="64"/>
      <c r="P31" s="58"/>
      <c r="Q31" s="58"/>
      <c r="R31" s="58"/>
      <c r="S31" s="58"/>
      <c r="T31" s="58"/>
      <c r="U31" s="48"/>
      <c r="V31" s="64"/>
      <c r="W31" s="58"/>
      <c r="X31" s="58"/>
      <c r="Y31" s="58"/>
      <c r="Z31" s="58"/>
      <c r="AA31" s="58"/>
      <c r="AB31" s="48"/>
      <c r="AC31" s="64"/>
      <c r="AD31" s="58"/>
      <c r="AE31" s="58"/>
      <c r="AF31" s="58"/>
      <c r="AG31" s="58"/>
      <c r="AH31" s="58"/>
      <c r="AI31" s="48"/>
      <c r="AJ31" s="65"/>
      <c r="AK31" s="66"/>
      <c r="AL31" s="66"/>
      <c r="AM31" s="66"/>
      <c r="AN31" s="66"/>
      <c r="AO31" s="67"/>
      <c r="AP31" s="63"/>
      <c r="AQ31" s="63"/>
      <c r="AR31" s="63"/>
      <c r="AS31" s="63"/>
      <c r="AT31" s="63"/>
      <c r="AU31" s="63"/>
      <c r="AV31" s="63"/>
      <c r="AW31" s="63"/>
      <c r="AX31" s="63"/>
      <c r="AY31" s="9"/>
    </row>
    <row r="32" spans="2:51" ht="11.45" customHeight="1" x14ac:dyDescent="0.2">
      <c r="B32" s="7"/>
      <c r="C32" s="56"/>
      <c r="D32" s="56"/>
      <c r="E32" s="56"/>
      <c r="F32" s="56"/>
      <c r="G32" s="56"/>
      <c r="H32" s="64"/>
      <c r="I32" s="58"/>
      <c r="J32" s="58"/>
      <c r="K32" s="58"/>
      <c r="L32" s="58"/>
      <c r="M32" s="58"/>
      <c r="N32" s="48"/>
      <c r="O32" s="64"/>
      <c r="P32" s="58"/>
      <c r="Q32" s="58"/>
      <c r="R32" s="58"/>
      <c r="S32" s="58"/>
      <c r="T32" s="58"/>
      <c r="U32" s="48"/>
      <c r="V32" s="64"/>
      <c r="W32" s="58"/>
      <c r="X32" s="58"/>
      <c r="Y32" s="58"/>
      <c r="Z32" s="58"/>
      <c r="AA32" s="58"/>
      <c r="AB32" s="48"/>
      <c r="AC32" s="64"/>
      <c r="AD32" s="58"/>
      <c r="AE32" s="58"/>
      <c r="AF32" s="58"/>
      <c r="AG32" s="58"/>
      <c r="AH32" s="58"/>
      <c r="AI32" s="48"/>
      <c r="AJ32" s="65"/>
      <c r="AK32" s="66"/>
      <c r="AL32" s="66"/>
      <c r="AM32" s="66"/>
      <c r="AN32" s="66"/>
      <c r="AO32" s="67"/>
      <c r="AP32" s="63"/>
      <c r="AQ32" s="63"/>
      <c r="AR32" s="63"/>
      <c r="AS32" s="63"/>
      <c r="AT32" s="63"/>
      <c r="AU32" s="63"/>
      <c r="AV32" s="63"/>
      <c r="AW32" s="63"/>
      <c r="AX32" s="63"/>
      <c r="AY32" s="9"/>
    </row>
    <row r="33" spans="2:51" ht="11.45" customHeight="1" x14ac:dyDescent="0.2">
      <c r="B33" s="7"/>
      <c r="C33" s="56"/>
      <c r="D33" s="56"/>
      <c r="E33" s="56"/>
      <c r="F33" s="56"/>
      <c r="G33" s="56"/>
      <c r="H33" s="64"/>
      <c r="I33" s="58"/>
      <c r="J33" s="58"/>
      <c r="K33" s="58"/>
      <c r="L33" s="58"/>
      <c r="M33" s="58"/>
      <c r="N33" s="48"/>
      <c r="O33" s="64"/>
      <c r="P33" s="58"/>
      <c r="Q33" s="58"/>
      <c r="R33" s="58"/>
      <c r="S33" s="58"/>
      <c r="T33" s="58"/>
      <c r="U33" s="48"/>
      <c r="V33" s="64"/>
      <c r="W33" s="58"/>
      <c r="X33" s="58"/>
      <c r="Y33" s="58"/>
      <c r="Z33" s="58"/>
      <c r="AA33" s="58"/>
      <c r="AB33" s="48"/>
      <c r="AC33" s="64"/>
      <c r="AD33" s="58"/>
      <c r="AE33" s="58"/>
      <c r="AF33" s="58"/>
      <c r="AG33" s="58"/>
      <c r="AH33" s="58"/>
      <c r="AI33" s="48"/>
      <c r="AJ33" s="65"/>
      <c r="AK33" s="66"/>
      <c r="AL33" s="66"/>
      <c r="AM33" s="66"/>
      <c r="AN33" s="66"/>
      <c r="AO33" s="67"/>
      <c r="AP33" s="63"/>
      <c r="AQ33" s="63"/>
      <c r="AR33" s="63"/>
      <c r="AS33" s="63"/>
      <c r="AT33" s="63"/>
      <c r="AU33" s="63"/>
      <c r="AV33" s="63"/>
      <c r="AW33" s="63"/>
      <c r="AX33" s="63"/>
      <c r="AY33" s="9"/>
    </row>
    <row r="34" spans="2:51" ht="11.45" customHeight="1" x14ac:dyDescent="0.2">
      <c r="B34" s="7"/>
      <c r="C34" s="56"/>
      <c r="D34" s="56"/>
      <c r="E34" s="56"/>
      <c r="F34" s="56"/>
      <c r="G34" s="56"/>
      <c r="H34" s="64"/>
      <c r="I34" s="58"/>
      <c r="J34" s="58"/>
      <c r="K34" s="58"/>
      <c r="L34" s="58"/>
      <c r="M34" s="58"/>
      <c r="N34" s="48"/>
      <c r="O34" s="64"/>
      <c r="P34" s="58"/>
      <c r="Q34" s="58"/>
      <c r="R34" s="58"/>
      <c r="S34" s="58"/>
      <c r="T34" s="58"/>
      <c r="U34" s="48"/>
      <c r="V34" s="64"/>
      <c r="W34" s="58"/>
      <c r="X34" s="58"/>
      <c r="Y34" s="58"/>
      <c r="Z34" s="58"/>
      <c r="AA34" s="58"/>
      <c r="AB34" s="48"/>
      <c r="AC34" s="64"/>
      <c r="AD34" s="58"/>
      <c r="AE34" s="58"/>
      <c r="AF34" s="58"/>
      <c r="AG34" s="58"/>
      <c r="AH34" s="58"/>
      <c r="AI34" s="48"/>
      <c r="AJ34" s="65"/>
      <c r="AK34" s="66"/>
      <c r="AL34" s="66"/>
      <c r="AM34" s="66"/>
      <c r="AN34" s="66"/>
      <c r="AO34" s="67"/>
      <c r="AP34" s="63"/>
      <c r="AQ34" s="63"/>
      <c r="AR34" s="63"/>
      <c r="AS34" s="63"/>
      <c r="AT34" s="63"/>
      <c r="AU34" s="63"/>
      <c r="AV34" s="63"/>
      <c r="AW34" s="63"/>
      <c r="AX34" s="63"/>
      <c r="AY34" s="9"/>
    </row>
    <row r="35" spans="2:51" ht="25.5" customHeight="1" x14ac:dyDescent="0.2">
      <c r="B35" s="7"/>
      <c r="C35" s="56"/>
      <c r="D35" s="56"/>
      <c r="E35" s="56"/>
      <c r="F35" s="56"/>
      <c r="G35" s="56"/>
      <c r="H35" s="64"/>
      <c r="I35" s="58"/>
      <c r="J35" s="58"/>
      <c r="K35" s="58"/>
      <c r="L35" s="58"/>
      <c r="M35" s="58"/>
      <c r="N35" s="48"/>
      <c r="O35" s="64"/>
      <c r="P35" s="58"/>
      <c r="Q35" s="58"/>
      <c r="R35" s="58"/>
      <c r="S35" s="58"/>
      <c r="T35" s="58"/>
      <c r="U35" s="48"/>
      <c r="V35" s="64"/>
      <c r="W35" s="58"/>
      <c r="X35" s="58"/>
      <c r="Y35" s="58"/>
      <c r="Z35" s="58"/>
      <c r="AA35" s="58"/>
      <c r="AB35" s="48"/>
      <c r="AC35" s="64"/>
      <c r="AD35" s="58"/>
      <c r="AE35" s="58"/>
      <c r="AF35" s="58"/>
      <c r="AG35" s="58"/>
      <c r="AH35" s="58"/>
      <c r="AI35" s="48"/>
      <c r="AJ35" s="65"/>
      <c r="AK35" s="66"/>
      <c r="AL35" s="66"/>
      <c r="AM35" s="66"/>
      <c r="AN35" s="66"/>
      <c r="AO35" s="67"/>
      <c r="AP35" s="63"/>
      <c r="AQ35" s="63"/>
      <c r="AR35" s="63"/>
      <c r="AS35" s="63"/>
      <c r="AT35" s="63"/>
      <c r="AU35" s="63"/>
      <c r="AV35" s="63"/>
      <c r="AW35" s="63"/>
      <c r="AX35" s="63"/>
      <c r="AY35" s="9"/>
    </row>
    <row r="36" spans="2:51" ht="6.95" customHeight="1" x14ac:dyDescent="0.2">
      <c r="B36" s="7"/>
      <c r="C36" s="56"/>
      <c r="D36" s="56"/>
      <c r="E36" s="56"/>
      <c r="F36" s="56"/>
      <c r="G36" s="56"/>
      <c r="H36" s="68"/>
      <c r="I36" s="69"/>
      <c r="J36" s="69"/>
      <c r="K36" s="69"/>
      <c r="L36" s="69"/>
      <c r="M36" s="69"/>
      <c r="N36" s="49"/>
      <c r="O36" s="68"/>
      <c r="P36" s="69"/>
      <c r="Q36" s="69"/>
      <c r="R36" s="69"/>
      <c r="S36" s="69"/>
      <c r="T36" s="69"/>
      <c r="U36" s="49"/>
      <c r="V36" s="68"/>
      <c r="W36" s="69"/>
      <c r="X36" s="69"/>
      <c r="Y36" s="69"/>
      <c r="Z36" s="69"/>
      <c r="AA36" s="69"/>
      <c r="AB36" s="49"/>
      <c r="AC36" s="68"/>
      <c r="AD36" s="69"/>
      <c r="AE36" s="69"/>
      <c r="AF36" s="69"/>
      <c r="AG36" s="69"/>
      <c r="AH36" s="69"/>
      <c r="AI36" s="49"/>
      <c r="AJ36" s="65"/>
      <c r="AK36" s="66"/>
      <c r="AL36" s="66"/>
      <c r="AM36" s="66"/>
      <c r="AN36" s="66"/>
      <c r="AO36" s="67"/>
      <c r="AP36" s="63"/>
      <c r="AQ36" s="63"/>
      <c r="AR36" s="63"/>
      <c r="AS36" s="63"/>
      <c r="AT36" s="63"/>
      <c r="AU36" s="63"/>
      <c r="AV36" s="63"/>
      <c r="AW36" s="63"/>
      <c r="AX36" s="63"/>
      <c r="AY36" s="9"/>
    </row>
    <row r="37" spans="2:51" ht="6.95" customHeight="1" x14ac:dyDescent="0.2">
      <c r="B37" s="7"/>
      <c r="C37" s="56"/>
      <c r="D37" s="56"/>
      <c r="E37" s="56"/>
      <c r="F37" s="56"/>
      <c r="G37" s="56"/>
      <c r="H37" s="70"/>
      <c r="I37" s="69"/>
      <c r="J37" s="69"/>
      <c r="K37" s="69"/>
      <c r="L37" s="69"/>
      <c r="M37" s="69"/>
      <c r="N37" s="49"/>
      <c r="O37" s="70"/>
      <c r="P37" s="69"/>
      <c r="Q37" s="69"/>
      <c r="R37" s="69"/>
      <c r="S37" s="69"/>
      <c r="T37" s="69"/>
      <c r="U37" s="49"/>
      <c r="V37" s="70"/>
      <c r="W37" s="69"/>
      <c r="X37" s="69"/>
      <c r="Y37" s="69"/>
      <c r="Z37" s="69"/>
      <c r="AA37" s="69"/>
      <c r="AB37" s="49"/>
      <c r="AC37" s="70"/>
      <c r="AD37" s="69"/>
      <c r="AE37" s="69"/>
      <c r="AF37" s="69"/>
      <c r="AG37" s="69"/>
      <c r="AH37" s="69"/>
      <c r="AI37" s="49"/>
      <c r="AJ37" s="65"/>
      <c r="AK37" s="66"/>
      <c r="AL37" s="66"/>
      <c r="AM37" s="66"/>
      <c r="AN37" s="66"/>
      <c r="AO37" s="67"/>
      <c r="AP37" s="63"/>
      <c r="AQ37" s="63"/>
      <c r="AR37" s="63"/>
      <c r="AS37" s="63"/>
      <c r="AT37" s="63"/>
      <c r="AU37" s="63"/>
      <c r="AV37" s="63"/>
      <c r="AW37" s="63"/>
      <c r="AX37" s="63"/>
      <c r="AY37" s="9"/>
    </row>
    <row r="38" spans="2:51" ht="11.45" customHeight="1" x14ac:dyDescent="0.2">
      <c r="B38" s="7"/>
      <c r="C38" s="71"/>
      <c r="D38" s="71"/>
      <c r="E38" s="71"/>
      <c r="F38" s="71"/>
      <c r="G38" s="71"/>
      <c r="H38" s="72"/>
      <c r="I38" s="73"/>
      <c r="J38" s="73"/>
      <c r="K38" s="73"/>
      <c r="L38" s="73"/>
      <c r="M38" s="73"/>
      <c r="N38" s="73"/>
      <c r="O38" s="72"/>
      <c r="P38" s="73"/>
      <c r="Q38" s="73"/>
      <c r="R38" s="73"/>
      <c r="S38" s="73"/>
      <c r="T38" s="73"/>
      <c r="U38" s="73"/>
      <c r="V38" s="72"/>
      <c r="W38" s="73"/>
      <c r="X38" s="73"/>
      <c r="Y38" s="73"/>
      <c r="Z38" s="73"/>
      <c r="AA38" s="73"/>
      <c r="AB38" s="73"/>
      <c r="AC38" s="72"/>
      <c r="AD38" s="73"/>
      <c r="AE38" s="73"/>
      <c r="AF38" s="73"/>
      <c r="AG38" s="73"/>
      <c r="AH38" s="73"/>
      <c r="AI38" s="73"/>
      <c r="AJ38" s="74"/>
      <c r="AK38" s="75"/>
      <c r="AL38" s="75"/>
      <c r="AM38" s="75"/>
      <c r="AN38" s="75"/>
      <c r="AO38" s="76"/>
      <c r="AP38" s="72"/>
      <c r="AQ38" s="72"/>
      <c r="AR38" s="72"/>
      <c r="AS38" s="72"/>
      <c r="AT38" s="72"/>
      <c r="AU38" s="72"/>
      <c r="AV38" s="72"/>
      <c r="AW38" s="72"/>
      <c r="AX38" s="72"/>
      <c r="AY38" s="9"/>
    </row>
    <row r="39" spans="2:51" ht="11.45" customHeight="1" x14ac:dyDescent="0.2">
      <c r="B39" s="7"/>
      <c r="C39" s="77"/>
      <c r="D39" s="77"/>
      <c r="E39" s="77"/>
      <c r="F39" s="77"/>
      <c r="G39" s="77"/>
      <c r="H39" s="78"/>
      <c r="I39" s="79"/>
      <c r="J39" s="79"/>
      <c r="K39" s="79"/>
      <c r="L39" s="79"/>
      <c r="M39" s="79"/>
      <c r="N39" s="79"/>
      <c r="O39" s="78"/>
      <c r="P39" s="79"/>
      <c r="Q39" s="79"/>
      <c r="R39" s="79"/>
      <c r="S39" s="79"/>
      <c r="T39" s="79"/>
      <c r="U39" s="79"/>
      <c r="V39" s="78"/>
      <c r="W39" s="79"/>
      <c r="X39" s="79"/>
      <c r="Y39" s="79"/>
      <c r="Z39" s="79"/>
      <c r="AA39" s="79"/>
      <c r="AB39" s="79"/>
      <c r="AC39" s="78"/>
      <c r="AD39" s="79"/>
      <c r="AE39" s="79"/>
      <c r="AF39" s="79"/>
      <c r="AG39" s="79"/>
      <c r="AH39" s="79"/>
      <c r="AI39" s="79"/>
      <c r="AJ39" s="74"/>
      <c r="AK39" s="75"/>
      <c r="AL39" s="75"/>
      <c r="AM39" s="75"/>
      <c r="AN39" s="75"/>
      <c r="AO39" s="76"/>
      <c r="AP39" s="78"/>
      <c r="AQ39" s="78"/>
      <c r="AR39" s="78"/>
      <c r="AS39" s="78"/>
      <c r="AT39" s="78"/>
      <c r="AU39" s="78"/>
      <c r="AV39" s="78"/>
      <c r="AW39" s="78"/>
      <c r="AX39" s="78"/>
      <c r="AY39" s="9"/>
    </row>
    <row r="40" spans="2:51" ht="11.45" customHeight="1" x14ac:dyDescent="0.2">
      <c r="B40" s="7"/>
      <c r="C40" s="77"/>
      <c r="D40" s="77"/>
      <c r="E40" s="77"/>
      <c r="F40" s="77"/>
      <c r="G40" s="77"/>
      <c r="H40" s="78"/>
      <c r="I40" s="79"/>
      <c r="J40" s="79"/>
      <c r="K40" s="79"/>
      <c r="L40" s="79"/>
      <c r="M40" s="79"/>
      <c r="N40" s="79"/>
      <c r="O40" s="78"/>
      <c r="P40" s="79"/>
      <c r="Q40" s="79"/>
      <c r="R40" s="79"/>
      <c r="S40" s="79"/>
      <c r="T40" s="79"/>
      <c r="U40" s="79"/>
      <c r="V40" s="78"/>
      <c r="W40" s="79"/>
      <c r="X40" s="79"/>
      <c r="Y40" s="79"/>
      <c r="Z40" s="79"/>
      <c r="AA40" s="79"/>
      <c r="AB40" s="79"/>
      <c r="AC40" s="78"/>
      <c r="AD40" s="79"/>
      <c r="AE40" s="79"/>
      <c r="AF40" s="79"/>
      <c r="AG40" s="79"/>
      <c r="AH40" s="79"/>
      <c r="AI40" s="79"/>
      <c r="AJ40" s="74"/>
      <c r="AK40" s="75"/>
      <c r="AL40" s="75"/>
      <c r="AM40" s="75"/>
      <c r="AN40" s="75"/>
      <c r="AO40" s="76"/>
      <c r="AP40" s="78"/>
      <c r="AQ40" s="78"/>
      <c r="AR40" s="78"/>
      <c r="AS40" s="78"/>
      <c r="AT40" s="78"/>
      <c r="AU40" s="78"/>
      <c r="AV40" s="78"/>
      <c r="AW40" s="78"/>
      <c r="AX40" s="78"/>
      <c r="AY40" s="9"/>
    </row>
    <row r="41" spans="2:51" ht="11.45" customHeight="1" x14ac:dyDescent="0.2">
      <c r="B41" s="7"/>
      <c r="C41" s="80"/>
      <c r="D41" s="80"/>
      <c r="E41" s="80"/>
      <c r="F41" s="80"/>
      <c r="G41" s="80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2"/>
      <c r="AK41" s="83"/>
      <c r="AL41" s="83"/>
      <c r="AM41" s="83"/>
      <c r="AN41" s="83"/>
      <c r="AO41" s="84"/>
      <c r="AP41" s="85"/>
      <c r="AQ41" s="85"/>
      <c r="AR41" s="85"/>
      <c r="AS41" s="85"/>
      <c r="AT41" s="85"/>
      <c r="AU41" s="85"/>
      <c r="AV41" s="85"/>
      <c r="AW41" s="85"/>
      <c r="AX41" s="85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0.5" customHeight="1" x14ac:dyDescent="0.2">
      <c r="B43" s="7"/>
      <c r="C43" s="8"/>
      <c r="D43" s="358" t="str">
        <f>REPT(CHAR(73),42*(COUNTIF(H21:AI22,"*")))</f>
        <v/>
      </c>
      <c r="E43" s="359"/>
      <c r="F43" s="359"/>
      <c r="G43" s="359"/>
      <c r="H43" s="359"/>
      <c r="I43" s="359"/>
      <c r="J43" s="359"/>
      <c r="K43" s="359"/>
      <c r="L43" s="359"/>
      <c r="M43" s="359"/>
      <c r="N43" s="359"/>
      <c r="O43" s="359"/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59"/>
      <c r="AC43" s="359"/>
      <c r="AD43" s="155" t="str">
        <f>IF(COUNTIF(H21:AI22,"*")=4,"a","")</f>
        <v/>
      </c>
      <c r="AE43" s="155"/>
      <c r="AF43" s="8"/>
      <c r="AG43" s="370"/>
      <c r="AH43" s="371"/>
      <c r="AI43" s="372"/>
      <c r="AJ43" s="372"/>
      <c r="AK43" s="373"/>
      <c r="AL43" s="8"/>
      <c r="AM43" s="363" t="str">
        <f>"PEAI"</f>
        <v>PEAI</v>
      </c>
      <c r="AN43" s="364"/>
      <c r="AO43" s="365"/>
      <c r="AP43" s="365"/>
      <c r="AQ43" s="366"/>
      <c r="AR43" s="8"/>
      <c r="AS43" s="370"/>
      <c r="AT43" s="371"/>
      <c r="AU43" s="372"/>
      <c r="AV43" s="372"/>
      <c r="AW43" s="373"/>
      <c r="AX43" s="8"/>
      <c r="AY43" s="9"/>
    </row>
    <row r="44" spans="2:51" ht="10.5" customHeight="1" x14ac:dyDescent="0.2">
      <c r="B44" s="7"/>
      <c r="C44" s="8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59"/>
      <c r="AC44" s="359"/>
      <c r="AD44" s="353"/>
      <c r="AE44" s="353"/>
      <c r="AF44" s="8"/>
      <c r="AG44" s="374"/>
      <c r="AH44" s="375"/>
      <c r="AI44" s="375"/>
      <c r="AJ44" s="375"/>
      <c r="AK44" s="376"/>
      <c r="AL44" s="8"/>
      <c r="AM44" s="367"/>
      <c r="AN44" s="368"/>
      <c r="AO44" s="368"/>
      <c r="AP44" s="368"/>
      <c r="AQ44" s="369"/>
      <c r="AR44" s="8"/>
      <c r="AS44" s="374"/>
      <c r="AT44" s="375"/>
      <c r="AU44" s="375"/>
      <c r="AV44" s="375"/>
      <c r="AW44" s="376"/>
      <c r="AX44" s="8"/>
      <c r="AY44" s="9"/>
    </row>
    <row r="45" spans="2:51" ht="3.95" customHeight="1" x14ac:dyDescent="0.2">
      <c r="B45" s="7"/>
      <c r="C45" s="8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39" t="s">
        <v>4176</v>
      </c>
      <c r="D46" s="139"/>
      <c r="E46" s="139" t="s">
        <v>4177</v>
      </c>
      <c r="F46" s="139"/>
      <c r="G46" s="139" t="s">
        <v>4126</v>
      </c>
      <c r="H46" s="139"/>
      <c r="I46" s="139" t="s">
        <v>4178</v>
      </c>
      <c r="J46" s="139"/>
      <c r="K46" s="139" t="s">
        <v>4179</v>
      </c>
      <c r="L46" s="139"/>
      <c r="M46" s="139" t="s">
        <v>4180</v>
      </c>
      <c r="N46" s="139"/>
      <c r="O46" s="139" t="s">
        <v>4181</v>
      </c>
      <c r="P46" s="139"/>
      <c r="Q46" s="139" t="s">
        <v>4182</v>
      </c>
      <c r="R46" s="139"/>
      <c r="S46" s="139" t="s">
        <v>4183</v>
      </c>
      <c r="T46" s="139"/>
      <c r="U46" s="139" t="s">
        <v>4184</v>
      </c>
      <c r="V46" s="139"/>
      <c r="W46" s="139" t="s">
        <v>4185</v>
      </c>
      <c r="X46" s="139"/>
      <c r="Y46" s="139" t="s">
        <v>4186</v>
      </c>
      <c r="Z46" s="139"/>
      <c r="AA46" s="139" t="s">
        <v>1780</v>
      </c>
      <c r="AB46" s="139"/>
      <c r="AC46" s="139" t="s">
        <v>4187</v>
      </c>
      <c r="AD46" s="139"/>
      <c r="AE46" s="139" t="s">
        <v>1781</v>
      </c>
      <c r="AF46" s="139"/>
      <c r="AG46" s="139" t="s">
        <v>4188</v>
      </c>
      <c r="AH46" s="139"/>
      <c r="AI46" s="139" t="s">
        <v>4189</v>
      </c>
      <c r="AJ46" s="139"/>
      <c r="AK46" s="139" t="s">
        <v>4190</v>
      </c>
      <c r="AL46" s="139"/>
      <c r="AM46" s="139" t="s">
        <v>4191</v>
      </c>
      <c r="AN46" s="139"/>
      <c r="AO46" s="139" t="s">
        <v>4192</v>
      </c>
      <c r="AP46" s="139"/>
      <c r="AQ46" s="139" t="s">
        <v>4176</v>
      </c>
      <c r="AR46" s="139"/>
      <c r="AS46" s="139" t="s">
        <v>4177</v>
      </c>
      <c r="AT46" s="139"/>
      <c r="AU46" s="139" t="s">
        <v>4126</v>
      </c>
      <c r="AV46" s="139"/>
      <c r="AW46" s="139" t="s">
        <v>4178</v>
      </c>
      <c r="AX46" s="139"/>
      <c r="AY46" s="9"/>
    </row>
    <row r="47" spans="2:51" ht="12" customHeight="1" x14ac:dyDescent="0.2">
      <c r="B47" s="7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  <c r="AJ47" s="139"/>
      <c r="AK47" s="139"/>
      <c r="AL47" s="139"/>
      <c r="AM47" s="139"/>
      <c r="AN47" s="139"/>
      <c r="AO47" s="139"/>
      <c r="AP47" s="139"/>
      <c r="AQ47" s="139"/>
      <c r="AR47" s="139"/>
      <c r="AS47" s="139"/>
      <c r="AT47" s="139"/>
      <c r="AU47" s="139"/>
      <c r="AV47" s="139"/>
      <c r="AW47" s="139"/>
      <c r="AX47" s="139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IF('MOD1'!$AY$49="","",'MOD1'!$AY$49)</f>
        <v>*Equipo de Gestión de la Información - EBR - Ministerio de Educación</v>
      </c>
    </row>
  </sheetData>
  <sheetProtection algorithmName="SHA-512" hashValue="WIjgYvXqc30x4EH+H1CrkK981c1jwMYzt5H2SDEpfBq/cSPsQk18RuTDlsa46rHV1v3Wc+ye87mkPUjJqE0QyA==" saltValue="qCXFwTAHPhxWQ5WzAZGcig==" spinCount="100000" sheet="1" objects="1" scenarios="1"/>
  <mergeCells count="55"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  <mergeCell ref="C13:G22"/>
    <mergeCell ref="H13:N20"/>
    <mergeCell ref="O13:U20"/>
    <mergeCell ref="V13:AB20"/>
    <mergeCell ref="AC13:AI20"/>
    <mergeCell ref="AP13:AX22"/>
    <mergeCell ref="H21:N22"/>
    <mergeCell ref="O21:U22"/>
    <mergeCell ref="V21:AB22"/>
    <mergeCell ref="AC21:AI22"/>
    <mergeCell ref="AJ13:AO26"/>
    <mergeCell ref="AP23:AX26"/>
    <mergeCell ref="D43:AC44"/>
    <mergeCell ref="AD43:AE44"/>
    <mergeCell ref="AG43:AK44"/>
    <mergeCell ref="AM43:AQ44"/>
    <mergeCell ref="AS43:AW44"/>
    <mergeCell ref="C23:G26"/>
    <mergeCell ref="H23:N26"/>
    <mergeCell ref="O23:U26"/>
    <mergeCell ref="V23:AB26"/>
    <mergeCell ref="AC23:AI26"/>
    <mergeCell ref="Y46:Z47"/>
    <mergeCell ref="C46:D47"/>
    <mergeCell ref="E46:F47"/>
    <mergeCell ref="G46:H47"/>
    <mergeCell ref="I46:J47"/>
    <mergeCell ref="K46:L47"/>
    <mergeCell ref="M46:N47"/>
    <mergeCell ref="O46:P47"/>
    <mergeCell ref="Q46:R47"/>
    <mergeCell ref="S46:T47"/>
    <mergeCell ref="U46:V47"/>
    <mergeCell ref="W46:X47"/>
    <mergeCell ref="AW46:AX47"/>
    <mergeCell ref="AA46:AB47"/>
    <mergeCell ref="AC46:AD47"/>
    <mergeCell ref="AE46:AF47"/>
    <mergeCell ref="AG46:AH47"/>
    <mergeCell ref="AI46:AJ47"/>
    <mergeCell ref="AK46:AL47"/>
    <mergeCell ref="AM46:AN47"/>
    <mergeCell ref="AO46:AP47"/>
    <mergeCell ref="AQ46:AR47"/>
    <mergeCell ref="AS46:AT47"/>
    <mergeCell ref="AU46:AV47"/>
  </mergeCells>
  <conditionalFormatting sqref="AG43:AK44">
    <cfRule type="cellIs" dxfId="95" priority="15" operator="equal">
      <formula>""</formula>
    </cfRule>
  </conditionalFormatting>
  <conditionalFormatting sqref="AS43:AW44">
    <cfRule type="cellIs" dxfId="94" priority="14" operator="equal">
      <formula>""</formula>
    </cfRule>
  </conditionalFormatting>
  <conditionalFormatting sqref="C28:AX41">
    <cfRule type="expression" dxfId="93" priority="13">
      <formula>$C$38=""</formula>
    </cfRule>
  </conditionalFormatting>
  <conditionalFormatting sqref="C23:G26 H21:AI22 AP13:AX26">
    <cfRule type="expression" dxfId="92" priority="12">
      <formula>$C$13=""</formula>
    </cfRule>
  </conditionalFormatting>
  <conditionalFormatting sqref="C13:G22">
    <cfRule type="expression" dxfId="91" priority="8">
      <formula>$C$13=""</formula>
    </cfRule>
  </conditionalFormatting>
  <conditionalFormatting sqref="H13:AI20">
    <cfRule type="expression" dxfId="90" priority="7">
      <formula>$C$13=""</formula>
    </cfRule>
  </conditionalFormatting>
  <conditionalFormatting sqref="H23:AI26">
    <cfRule type="expression" dxfId="89" priority="6">
      <formula>$C$13=""</formula>
    </cfRule>
  </conditionalFormatting>
  <conditionalFormatting sqref="AJ13:AO26">
    <cfRule type="expression" dxfId="88" priority="5">
      <formula>$C$13=""</formula>
    </cfRule>
  </conditionalFormatting>
  <conditionalFormatting sqref="AM43:AQ44">
    <cfRule type="cellIs" dxfId="87" priority="4" operator="equal">
      <formula>"PEAI"</formula>
    </cfRule>
  </conditionalFormatting>
  <conditionalFormatting sqref="C46:AX47">
    <cfRule type="expression" dxfId="86" priority="1">
      <formula>IF(CODE(C46)=38,1,0)</formula>
    </cfRule>
    <cfRule type="expression" dxfId="85" priority="2">
      <formula>IF(CODE(C46)=37,1,0)</formula>
    </cfRule>
    <cfRule type="expression" dxfId="84" priority="3">
      <formula>IF(OR(CODE(C46)=143,CODE(C46)=167,CODE(C46)=168,CODE(C46)=254),1,0)</formula>
    </cfRule>
  </conditionalFormatting>
  <dataValidations count="10">
    <dataValidation allowBlank="1" showInputMessage="1" showErrorMessage="1" promptTitle="Mensaje" prompt="Indicador" sqref="AJ11:AO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Hitos de aplicación del enfoque ambiental" sqref="H11:AE11 H12:M12 O12:T12 V12:AA12 AC12:AH12"/>
    <dataValidation type="list" allowBlank="1" showInputMessage="1" showErrorMessage="1" errorTitle="Mensaje de validación" error="Solo se permite datos de la lista desplegable._x000a__x000a_Intente de nuevo." promptTitle="Seleccionar" prompt="SI o NO" sqref="H21:AI22">
      <formula1>"SI, NO"</formula1>
    </dataValidation>
    <dataValidation allowBlank="1" showInputMessage="1" showErrorMessage="1" promptTitle="Información" prompt="Medios de verificación" sqref="AP23:AX26 C23:AI26"/>
    <dataValidation allowBlank="1" showInputMessage="1" showErrorMessage="1" promptTitle="Información" prompt="Hitos de aplicación" sqref="H13:AI20"/>
    <dataValidation allowBlank="1" showInputMessage="1" showErrorMessage="1" promptTitle="Información" prompt="Indicador de la actividad" sqref="AJ13:AO26"/>
    <dataValidation allowBlank="1" showInputMessage="1" showErrorMessage="1" promptTitle="Información" prompt="Actividad ambiental" sqref="C13:G22"/>
    <dataValidation allowBlank="1" showInputMessage="1" showErrorMessage="1" promptTitle="Ingrese" prompt="Describir principales aspectos que facilitaron que la IIEE llegara a este logro, así como dificultades." sqref="AP13:AX2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7" tint="-0.249977111117893"/>
    <pageSetUpPr fitToPage="1"/>
  </sheetPr>
  <dimension ref="A1:AY49"/>
  <sheetViews>
    <sheetView showGridLines="0" topLeftCell="A10" zoomScaleNormal="100" zoomScaleSheetLayoutView="100" workbookViewId="0">
      <selection activeCell="C46" sqref="C46:AX47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15" t="str">
        <f>LISTAS!AI18</f>
        <v>Manejo de Residuos Sólidos – MARES</v>
      </c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  <c r="W9" s="316"/>
      <c r="X9" s="316"/>
      <c r="Y9" s="316"/>
      <c r="Z9" s="316"/>
      <c r="AA9" s="316"/>
      <c r="AB9" s="316"/>
      <c r="AC9" s="316"/>
      <c r="AD9" s="316"/>
      <c r="AE9" s="316"/>
      <c r="AF9" s="316"/>
      <c r="AG9" s="316"/>
      <c r="AH9" s="316"/>
      <c r="AI9" s="316"/>
      <c r="AJ9" s="316"/>
      <c r="AK9" s="316"/>
      <c r="AL9" s="316"/>
      <c r="AM9" s="316"/>
      <c r="AN9" s="316"/>
      <c r="AO9" s="316"/>
      <c r="AP9" s="316"/>
      <c r="AQ9" s="316"/>
      <c r="AR9" s="316"/>
      <c r="AS9" s="316"/>
      <c r="AT9" s="316"/>
      <c r="AU9" s="316"/>
      <c r="AV9" s="316"/>
      <c r="AW9" s="316"/>
      <c r="AX9" s="316"/>
      <c r="AY9" s="9"/>
    </row>
    <row r="10" spans="1:51" ht="9" customHeight="1" x14ac:dyDescent="0.2">
      <c r="B10" s="7"/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9"/>
    </row>
    <row r="11" spans="1:51" ht="12" customHeight="1" x14ac:dyDescent="0.2">
      <c r="B11" s="7"/>
      <c r="C11" s="319" t="s">
        <v>1793</v>
      </c>
      <c r="D11" s="320"/>
      <c r="E11" s="320"/>
      <c r="F11" s="320"/>
      <c r="G11" s="320"/>
      <c r="H11" s="321" t="s">
        <v>1794</v>
      </c>
      <c r="I11" s="322"/>
      <c r="J11" s="322"/>
      <c r="K11" s="322"/>
      <c r="L11" s="322"/>
      <c r="M11" s="322"/>
      <c r="N11" s="322"/>
      <c r="O11" s="322"/>
      <c r="P11" s="322"/>
      <c r="Q11" s="322"/>
      <c r="R11" s="322"/>
      <c r="S11" s="322"/>
      <c r="T11" s="322"/>
      <c r="U11" s="322"/>
      <c r="V11" s="322"/>
      <c r="W11" s="322"/>
      <c r="X11" s="322"/>
      <c r="Y11" s="322"/>
      <c r="Z11" s="322"/>
      <c r="AA11" s="322"/>
      <c r="AB11" s="322"/>
      <c r="AC11" s="322"/>
      <c r="AD11" s="322"/>
      <c r="AE11" s="322"/>
      <c r="AF11" s="324"/>
      <c r="AG11" s="324"/>
      <c r="AH11" s="324"/>
      <c r="AI11" s="323"/>
      <c r="AJ11" s="319" t="s">
        <v>1800</v>
      </c>
      <c r="AK11" s="320"/>
      <c r="AL11" s="320"/>
      <c r="AM11" s="320"/>
      <c r="AN11" s="320"/>
      <c r="AO11" s="320"/>
      <c r="AP11" s="319" t="s">
        <v>1801</v>
      </c>
      <c r="AQ11" s="320"/>
      <c r="AR11" s="320"/>
      <c r="AS11" s="320"/>
      <c r="AT11" s="320"/>
      <c r="AU11" s="320"/>
      <c r="AV11" s="320"/>
      <c r="AW11" s="320"/>
      <c r="AX11" s="320"/>
      <c r="AY11" s="9"/>
    </row>
    <row r="12" spans="1:51" ht="9.9499999999999993" customHeight="1" x14ac:dyDescent="0.2">
      <c r="B12" s="7"/>
      <c r="C12" s="320"/>
      <c r="D12" s="320"/>
      <c r="E12" s="320"/>
      <c r="F12" s="320"/>
      <c r="G12" s="320"/>
      <c r="H12" s="321" t="s">
        <v>1795</v>
      </c>
      <c r="I12" s="322"/>
      <c r="J12" s="322"/>
      <c r="K12" s="322"/>
      <c r="L12" s="322"/>
      <c r="M12" s="322"/>
      <c r="N12" s="323"/>
      <c r="O12" s="321" t="s">
        <v>1796</v>
      </c>
      <c r="P12" s="322"/>
      <c r="Q12" s="322"/>
      <c r="R12" s="322"/>
      <c r="S12" s="322"/>
      <c r="T12" s="322"/>
      <c r="U12" s="323"/>
      <c r="V12" s="321" t="s">
        <v>1797</v>
      </c>
      <c r="W12" s="322"/>
      <c r="X12" s="322"/>
      <c r="Y12" s="322"/>
      <c r="Z12" s="322"/>
      <c r="AA12" s="322"/>
      <c r="AB12" s="323"/>
      <c r="AC12" s="321" t="s">
        <v>1798</v>
      </c>
      <c r="AD12" s="322"/>
      <c r="AE12" s="322"/>
      <c r="AF12" s="322"/>
      <c r="AG12" s="322"/>
      <c r="AH12" s="322"/>
      <c r="AI12" s="323"/>
      <c r="AJ12" s="320"/>
      <c r="AK12" s="320"/>
      <c r="AL12" s="320"/>
      <c r="AM12" s="320"/>
      <c r="AN12" s="320"/>
      <c r="AO12" s="320"/>
      <c r="AP12" s="320"/>
      <c r="AQ12" s="320"/>
      <c r="AR12" s="320"/>
      <c r="AS12" s="320"/>
      <c r="AT12" s="320"/>
      <c r="AU12" s="320"/>
      <c r="AV12" s="320"/>
      <c r="AW12" s="320"/>
      <c r="AX12" s="320"/>
      <c r="AY12" s="9"/>
    </row>
    <row r="13" spans="1:51" ht="11.45" customHeight="1" x14ac:dyDescent="0.2">
      <c r="B13" s="7"/>
      <c r="C13" s="317" t="str">
        <f>LISTAS!AJ18</f>
        <v>16. LA I.E. implementó un PEAI como recurso pedagógico y para el desarrollo de la conciencia ambiental y sobre la salud.</v>
      </c>
      <c r="D13" s="318"/>
      <c r="E13" s="318"/>
      <c r="F13" s="318"/>
      <c r="G13" s="318"/>
      <c r="H13" s="334" t="str">
        <f>LISTAS!AK18</f>
        <v xml:space="preserve">El PEAI fue incluido en el PAT. </v>
      </c>
      <c r="I13" s="335"/>
      <c r="J13" s="335"/>
      <c r="K13" s="335"/>
      <c r="L13" s="335"/>
      <c r="M13" s="335"/>
      <c r="N13" s="336"/>
      <c r="O13" s="334" t="str">
        <f>LISTAS!AL18</f>
        <v xml:space="preserve">La I.E. implementó el PEAI con actividades pedagógicas articuladas mínimo a tres áreas curriculares. </v>
      </c>
      <c r="P13" s="335"/>
      <c r="Q13" s="335"/>
      <c r="R13" s="335"/>
      <c r="S13" s="335"/>
      <c r="T13" s="335"/>
      <c r="U13" s="336"/>
      <c r="V13" s="334" t="str">
        <f>LISTAS!AM18</f>
        <v>La I.E. implementó actividades institucionales para la ejecución del PEAI a lo largo de todo el año escolar.</v>
      </c>
      <c r="W13" s="335"/>
      <c r="X13" s="335"/>
      <c r="Y13" s="335"/>
      <c r="Z13" s="335"/>
      <c r="AA13" s="335"/>
      <c r="AB13" s="336"/>
      <c r="AC13" s="334" t="str">
        <f>LISTAS!AN18</f>
        <v>El PEAI se implementó con apoyo de instituciones del sector público y/o privado.</v>
      </c>
      <c r="AD13" s="335"/>
      <c r="AE13" s="335"/>
      <c r="AF13" s="335"/>
      <c r="AG13" s="335"/>
      <c r="AH13" s="335"/>
      <c r="AI13" s="336"/>
      <c r="AJ13" s="338" t="str">
        <f>LISTAS!AO18</f>
        <v>N° de hitos de aplicación del enfoque ambiental puestos en práctica en la implementación del PEAI.</v>
      </c>
      <c r="AK13" s="339"/>
      <c r="AL13" s="339"/>
      <c r="AM13" s="339"/>
      <c r="AN13" s="339"/>
      <c r="AO13" s="340"/>
      <c r="AP13" s="350"/>
      <c r="AQ13" s="351"/>
      <c r="AR13" s="351"/>
      <c r="AS13" s="351"/>
      <c r="AT13" s="351"/>
      <c r="AU13" s="351"/>
      <c r="AV13" s="351"/>
      <c r="AW13" s="351"/>
      <c r="AX13" s="351"/>
      <c r="AY13" s="9"/>
    </row>
    <row r="14" spans="1:51" ht="11.45" customHeight="1" x14ac:dyDescent="0.2">
      <c r="B14" s="7"/>
      <c r="C14" s="318"/>
      <c r="D14" s="318"/>
      <c r="E14" s="318"/>
      <c r="F14" s="318"/>
      <c r="G14" s="318"/>
      <c r="H14" s="337"/>
      <c r="I14" s="335"/>
      <c r="J14" s="335"/>
      <c r="K14" s="335"/>
      <c r="L14" s="335"/>
      <c r="M14" s="335"/>
      <c r="N14" s="336"/>
      <c r="O14" s="337"/>
      <c r="P14" s="335"/>
      <c r="Q14" s="335"/>
      <c r="R14" s="335"/>
      <c r="S14" s="335"/>
      <c r="T14" s="335"/>
      <c r="U14" s="336"/>
      <c r="V14" s="337"/>
      <c r="W14" s="335"/>
      <c r="X14" s="335"/>
      <c r="Y14" s="335"/>
      <c r="Z14" s="335"/>
      <c r="AA14" s="335"/>
      <c r="AB14" s="336"/>
      <c r="AC14" s="337"/>
      <c r="AD14" s="335"/>
      <c r="AE14" s="335"/>
      <c r="AF14" s="335"/>
      <c r="AG14" s="335"/>
      <c r="AH14" s="335"/>
      <c r="AI14" s="336"/>
      <c r="AJ14" s="341"/>
      <c r="AK14" s="342"/>
      <c r="AL14" s="342"/>
      <c r="AM14" s="342"/>
      <c r="AN14" s="342"/>
      <c r="AO14" s="343"/>
      <c r="AP14" s="351"/>
      <c r="AQ14" s="351"/>
      <c r="AR14" s="351"/>
      <c r="AS14" s="351"/>
      <c r="AT14" s="351"/>
      <c r="AU14" s="351"/>
      <c r="AV14" s="351"/>
      <c r="AW14" s="351"/>
      <c r="AX14" s="351"/>
      <c r="AY14" s="9"/>
    </row>
    <row r="15" spans="1:51" ht="11.45" customHeight="1" x14ac:dyDescent="0.2">
      <c r="B15" s="7"/>
      <c r="C15" s="318"/>
      <c r="D15" s="318"/>
      <c r="E15" s="318"/>
      <c r="F15" s="318"/>
      <c r="G15" s="318"/>
      <c r="H15" s="337"/>
      <c r="I15" s="335"/>
      <c r="J15" s="335"/>
      <c r="K15" s="335"/>
      <c r="L15" s="335"/>
      <c r="M15" s="335"/>
      <c r="N15" s="336"/>
      <c r="O15" s="337"/>
      <c r="P15" s="335"/>
      <c r="Q15" s="335"/>
      <c r="R15" s="335"/>
      <c r="S15" s="335"/>
      <c r="T15" s="335"/>
      <c r="U15" s="336"/>
      <c r="V15" s="337"/>
      <c r="W15" s="335"/>
      <c r="X15" s="335"/>
      <c r="Y15" s="335"/>
      <c r="Z15" s="335"/>
      <c r="AA15" s="335"/>
      <c r="AB15" s="336"/>
      <c r="AC15" s="337"/>
      <c r="AD15" s="335"/>
      <c r="AE15" s="335"/>
      <c r="AF15" s="335"/>
      <c r="AG15" s="335"/>
      <c r="AH15" s="335"/>
      <c r="AI15" s="336"/>
      <c r="AJ15" s="341"/>
      <c r="AK15" s="342"/>
      <c r="AL15" s="342"/>
      <c r="AM15" s="342"/>
      <c r="AN15" s="342"/>
      <c r="AO15" s="343"/>
      <c r="AP15" s="351"/>
      <c r="AQ15" s="351"/>
      <c r="AR15" s="351"/>
      <c r="AS15" s="351"/>
      <c r="AT15" s="351"/>
      <c r="AU15" s="351"/>
      <c r="AV15" s="351"/>
      <c r="AW15" s="351"/>
      <c r="AX15" s="351"/>
      <c r="AY15" s="9"/>
    </row>
    <row r="16" spans="1:51" ht="11.45" customHeight="1" x14ac:dyDescent="0.2">
      <c r="B16" s="7"/>
      <c r="C16" s="318"/>
      <c r="D16" s="318"/>
      <c r="E16" s="318"/>
      <c r="F16" s="318"/>
      <c r="G16" s="318"/>
      <c r="H16" s="337"/>
      <c r="I16" s="335"/>
      <c r="J16" s="335"/>
      <c r="K16" s="335"/>
      <c r="L16" s="335"/>
      <c r="M16" s="335"/>
      <c r="N16" s="336"/>
      <c r="O16" s="337"/>
      <c r="P16" s="335"/>
      <c r="Q16" s="335"/>
      <c r="R16" s="335"/>
      <c r="S16" s="335"/>
      <c r="T16" s="335"/>
      <c r="U16" s="336"/>
      <c r="V16" s="337"/>
      <c r="W16" s="335"/>
      <c r="X16" s="335"/>
      <c r="Y16" s="335"/>
      <c r="Z16" s="335"/>
      <c r="AA16" s="335"/>
      <c r="AB16" s="336"/>
      <c r="AC16" s="337"/>
      <c r="AD16" s="335"/>
      <c r="AE16" s="335"/>
      <c r="AF16" s="335"/>
      <c r="AG16" s="335"/>
      <c r="AH16" s="335"/>
      <c r="AI16" s="336"/>
      <c r="AJ16" s="341"/>
      <c r="AK16" s="342"/>
      <c r="AL16" s="342"/>
      <c r="AM16" s="342"/>
      <c r="AN16" s="342"/>
      <c r="AO16" s="343"/>
      <c r="AP16" s="351"/>
      <c r="AQ16" s="351"/>
      <c r="AR16" s="351"/>
      <c r="AS16" s="351"/>
      <c r="AT16" s="351"/>
      <c r="AU16" s="351"/>
      <c r="AV16" s="351"/>
      <c r="AW16" s="351"/>
      <c r="AX16" s="351"/>
      <c r="AY16" s="9"/>
    </row>
    <row r="17" spans="2:51" ht="11.45" customHeight="1" x14ac:dyDescent="0.2">
      <c r="B17" s="7"/>
      <c r="C17" s="318"/>
      <c r="D17" s="318"/>
      <c r="E17" s="318"/>
      <c r="F17" s="318"/>
      <c r="G17" s="318"/>
      <c r="H17" s="337"/>
      <c r="I17" s="335"/>
      <c r="J17" s="335"/>
      <c r="K17" s="335"/>
      <c r="L17" s="335"/>
      <c r="M17" s="335"/>
      <c r="N17" s="336"/>
      <c r="O17" s="337"/>
      <c r="P17" s="335"/>
      <c r="Q17" s="335"/>
      <c r="R17" s="335"/>
      <c r="S17" s="335"/>
      <c r="T17" s="335"/>
      <c r="U17" s="336"/>
      <c r="V17" s="337"/>
      <c r="W17" s="335"/>
      <c r="X17" s="335"/>
      <c r="Y17" s="335"/>
      <c r="Z17" s="335"/>
      <c r="AA17" s="335"/>
      <c r="AB17" s="336"/>
      <c r="AC17" s="337"/>
      <c r="AD17" s="335"/>
      <c r="AE17" s="335"/>
      <c r="AF17" s="335"/>
      <c r="AG17" s="335"/>
      <c r="AH17" s="335"/>
      <c r="AI17" s="336"/>
      <c r="AJ17" s="341"/>
      <c r="AK17" s="342"/>
      <c r="AL17" s="342"/>
      <c r="AM17" s="342"/>
      <c r="AN17" s="342"/>
      <c r="AO17" s="343"/>
      <c r="AP17" s="351"/>
      <c r="AQ17" s="351"/>
      <c r="AR17" s="351"/>
      <c r="AS17" s="351"/>
      <c r="AT17" s="351"/>
      <c r="AU17" s="351"/>
      <c r="AV17" s="351"/>
      <c r="AW17" s="351"/>
      <c r="AX17" s="351"/>
      <c r="AY17" s="9"/>
    </row>
    <row r="18" spans="2:51" ht="11.45" customHeight="1" x14ac:dyDescent="0.2">
      <c r="B18" s="7"/>
      <c r="C18" s="318"/>
      <c r="D18" s="318"/>
      <c r="E18" s="318"/>
      <c r="F18" s="318"/>
      <c r="G18" s="318"/>
      <c r="H18" s="337"/>
      <c r="I18" s="335"/>
      <c r="J18" s="335"/>
      <c r="K18" s="335"/>
      <c r="L18" s="335"/>
      <c r="M18" s="335"/>
      <c r="N18" s="336"/>
      <c r="O18" s="337"/>
      <c r="P18" s="335"/>
      <c r="Q18" s="335"/>
      <c r="R18" s="335"/>
      <c r="S18" s="335"/>
      <c r="T18" s="335"/>
      <c r="U18" s="336"/>
      <c r="V18" s="337"/>
      <c r="W18" s="335"/>
      <c r="X18" s="335"/>
      <c r="Y18" s="335"/>
      <c r="Z18" s="335"/>
      <c r="AA18" s="335"/>
      <c r="AB18" s="336"/>
      <c r="AC18" s="337"/>
      <c r="AD18" s="335"/>
      <c r="AE18" s="335"/>
      <c r="AF18" s="335"/>
      <c r="AG18" s="335"/>
      <c r="AH18" s="335"/>
      <c r="AI18" s="336"/>
      <c r="AJ18" s="341"/>
      <c r="AK18" s="342"/>
      <c r="AL18" s="342"/>
      <c r="AM18" s="342"/>
      <c r="AN18" s="342"/>
      <c r="AO18" s="343"/>
      <c r="AP18" s="351"/>
      <c r="AQ18" s="351"/>
      <c r="AR18" s="351"/>
      <c r="AS18" s="351"/>
      <c r="AT18" s="351"/>
      <c r="AU18" s="351"/>
      <c r="AV18" s="351"/>
      <c r="AW18" s="351"/>
      <c r="AX18" s="351"/>
      <c r="AY18" s="9"/>
    </row>
    <row r="19" spans="2:51" ht="11.45" customHeight="1" x14ac:dyDescent="0.2">
      <c r="B19" s="7"/>
      <c r="C19" s="318"/>
      <c r="D19" s="318"/>
      <c r="E19" s="318"/>
      <c r="F19" s="318"/>
      <c r="G19" s="318"/>
      <c r="H19" s="337"/>
      <c r="I19" s="335"/>
      <c r="J19" s="335"/>
      <c r="K19" s="335"/>
      <c r="L19" s="335"/>
      <c r="M19" s="335"/>
      <c r="N19" s="336"/>
      <c r="O19" s="337"/>
      <c r="P19" s="335"/>
      <c r="Q19" s="335"/>
      <c r="R19" s="335"/>
      <c r="S19" s="335"/>
      <c r="T19" s="335"/>
      <c r="U19" s="336"/>
      <c r="V19" s="337"/>
      <c r="W19" s="335"/>
      <c r="X19" s="335"/>
      <c r="Y19" s="335"/>
      <c r="Z19" s="335"/>
      <c r="AA19" s="335"/>
      <c r="AB19" s="336"/>
      <c r="AC19" s="337"/>
      <c r="AD19" s="335"/>
      <c r="AE19" s="335"/>
      <c r="AF19" s="335"/>
      <c r="AG19" s="335"/>
      <c r="AH19" s="335"/>
      <c r="AI19" s="336"/>
      <c r="AJ19" s="341"/>
      <c r="AK19" s="342"/>
      <c r="AL19" s="342"/>
      <c r="AM19" s="342"/>
      <c r="AN19" s="342"/>
      <c r="AO19" s="343"/>
      <c r="AP19" s="351"/>
      <c r="AQ19" s="351"/>
      <c r="AR19" s="351"/>
      <c r="AS19" s="351"/>
      <c r="AT19" s="351"/>
      <c r="AU19" s="351"/>
      <c r="AV19" s="351"/>
      <c r="AW19" s="351"/>
      <c r="AX19" s="351"/>
      <c r="AY19" s="9"/>
    </row>
    <row r="20" spans="2:51" ht="25.5" customHeight="1" x14ac:dyDescent="0.2">
      <c r="B20" s="7"/>
      <c r="C20" s="318"/>
      <c r="D20" s="318"/>
      <c r="E20" s="318"/>
      <c r="F20" s="318"/>
      <c r="G20" s="318"/>
      <c r="H20" s="337"/>
      <c r="I20" s="335"/>
      <c r="J20" s="335"/>
      <c r="K20" s="335"/>
      <c r="L20" s="335"/>
      <c r="M20" s="335"/>
      <c r="N20" s="336"/>
      <c r="O20" s="337"/>
      <c r="P20" s="335"/>
      <c r="Q20" s="335"/>
      <c r="R20" s="335"/>
      <c r="S20" s="335"/>
      <c r="T20" s="335"/>
      <c r="U20" s="336"/>
      <c r="V20" s="337"/>
      <c r="W20" s="335"/>
      <c r="X20" s="335"/>
      <c r="Y20" s="335"/>
      <c r="Z20" s="335"/>
      <c r="AA20" s="335"/>
      <c r="AB20" s="336"/>
      <c r="AC20" s="337"/>
      <c r="AD20" s="335"/>
      <c r="AE20" s="335"/>
      <c r="AF20" s="335"/>
      <c r="AG20" s="335"/>
      <c r="AH20" s="335"/>
      <c r="AI20" s="336"/>
      <c r="AJ20" s="341"/>
      <c r="AK20" s="342"/>
      <c r="AL20" s="342"/>
      <c r="AM20" s="342"/>
      <c r="AN20" s="342"/>
      <c r="AO20" s="343"/>
      <c r="AP20" s="351"/>
      <c r="AQ20" s="351"/>
      <c r="AR20" s="351"/>
      <c r="AS20" s="351"/>
      <c r="AT20" s="351"/>
      <c r="AU20" s="351"/>
      <c r="AV20" s="351"/>
      <c r="AW20" s="351"/>
      <c r="AX20" s="351"/>
      <c r="AY20" s="9"/>
    </row>
    <row r="21" spans="2:51" ht="6.95" customHeight="1" x14ac:dyDescent="0.2">
      <c r="B21" s="7"/>
      <c r="C21" s="318"/>
      <c r="D21" s="318"/>
      <c r="E21" s="318"/>
      <c r="F21" s="318"/>
      <c r="G21" s="318"/>
      <c r="H21" s="325"/>
      <c r="I21" s="326"/>
      <c r="J21" s="326"/>
      <c r="K21" s="326"/>
      <c r="L21" s="326"/>
      <c r="M21" s="326"/>
      <c r="N21" s="327"/>
      <c r="O21" s="325"/>
      <c r="P21" s="326"/>
      <c r="Q21" s="326"/>
      <c r="R21" s="326"/>
      <c r="S21" s="326"/>
      <c r="T21" s="326"/>
      <c r="U21" s="327"/>
      <c r="V21" s="325"/>
      <c r="W21" s="326"/>
      <c r="X21" s="326"/>
      <c r="Y21" s="326"/>
      <c r="Z21" s="326"/>
      <c r="AA21" s="326"/>
      <c r="AB21" s="327"/>
      <c r="AC21" s="325"/>
      <c r="AD21" s="326"/>
      <c r="AE21" s="326"/>
      <c r="AF21" s="326"/>
      <c r="AG21" s="326"/>
      <c r="AH21" s="326"/>
      <c r="AI21" s="327"/>
      <c r="AJ21" s="341"/>
      <c r="AK21" s="342"/>
      <c r="AL21" s="342"/>
      <c r="AM21" s="342"/>
      <c r="AN21" s="342"/>
      <c r="AO21" s="343"/>
      <c r="AP21" s="351"/>
      <c r="AQ21" s="351"/>
      <c r="AR21" s="351"/>
      <c r="AS21" s="351"/>
      <c r="AT21" s="351"/>
      <c r="AU21" s="351"/>
      <c r="AV21" s="351"/>
      <c r="AW21" s="351"/>
      <c r="AX21" s="351"/>
      <c r="AY21" s="9"/>
    </row>
    <row r="22" spans="2:51" ht="6.95" customHeight="1" x14ac:dyDescent="0.2">
      <c r="B22" s="7"/>
      <c r="C22" s="318"/>
      <c r="D22" s="318"/>
      <c r="E22" s="318"/>
      <c r="F22" s="318"/>
      <c r="G22" s="318"/>
      <c r="H22" s="328"/>
      <c r="I22" s="326"/>
      <c r="J22" s="326"/>
      <c r="K22" s="326"/>
      <c r="L22" s="326"/>
      <c r="M22" s="326"/>
      <c r="N22" s="327"/>
      <c r="O22" s="328"/>
      <c r="P22" s="326"/>
      <c r="Q22" s="326"/>
      <c r="R22" s="326"/>
      <c r="S22" s="326"/>
      <c r="T22" s="326"/>
      <c r="U22" s="327"/>
      <c r="V22" s="328"/>
      <c r="W22" s="326"/>
      <c r="X22" s="326"/>
      <c r="Y22" s="326"/>
      <c r="Z22" s="326"/>
      <c r="AA22" s="326"/>
      <c r="AB22" s="327"/>
      <c r="AC22" s="328"/>
      <c r="AD22" s="326"/>
      <c r="AE22" s="326"/>
      <c r="AF22" s="326"/>
      <c r="AG22" s="326"/>
      <c r="AH22" s="326"/>
      <c r="AI22" s="327"/>
      <c r="AJ22" s="341"/>
      <c r="AK22" s="342"/>
      <c r="AL22" s="342"/>
      <c r="AM22" s="342"/>
      <c r="AN22" s="342"/>
      <c r="AO22" s="343"/>
      <c r="AP22" s="351"/>
      <c r="AQ22" s="351"/>
      <c r="AR22" s="351"/>
      <c r="AS22" s="351"/>
      <c r="AT22" s="351"/>
      <c r="AU22" s="351"/>
      <c r="AV22" s="351"/>
      <c r="AW22" s="351"/>
      <c r="AX22" s="351"/>
      <c r="AY22" s="9"/>
    </row>
    <row r="23" spans="2:51" ht="11.45" customHeight="1" x14ac:dyDescent="0.2">
      <c r="B23" s="7"/>
      <c r="C23" s="360" t="s">
        <v>4107</v>
      </c>
      <c r="D23" s="360"/>
      <c r="E23" s="360"/>
      <c r="F23" s="360"/>
      <c r="G23" s="360"/>
      <c r="H23" s="329" t="str">
        <f>LISTAS!AP18</f>
        <v>PAT.</v>
      </c>
      <c r="I23" s="330"/>
      <c r="J23" s="330"/>
      <c r="K23" s="330"/>
      <c r="L23" s="330"/>
      <c r="M23" s="330"/>
      <c r="N23" s="330"/>
      <c r="O23" s="329" t="str">
        <f>LISTAS!AQ18</f>
        <v>Plan de Trabajo del PEAI. PCI.</v>
      </c>
      <c r="P23" s="330"/>
      <c r="Q23" s="330"/>
      <c r="R23" s="330"/>
      <c r="S23" s="330"/>
      <c r="T23" s="330"/>
      <c r="U23" s="330"/>
      <c r="V23" s="329" t="str">
        <f>LISTAS!AR18</f>
        <v>PAT.</v>
      </c>
      <c r="W23" s="330"/>
      <c r="X23" s="330"/>
      <c r="Y23" s="330"/>
      <c r="Z23" s="330"/>
      <c r="AA23" s="330"/>
      <c r="AB23" s="330"/>
      <c r="AC23" s="329" t="str">
        <f>LISTAS!AS18</f>
        <v>Documentos administrativos: Cartas, Oficios, Memo. Actas, Convenios, Acuerdos.</v>
      </c>
      <c r="AD23" s="330"/>
      <c r="AE23" s="330"/>
      <c r="AF23" s="330"/>
      <c r="AG23" s="330"/>
      <c r="AH23" s="330"/>
      <c r="AI23" s="330"/>
      <c r="AJ23" s="344"/>
      <c r="AK23" s="345"/>
      <c r="AL23" s="345"/>
      <c r="AM23" s="345"/>
      <c r="AN23" s="345"/>
      <c r="AO23" s="346"/>
      <c r="AP23" s="329" t="s">
        <v>3721</v>
      </c>
      <c r="AQ23" s="329"/>
      <c r="AR23" s="329"/>
      <c r="AS23" s="329"/>
      <c r="AT23" s="329"/>
      <c r="AU23" s="329"/>
      <c r="AV23" s="329"/>
      <c r="AW23" s="329"/>
      <c r="AX23" s="329"/>
      <c r="AY23" s="9"/>
    </row>
    <row r="24" spans="2:51" ht="11.45" customHeight="1" x14ac:dyDescent="0.2">
      <c r="B24" s="7"/>
      <c r="C24" s="361"/>
      <c r="D24" s="361"/>
      <c r="E24" s="361"/>
      <c r="F24" s="361"/>
      <c r="G24" s="361"/>
      <c r="H24" s="331"/>
      <c r="I24" s="332"/>
      <c r="J24" s="332"/>
      <c r="K24" s="332"/>
      <c r="L24" s="332"/>
      <c r="M24" s="332"/>
      <c r="N24" s="332"/>
      <c r="O24" s="331"/>
      <c r="P24" s="332"/>
      <c r="Q24" s="332"/>
      <c r="R24" s="332"/>
      <c r="S24" s="332"/>
      <c r="T24" s="332"/>
      <c r="U24" s="332"/>
      <c r="V24" s="331"/>
      <c r="W24" s="332"/>
      <c r="X24" s="332"/>
      <c r="Y24" s="332"/>
      <c r="Z24" s="332"/>
      <c r="AA24" s="332"/>
      <c r="AB24" s="332"/>
      <c r="AC24" s="331"/>
      <c r="AD24" s="332"/>
      <c r="AE24" s="332"/>
      <c r="AF24" s="332"/>
      <c r="AG24" s="332"/>
      <c r="AH24" s="332"/>
      <c r="AI24" s="332"/>
      <c r="AJ24" s="344"/>
      <c r="AK24" s="345"/>
      <c r="AL24" s="345"/>
      <c r="AM24" s="345"/>
      <c r="AN24" s="345"/>
      <c r="AO24" s="346"/>
      <c r="AP24" s="331"/>
      <c r="AQ24" s="331"/>
      <c r="AR24" s="331"/>
      <c r="AS24" s="331"/>
      <c r="AT24" s="331"/>
      <c r="AU24" s="331"/>
      <c r="AV24" s="331"/>
      <c r="AW24" s="331"/>
      <c r="AX24" s="331"/>
      <c r="AY24" s="9"/>
    </row>
    <row r="25" spans="2:51" ht="11.45" customHeight="1" x14ac:dyDescent="0.2">
      <c r="B25" s="7"/>
      <c r="C25" s="361"/>
      <c r="D25" s="361"/>
      <c r="E25" s="361"/>
      <c r="F25" s="361"/>
      <c r="G25" s="361"/>
      <c r="H25" s="331"/>
      <c r="I25" s="332"/>
      <c r="J25" s="332"/>
      <c r="K25" s="332"/>
      <c r="L25" s="332"/>
      <c r="M25" s="332"/>
      <c r="N25" s="332"/>
      <c r="O25" s="331"/>
      <c r="P25" s="332"/>
      <c r="Q25" s="332"/>
      <c r="R25" s="332"/>
      <c r="S25" s="332"/>
      <c r="T25" s="332"/>
      <c r="U25" s="332"/>
      <c r="V25" s="331"/>
      <c r="W25" s="332"/>
      <c r="X25" s="332"/>
      <c r="Y25" s="332"/>
      <c r="Z25" s="332"/>
      <c r="AA25" s="332"/>
      <c r="AB25" s="332"/>
      <c r="AC25" s="331"/>
      <c r="AD25" s="332"/>
      <c r="AE25" s="332"/>
      <c r="AF25" s="332"/>
      <c r="AG25" s="332"/>
      <c r="AH25" s="332"/>
      <c r="AI25" s="332"/>
      <c r="AJ25" s="344"/>
      <c r="AK25" s="345"/>
      <c r="AL25" s="345"/>
      <c r="AM25" s="345"/>
      <c r="AN25" s="345"/>
      <c r="AO25" s="346"/>
      <c r="AP25" s="331"/>
      <c r="AQ25" s="331"/>
      <c r="AR25" s="331"/>
      <c r="AS25" s="331"/>
      <c r="AT25" s="331"/>
      <c r="AU25" s="331"/>
      <c r="AV25" s="331"/>
      <c r="AW25" s="331"/>
      <c r="AX25" s="331"/>
      <c r="AY25" s="9"/>
    </row>
    <row r="26" spans="2:51" ht="11.45" customHeight="1" x14ac:dyDescent="0.2">
      <c r="B26" s="7"/>
      <c r="C26" s="362"/>
      <c r="D26" s="362"/>
      <c r="E26" s="362"/>
      <c r="F26" s="362"/>
      <c r="G26" s="362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3"/>
      <c r="AC26" s="333"/>
      <c r="AD26" s="333"/>
      <c r="AE26" s="333"/>
      <c r="AF26" s="333"/>
      <c r="AG26" s="333"/>
      <c r="AH26" s="333"/>
      <c r="AI26" s="333"/>
      <c r="AJ26" s="347"/>
      <c r="AK26" s="348"/>
      <c r="AL26" s="348"/>
      <c r="AM26" s="348"/>
      <c r="AN26" s="348"/>
      <c r="AO26" s="349"/>
      <c r="AP26" s="352"/>
      <c r="AQ26" s="352"/>
      <c r="AR26" s="352"/>
      <c r="AS26" s="352"/>
      <c r="AT26" s="352"/>
      <c r="AU26" s="352"/>
      <c r="AV26" s="352"/>
      <c r="AW26" s="352"/>
      <c r="AX26" s="352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55"/>
      <c r="D28" s="56"/>
      <c r="E28" s="56"/>
      <c r="F28" s="56"/>
      <c r="G28" s="56"/>
      <c r="H28" s="57"/>
      <c r="I28" s="58"/>
      <c r="J28" s="58"/>
      <c r="K28" s="58"/>
      <c r="L28" s="58"/>
      <c r="M28" s="58"/>
      <c r="N28" s="48"/>
      <c r="O28" s="57"/>
      <c r="P28" s="58"/>
      <c r="Q28" s="58"/>
      <c r="R28" s="58"/>
      <c r="S28" s="58"/>
      <c r="T28" s="58"/>
      <c r="U28" s="48"/>
      <c r="V28" s="57"/>
      <c r="W28" s="58"/>
      <c r="X28" s="58"/>
      <c r="Y28" s="58"/>
      <c r="Z28" s="58"/>
      <c r="AA28" s="58"/>
      <c r="AB28" s="48"/>
      <c r="AC28" s="57"/>
      <c r="AD28" s="58"/>
      <c r="AE28" s="58"/>
      <c r="AF28" s="58"/>
      <c r="AG28" s="58"/>
      <c r="AH28" s="58"/>
      <c r="AI28" s="48"/>
      <c r="AJ28" s="59"/>
      <c r="AK28" s="60"/>
      <c r="AL28" s="60"/>
      <c r="AM28" s="60"/>
      <c r="AN28" s="60"/>
      <c r="AO28" s="61"/>
      <c r="AP28" s="62"/>
      <c r="AQ28" s="63"/>
      <c r="AR28" s="63"/>
      <c r="AS28" s="63"/>
      <c r="AT28" s="63"/>
      <c r="AU28" s="63"/>
      <c r="AV28" s="63"/>
      <c r="AW28" s="63"/>
      <c r="AX28" s="63"/>
      <c r="AY28" s="9"/>
    </row>
    <row r="29" spans="2:51" ht="11.45" customHeight="1" x14ac:dyDescent="0.2">
      <c r="B29" s="7"/>
      <c r="C29" s="56"/>
      <c r="D29" s="56"/>
      <c r="E29" s="56"/>
      <c r="F29" s="56"/>
      <c r="G29" s="56"/>
      <c r="H29" s="64"/>
      <c r="I29" s="58"/>
      <c r="J29" s="58"/>
      <c r="K29" s="58"/>
      <c r="L29" s="58"/>
      <c r="M29" s="58"/>
      <c r="N29" s="48"/>
      <c r="O29" s="64"/>
      <c r="P29" s="58"/>
      <c r="Q29" s="58"/>
      <c r="R29" s="58"/>
      <c r="S29" s="58"/>
      <c r="T29" s="58"/>
      <c r="U29" s="48"/>
      <c r="V29" s="64"/>
      <c r="W29" s="58"/>
      <c r="X29" s="58"/>
      <c r="Y29" s="58"/>
      <c r="Z29" s="58"/>
      <c r="AA29" s="58"/>
      <c r="AB29" s="48"/>
      <c r="AC29" s="64"/>
      <c r="AD29" s="58"/>
      <c r="AE29" s="58"/>
      <c r="AF29" s="58"/>
      <c r="AG29" s="58"/>
      <c r="AH29" s="58"/>
      <c r="AI29" s="48"/>
      <c r="AJ29" s="65"/>
      <c r="AK29" s="66"/>
      <c r="AL29" s="66"/>
      <c r="AM29" s="66"/>
      <c r="AN29" s="66"/>
      <c r="AO29" s="67"/>
      <c r="AP29" s="63"/>
      <c r="AQ29" s="63"/>
      <c r="AR29" s="63"/>
      <c r="AS29" s="63"/>
      <c r="AT29" s="63"/>
      <c r="AU29" s="63"/>
      <c r="AV29" s="63"/>
      <c r="AW29" s="63"/>
      <c r="AX29" s="63"/>
      <c r="AY29" s="9"/>
    </row>
    <row r="30" spans="2:51" ht="11.45" customHeight="1" x14ac:dyDescent="0.2">
      <c r="B30" s="7"/>
      <c r="C30" s="56"/>
      <c r="D30" s="56"/>
      <c r="E30" s="56"/>
      <c r="F30" s="56"/>
      <c r="G30" s="56"/>
      <c r="H30" s="64"/>
      <c r="I30" s="58"/>
      <c r="J30" s="58"/>
      <c r="K30" s="58"/>
      <c r="L30" s="58"/>
      <c r="M30" s="58"/>
      <c r="N30" s="48"/>
      <c r="O30" s="64"/>
      <c r="P30" s="58"/>
      <c r="Q30" s="58"/>
      <c r="R30" s="58"/>
      <c r="S30" s="58"/>
      <c r="T30" s="58"/>
      <c r="U30" s="48"/>
      <c r="V30" s="64"/>
      <c r="W30" s="58"/>
      <c r="X30" s="58"/>
      <c r="Y30" s="58"/>
      <c r="Z30" s="58"/>
      <c r="AA30" s="58"/>
      <c r="AB30" s="48"/>
      <c r="AC30" s="64"/>
      <c r="AD30" s="58"/>
      <c r="AE30" s="58"/>
      <c r="AF30" s="58"/>
      <c r="AG30" s="58"/>
      <c r="AH30" s="58"/>
      <c r="AI30" s="48"/>
      <c r="AJ30" s="65"/>
      <c r="AK30" s="66"/>
      <c r="AL30" s="66"/>
      <c r="AM30" s="66"/>
      <c r="AN30" s="66"/>
      <c r="AO30" s="67"/>
      <c r="AP30" s="63"/>
      <c r="AQ30" s="63"/>
      <c r="AR30" s="63"/>
      <c r="AS30" s="63"/>
      <c r="AT30" s="63"/>
      <c r="AU30" s="63"/>
      <c r="AV30" s="63"/>
      <c r="AW30" s="63"/>
      <c r="AX30" s="63"/>
      <c r="AY30" s="9"/>
    </row>
    <row r="31" spans="2:51" ht="11.45" customHeight="1" x14ac:dyDescent="0.2">
      <c r="B31" s="7"/>
      <c r="C31" s="56"/>
      <c r="D31" s="56"/>
      <c r="E31" s="56"/>
      <c r="F31" s="56"/>
      <c r="G31" s="56"/>
      <c r="H31" s="64"/>
      <c r="I31" s="58"/>
      <c r="J31" s="58"/>
      <c r="K31" s="58"/>
      <c r="L31" s="58"/>
      <c r="M31" s="58"/>
      <c r="N31" s="48"/>
      <c r="O31" s="64"/>
      <c r="P31" s="58"/>
      <c r="Q31" s="58"/>
      <c r="R31" s="58"/>
      <c r="S31" s="58"/>
      <c r="T31" s="58"/>
      <c r="U31" s="48"/>
      <c r="V31" s="64"/>
      <c r="W31" s="58"/>
      <c r="X31" s="58"/>
      <c r="Y31" s="58"/>
      <c r="Z31" s="58"/>
      <c r="AA31" s="58"/>
      <c r="AB31" s="48"/>
      <c r="AC31" s="64"/>
      <c r="AD31" s="58"/>
      <c r="AE31" s="58"/>
      <c r="AF31" s="58"/>
      <c r="AG31" s="58"/>
      <c r="AH31" s="58"/>
      <c r="AI31" s="48"/>
      <c r="AJ31" s="65"/>
      <c r="AK31" s="66"/>
      <c r="AL31" s="66"/>
      <c r="AM31" s="66"/>
      <c r="AN31" s="66"/>
      <c r="AO31" s="67"/>
      <c r="AP31" s="63"/>
      <c r="AQ31" s="63"/>
      <c r="AR31" s="63"/>
      <c r="AS31" s="63"/>
      <c r="AT31" s="63"/>
      <c r="AU31" s="63"/>
      <c r="AV31" s="63"/>
      <c r="AW31" s="63"/>
      <c r="AX31" s="63"/>
      <c r="AY31" s="9"/>
    </row>
    <row r="32" spans="2:51" ht="11.45" customHeight="1" x14ac:dyDescent="0.2">
      <c r="B32" s="7"/>
      <c r="C32" s="56"/>
      <c r="D32" s="56"/>
      <c r="E32" s="56"/>
      <c r="F32" s="56"/>
      <c r="G32" s="56"/>
      <c r="H32" s="64"/>
      <c r="I32" s="58"/>
      <c r="J32" s="58"/>
      <c r="K32" s="58"/>
      <c r="L32" s="58"/>
      <c r="M32" s="58"/>
      <c r="N32" s="48"/>
      <c r="O32" s="64"/>
      <c r="P32" s="58"/>
      <c r="Q32" s="58"/>
      <c r="R32" s="58"/>
      <c r="S32" s="58"/>
      <c r="T32" s="58"/>
      <c r="U32" s="48"/>
      <c r="V32" s="64"/>
      <c r="W32" s="58"/>
      <c r="X32" s="58"/>
      <c r="Y32" s="58"/>
      <c r="Z32" s="58"/>
      <c r="AA32" s="58"/>
      <c r="AB32" s="48"/>
      <c r="AC32" s="64"/>
      <c r="AD32" s="58"/>
      <c r="AE32" s="58"/>
      <c r="AF32" s="58"/>
      <c r="AG32" s="58"/>
      <c r="AH32" s="58"/>
      <c r="AI32" s="48"/>
      <c r="AJ32" s="65"/>
      <c r="AK32" s="66"/>
      <c r="AL32" s="66"/>
      <c r="AM32" s="66"/>
      <c r="AN32" s="66"/>
      <c r="AO32" s="67"/>
      <c r="AP32" s="63"/>
      <c r="AQ32" s="63"/>
      <c r="AR32" s="63"/>
      <c r="AS32" s="63"/>
      <c r="AT32" s="63"/>
      <c r="AU32" s="63"/>
      <c r="AV32" s="63"/>
      <c r="AW32" s="63"/>
      <c r="AX32" s="63"/>
      <c r="AY32" s="9"/>
    </row>
    <row r="33" spans="2:51" ht="11.45" customHeight="1" x14ac:dyDescent="0.2">
      <c r="B33" s="7"/>
      <c r="C33" s="56"/>
      <c r="D33" s="56"/>
      <c r="E33" s="56"/>
      <c r="F33" s="56"/>
      <c r="G33" s="56"/>
      <c r="H33" s="64"/>
      <c r="I33" s="58"/>
      <c r="J33" s="58"/>
      <c r="K33" s="58"/>
      <c r="L33" s="58"/>
      <c r="M33" s="58"/>
      <c r="N33" s="48"/>
      <c r="O33" s="64"/>
      <c r="P33" s="58"/>
      <c r="Q33" s="58"/>
      <c r="R33" s="58"/>
      <c r="S33" s="58"/>
      <c r="T33" s="58"/>
      <c r="U33" s="48"/>
      <c r="V33" s="64"/>
      <c r="W33" s="58"/>
      <c r="X33" s="58"/>
      <c r="Y33" s="58"/>
      <c r="Z33" s="58"/>
      <c r="AA33" s="58"/>
      <c r="AB33" s="48"/>
      <c r="AC33" s="64"/>
      <c r="AD33" s="58"/>
      <c r="AE33" s="58"/>
      <c r="AF33" s="58"/>
      <c r="AG33" s="58"/>
      <c r="AH33" s="58"/>
      <c r="AI33" s="48"/>
      <c r="AJ33" s="65"/>
      <c r="AK33" s="66"/>
      <c r="AL33" s="66"/>
      <c r="AM33" s="66"/>
      <c r="AN33" s="66"/>
      <c r="AO33" s="67"/>
      <c r="AP33" s="63"/>
      <c r="AQ33" s="63"/>
      <c r="AR33" s="63"/>
      <c r="AS33" s="63"/>
      <c r="AT33" s="63"/>
      <c r="AU33" s="63"/>
      <c r="AV33" s="63"/>
      <c r="AW33" s="63"/>
      <c r="AX33" s="63"/>
      <c r="AY33" s="9"/>
    </row>
    <row r="34" spans="2:51" ht="11.45" customHeight="1" x14ac:dyDescent="0.2">
      <c r="B34" s="7"/>
      <c r="C34" s="56"/>
      <c r="D34" s="56"/>
      <c r="E34" s="56"/>
      <c r="F34" s="56"/>
      <c r="G34" s="56"/>
      <c r="H34" s="64"/>
      <c r="I34" s="58"/>
      <c r="J34" s="58"/>
      <c r="K34" s="58"/>
      <c r="L34" s="58"/>
      <c r="M34" s="58"/>
      <c r="N34" s="48"/>
      <c r="O34" s="64"/>
      <c r="P34" s="58"/>
      <c r="Q34" s="58"/>
      <c r="R34" s="58"/>
      <c r="S34" s="58"/>
      <c r="T34" s="58"/>
      <c r="U34" s="48"/>
      <c r="V34" s="64"/>
      <c r="W34" s="58"/>
      <c r="X34" s="58"/>
      <c r="Y34" s="58"/>
      <c r="Z34" s="58"/>
      <c r="AA34" s="58"/>
      <c r="AB34" s="48"/>
      <c r="AC34" s="64"/>
      <c r="AD34" s="58"/>
      <c r="AE34" s="58"/>
      <c r="AF34" s="58"/>
      <c r="AG34" s="58"/>
      <c r="AH34" s="58"/>
      <c r="AI34" s="48"/>
      <c r="AJ34" s="65"/>
      <c r="AK34" s="66"/>
      <c r="AL34" s="66"/>
      <c r="AM34" s="66"/>
      <c r="AN34" s="66"/>
      <c r="AO34" s="67"/>
      <c r="AP34" s="63"/>
      <c r="AQ34" s="63"/>
      <c r="AR34" s="63"/>
      <c r="AS34" s="63"/>
      <c r="AT34" s="63"/>
      <c r="AU34" s="63"/>
      <c r="AV34" s="63"/>
      <c r="AW34" s="63"/>
      <c r="AX34" s="63"/>
      <c r="AY34" s="9"/>
    </row>
    <row r="35" spans="2:51" ht="25.5" customHeight="1" x14ac:dyDescent="0.2">
      <c r="B35" s="7"/>
      <c r="C35" s="56"/>
      <c r="D35" s="56"/>
      <c r="E35" s="56"/>
      <c r="F35" s="56"/>
      <c r="G35" s="56"/>
      <c r="H35" s="64"/>
      <c r="I35" s="58"/>
      <c r="J35" s="58"/>
      <c r="K35" s="58"/>
      <c r="L35" s="58"/>
      <c r="M35" s="58"/>
      <c r="N35" s="48"/>
      <c r="O35" s="64"/>
      <c r="P35" s="58"/>
      <c r="Q35" s="58"/>
      <c r="R35" s="58"/>
      <c r="S35" s="58"/>
      <c r="T35" s="58"/>
      <c r="U35" s="48"/>
      <c r="V35" s="64"/>
      <c r="W35" s="58"/>
      <c r="X35" s="58"/>
      <c r="Y35" s="58"/>
      <c r="Z35" s="58"/>
      <c r="AA35" s="58"/>
      <c r="AB35" s="48"/>
      <c r="AC35" s="64"/>
      <c r="AD35" s="58"/>
      <c r="AE35" s="58"/>
      <c r="AF35" s="58"/>
      <c r="AG35" s="58"/>
      <c r="AH35" s="58"/>
      <c r="AI35" s="48"/>
      <c r="AJ35" s="65"/>
      <c r="AK35" s="66"/>
      <c r="AL35" s="66"/>
      <c r="AM35" s="66"/>
      <c r="AN35" s="66"/>
      <c r="AO35" s="67"/>
      <c r="AP35" s="63"/>
      <c r="AQ35" s="63"/>
      <c r="AR35" s="63"/>
      <c r="AS35" s="63"/>
      <c r="AT35" s="63"/>
      <c r="AU35" s="63"/>
      <c r="AV35" s="63"/>
      <c r="AW35" s="63"/>
      <c r="AX35" s="63"/>
      <c r="AY35" s="9"/>
    </row>
    <row r="36" spans="2:51" ht="6.95" customHeight="1" x14ac:dyDescent="0.2">
      <c r="B36" s="7"/>
      <c r="C36" s="56"/>
      <c r="D36" s="56"/>
      <c r="E36" s="56"/>
      <c r="F36" s="56"/>
      <c r="G36" s="56"/>
      <c r="H36" s="68"/>
      <c r="I36" s="69"/>
      <c r="J36" s="69"/>
      <c r="K36" s="69"/>
      <c r="L36" s="69"/>
      <c r="M36" s="69"/>
      <c r="N36" s="49"/>
      <c r="O36" s="68"/>
      <c r="P36" s="69"/>
      <c r="Q36" s="69"/>
      <c r="R36" s="69"/>
      <c r="S36" s="69"/>
      <c r="T36" s="69"/>
      <c r="U36" s="49"/>
      <c r="V36" s="68"/>
      <c r="W36" s="69"/>
      <c r="X36" s="69"/>
      <c r="Y36" s="69"/>
      <c r="Z36" s="69"/>
      <c r="AA36" s="69"/>
      <c r="AB36" s="49"/>
      <c r="AC36" s="68"/>
      <c r="AD36" s="69"/>
      <c r="AE36" s="69"/>
      <c r="AF36" s="69"/>
      <c r="AG36" s="69"/>
      <c r="AH36" s="69"/>
      <c r="AI36" s="49"/>
      <c r="AJ36" s="65"/>
      <c r="AK36" s="66"/>
      <c r="AL36" s="66"/>
      <c r="AM36" s="66"/>
      <c r="AN36" s="66"/>
      <c r="AO36" s="67"/>
      <c r="AP36" s="63"/>
      <c r="AQ36" s="63"/>
      <c r="AR36" s="63"/>
      <c r="AS36" s="63"/>
      <c r="AT36" s="63"/>
      <c r="AU36" s="63"/>
      <c r="AV36" s="63"/>
      <c r="AW36" s="63"/>
      <c r="AX36" s="63"/>
      <c r="AY36" s="9"/>
    </row>
    <row r="37" spans="2:51" ht="6.95" customHeight="1" x14ac:dyDescent="0.2">
      <c r="B37" s="7"/>
      <c r="C37" s="56"/>
      <c r="D37" s="56"/>
      <c r="E37" s="56"/>
      <c r="F37" s="56"/>
      <c r="G37" s="56"/>
      <c r="H37" s="70"/>
      <c r="I37" s="69"/>
      <c r="J37" s="69"/>
      <c r="K37" s="69"/>
      <c r="L37" s="69"/>
      <c r="M37" s="69"/>
      <c r="N37" s="49"/>
      <c r="O37" s="70"/>
      <c r="P37" s="69"/>
      <c r="Q37" s="69"/>
      <c r="R37" s="69"/>
      <c r="S37" s="69"/>
      <c r="T37" s="69"/>
      <c r="U37" s="49"/>
      <c r="V37" s="70"/>
      <c r="W37" s="69"/>
      <c r="X37" s="69"/>
      <c r="Y37" s="69"/>
      <c r="Z37" s="69"/>
      <c r="AA37" s="69"/>
      <c r="AB37" s="49"/>
      <c r="AC37" s="70"/>
      <c r="AD37" s="69"/>
      <c r="AE37" s="69"/>
      <c r="AF37" s="69"/>
      <c r="AG37" s="69"/>
      <c r="AH37" s="69"/>
      <c r="AI37" s="49"/>
      <c r="AJ37" s="65"/>
      <c r="AK37" s="66"/>
      <c r="AL37" s="66"/>
      <c r="AM37" s="66"/>
      <c r="AN37" s="66"/>
      <c r="AO37" s="67"/>
      <c r="AP37" s="63"/>
      <c r="AQ37" s="63"/>
      <c r="AR37" s="63"/>
      <c r="AS37" s="63"/>
      <c r="AT37" s="63"/>
      <c r="AU37" s="63"/>
      <c r="AV37" s="63"/>
      <c r="AW37" s="63"/>
      <c r="AX37" s="63"/>
      <c r="AY37" s="9"/>
    </row>
    <row r="38" spans="2:51" ht="11.45" customHeight="1" x14ac:dyDescent="0.2">
      <c r="B38" s="7"/>
      <c r="C38" s="71"/>
      <c r="D38" s="71"/>
      <c r="E38" s="71"/>
      <c r="F38" s="71"/>
      <c r="G38" s="71"/>
      <c r="H38" s="72"/>
      <c r="I38" s="73"/>
      <c r="J38" s="73"/>
      <c r="K38" s="73"/>
      <c r="L38" s="73"/>
      <c r="M38" s="73"/>
      <c r="N38" s="73"/>
      <c r="O38" s="72"/>
      <c r="P38" s="73"/>
      <c r="Q38" s="73"/>
      <c r="R38" s="73"/>
      <c r="S38" s="73"/>
      <c r="T38" s="73"/>
      <c r="U38" s="73"/>
      <c r="V38" s="72"/>
      <c r="W38" s="73"/>
      <c r="X38" s="73"/>
      <c r="Y38" s="73"/>
      <c r="Z38" s="73"/>
      <c r="AA38" s="73"/>
      <c r="AB38" s="73"/>
      <c r="AC38" s="72"/>
      <c r="AD38" s="73"/>
      <c r="AE38" s="73"/>
      <c r="AF38" s="73"/>
      <c r="AG38" s="73"/>
      <c r="AH38" s="73"/>
      <c r="AI38" s="73"/>
      <c r="AJ38" s="74"/>
      <c r="AK38" s="75"/>
      <c r="AL38" s="75"/>
      <c r="AM38" s="75"/>
      <c r="AN38" s="75"/>
      <c r="AO38" s="76"/>
      <c r="AP38" s="72"/>
      <c r="AQ38" s="72"/>
      <c r="AR38" s="72"/>
      <c r="AS38" s="72"/>
      <c r="AT38" s="72"/>
      <c r="AU38" s="72"/>
      <c r="AV38" s="72"/>
      <c r="AW38" s="72"/>
      <c r="AX38" s="72"/>
      <c r="AY38" s="9"/>
    </row>
    <row r="39" spans="2:51" ht="11.45" customHeight="1" x14ac:dyDescent="0.2">
      <c r="B39" s="7"/>
      <c r="C39" s="77"/>
      <c r="D39" s="77"/>
      <c r="E39" s="77"/>
      <c r="F39" s="77"/>
      <c r="G39" s="77"/>
      <c r="H39" s="78"/>
      <c r="I39" s="79"/>
      <c r="J39" s="79"/>
      <c r="K39" s="79"/>
      <c r="L39" s="79"/>
      <c r="M39" s="79"/>
      <c r="N39" s="79"/>
      <c r="O39" s="78"/>
      <c r="P39" s="79"/>
      <c r="Q39" s="79"/>
      <c r="R39" s="79"/>
      <c r="S39" s="79"/>
      <c r="T39" s="79"/>
      <c r="U39" s="79"/>
      <c r="V39" s="78"/>
      <c r="W39" s="79"/>
      <c r="X39" s="79"/>
      <c r="Y39" s="79"/>
      <c r="Z39" s="79"/>
      <c r="AA39" s="79"/>
      <c r="AB39" s="79"/>
      <c r="AC39" s="78"/>
      <c r="AD39" s="79"/>
      <c r="AE39" s="79"/>
      <c r="AF39" s="79"/>
      <c r="AG39" s="79"/>
      <c r="AH39" s="79"/>
      <c r="AI39" s="79"/>
      <c r="AJ39" s="74"/>
      <c r="AK39" s="75"/>
      <c r="AL39" s="75"/>
      <c r="AM39" s="75"/>
      <c r="AN39" s="75"/>
      <c r="AO39" s="76"/>
      <c r="AP39" s="78"/>
      <c r="AQ39" s="78"/>
      <c r="AR39" s="78"/>
      <c r="AS39" s="78"/>
      <c r="AT39" s="78"/>
      <c r="AU39" s="78"/>
      <c r="AV39" s="78"/>
      <c r="AW39" s="78"/>
      <c r="AX39" s="78"/>
      <c r="AY39" s="9"/>
    </row>
    <row r="40" spans="2:51" ht="11.45" customHeight="1" x14ac:dyDescent="0.2">
      <c r="B40" s="7"/>
      <c r="C40" s="77"/>
      <c r="D40" s="77"/>
      <c r="E40" s="77"/>
      <c r="F40" s="77"/>
      <c r="G40" s="77"/>
      <c r="H40" s="78"/>
      <c r="I40" s="79"/>
      <c r="J40" s="79"/>
      <c r="K40" s="79"/>
      <c r="L40" s="79"/>
      <c r="M40" s="79"/>
      <c r="N40" s="79"/>
      <c r="O40" s="78"/>
      <c r="P40" s="79"/>
      <c r="Q40" s="79"/>
      <c r="R40" s="79"/>
      <c r="S40" s="79"/>
      <c r="T40" s="79"/>
      <c r="U40" s="79"/>
      <c r="V40" s="78"/>
      <c r="W40" s="79"/>
      <c r="X40" s="79"/>
      <c r="Y40" s="79"/>
      <c r="Z40" s="79"/>
      <c r="AA40" s="79"/>
      <c r="AB40" s="79"/>
      <c r="AC40" s="78"/>
      <c r="AD40" s="79"/>
      <c r="AE40" s="79"/>
      <c r="AF40" s="79"/>
      <c r="AG40" s="79"/>
      <c r="AH40" s="79"/>
      <c r="AI40" s="79"/>
      <c r="AJ40" s="74"/>
      <c r="AK40" s="75"/>
      <c r="AL40" s="75"/>
      <c r="AM40" s="75"/>
      <c r="AN40" s="75"/>
      <c r="AO40" s="76"/>
      <c r="AP40" s="78"/>
      <c r="AQ40" s="78"/>
      <c r="AR40" s="78"/>
      <c r="AS40" s="78"/>
      <c r="AT40" s="78"/>
      <c r="AU40" s="78"/>
      <c r="AV40" s="78"/>
      <c r="AW40" s="78"/>
      <c r="AX40" s="78"/>
      <c r="AY40" s="9"/>
    </row>
    <row r="41" spans="2:51" ht="11.45" customHeight="1" x14ac:dyDescent="0.2">
      <c r="B41" s="7"/>
      <c r="C41" s="80"/>
      <c r="D41" s="80"/>
      <c r="E41" s="80"/>
      <c r="F41" s="80"/>
      <c r="G41" s="80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2"/>
      <c r="AK41" s="83"/>
      <c r="AL41" s="83"/>
      <c r="AM41" s="83"/>
      <c r="AN41" s="83"/>
      <c r="AO41" s="84"/>
      <c r="AP41" s="85"/>
      <c r="AQ41" s="85"/>
      <c r="AR41" s="85"/>
      <c r="AS41" s="85"/>
      <c r="AT41" s="85"/>
      <c r="AU41" s="85"/>
      <c r="AV41" s="85"/>
      <c r="AW41" s="85"/>
      <c r="AX41" s="85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0.5" customHeight="1" x14ac:dyDescent="0.2">
      <c r="B43" s="7"/>
      <c r="C43" s="8"/>
      <c r="D43" s="358" t="str">
        <f>REPT(CHAR(73),42*(COUNTIF(H21:AI22,"*")))</f>
        <v/>
      </c>
      <c r="E43" s="359"/>
      <c r="F43" s="359"/>
      <c r="G43" s="359"/>
      <c r="H43" s="359"/>
      <c r="I43" s="359"/>
      <c r="J43" s="359"/>
      <c r="K43" s="359"/>
      <c r="L43" s="359"/>
      <c r="M43" s="359"/>
      <c r="N43" s="359"/>
      <c r="O43" s="359"/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59"/>
      <c r="AC43" s="359"/>
      <c r="AD43" s="155" t="str">
        <f>IF(COUNTIF(H21:AI22,"*")=4,"a","")</f>
        <v/>
      </c>
      <c r="AE43" s="155"/>
      <c r="AF43" s="8"/>
      <c r="AG43" s="370"/>
      <c r="AH43" s="371"/>
      <c r="AI43" s="372"/>
      <c r="AJ43" s="372"/>
      <c r="AK43" s="373"/>
      <c r="AL43" s="8"/>
      <c r="AM43" s="363" t="str">
        <f>"PEAI"</f>
        <v>PEAI</v>
      </c>
      <c r="AN43" s="364"/>
      <c r="AO43" s="365"/>
      <c r="AP43" s="365"/>
      <c r="AQ43" s="366"/>
      <c r="AR43" s="8"/>
      <c r="AS43" s="370"/>
      <c r="AT43" s="371"/>
      <c r="AU43" s="372"/>
      <c r="AV43" s="372"/>
      <c r="AW43" s="373"/>
      <c r="AX43" s="8"/>
      <c r="AY43" s="9"/>
    </row>
    <row r="44" spans="2:51" ht="10.5" customHeight="1" x14ac:dyDescent="0.2">
      <c r="B44" s="7"/>
      <c r="C44" s="8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59"/>
      <c r="AC44" s="359"/>
      <c r="AD44" s="353"/>
      <c r="AE44" s="353"/>
      <c r="AF44" s="8"/>
      <c r="AG44" s="374"/>
      <c r="AH44" s="375"/>
      <c r="AI44" s="375"/>
      <c r="AJ44" s="375"/>
      <c r="AK44" s="376"/>
      <c r="AL44" s="8"/>
      <c r="AM44" s="367"/>
      <c r="AN44" s="368"/>
      <c r="AO44" s="368"/>
      <c r="AP44" s="368"/>
      <c r="AQ44" s="369"/>
      <c r="AR44" s="8"/>
      <c r="AS44" s="374"/>
      <c r="AT44" s="375"/>
      <c r="AU44" s="375"/>
      <c r="AV44" s="375"/>
      <c r="AW44" s="376"/>
      <c r="AX44" s="8"/>
      <c r="AY44" s="9"/>
    </row>
    <row r="45" spans="2:51" ht="3.95" customHeight="1" x14ac:dyDescent="0.2">
      <c r="B45" s="7"/>
      <c r="C45" s="8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39" t="s">
        <v>4176</v>
      </c>
      <c r="D46" s="139"/>
      <c r="E46" s="139" t="s">
        <v>4177</v>
      </c>
      <c r="F46" s="139"/>
      <c r="G46" s="139" t="s">
        <v>4126</v>
      </c>
      <c r="H46" s="139"/>
      <c r="I46" s="139" t="s">
        <v>4178</v>
      </c>
      <c r="J46" s="139"/>
      <c r="K46" s="139" t="s">
        <v>4179</v>
      </c>
      <c r="L46" s="139"/>
      <c r="M46" s="139" t="s">
        <v>4180</v>
      </c>
      <c r="N46" s="139"/>
      <c r="O46" s="139" t="s">
        <v>4181</v>
      </c>
      <c r="P46" s="139"/>
      <c r="Q46" s="139" t="s">
        <v>4182</v>
      </c>
      <c r="R46" s="139"/>
      <c r="S46" s="139" t="s">
        <v>4183</v>
      </c>
      <c r="T46" s="139"/>
      <c r="U46" s="139" t="s">
        <v>4184</v>
      </c>
      <c r="V46" s="139"/>
      <c r="W46" s="139" t="s">
        <v>4185</v>
      </c>
      <c r="X46" s="139"/>
      <c r="Y46" s="139" t="s">
        <v>4186</v>
      </c>
      <c r="Z46" s="139"/>
      <c r="AA46" s="139" t="s">
        <v>1780</v>
      </c>
      <c r="AB46" s="139"/>
      <c r="AC46" s="139" t="s">
        <v>4187</v>
      </c>
      <c r="AD46" s="139"/>
      <c r="AE46" s="139" t="s">
        <v>1781</v>
      </c>
      <c r="AF46" s="139"/>
      <c r="AG46" s="139" t="s">
        <v>4188</v>
      </c>
      <c r="AH46" s="139"/>
      <c r="AI46" s="139" t="s">
        <v>4189</v>
      </c>
      <c r="AJ46" s="139"/>
      <c r="AK46" s="139" t="s">
        <v>4190</v>
      </c>
      <c r="AL46" s="139"/>
      <c r="AM46" s="139" t="s">
        <v>4191</v>
      </c>
      <c r="AN46" s="139"/>
      <c r="AO46" s="139" t="s">
        <v>4192</v>
      </c>
      <c r="AP46" s="139"/>
      <c r="AQ46" s="139" t="s">
        <v>4176</v>
      </c>
      <c r="AR46" s="139"/>
      <c r="AS46" s="139" t="s">
        <v>4177</v>
      </c>
      <c r="AT46" s="139"/>
      <c r="AU46" s="139" t="s">
        <v>4126</v>
      </c>
      <c r="AV46" s="139"/>
      <c r="AW46" s="139" t="s">
        <v>4178</v>
      </c>
      <c r="AX46" s="139"/>
      <c r="AY46" s="9"/>
    </row>
    <row r="47" spans="2:51" ht="12" customHeight="1" x14ac:dyDescent="0.2">
      <c r="B47" s="7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  <c r="AJ47" s="139"/>
      <c r="AK47" s="139"/>
      <c r="AL47" s="139"/>
      <c r="AM47" s="139"/>
      <c r="AN47" s="139"/>
      <c r="AO47" s="139"/>
      <c r="AP47" s="139"/>
      <c r="AQ47" s="139"/>
      <c r="AR47" s="139"/>
      <c r="AS47" s="139"/>
      <c r="AT47" s="139"/>
      <c r="AU47" s="139"/>
      <c r="AV47" s="139"/>
      <c r="AW47" s="139"/>
      <c r="AX47" s="139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IF('MOD1'!$AY$49="","",'MOD1'!$AY$49)</f>
        <v>*Equipo de Gestión de la Información - EBR - Ministerio de Educación</v>
      </c>
    </row>
  </sheetData>
  <sheetProtection algorithmName="SHA-512" hashValue="VTeNeE78DEPpNJlpneDE+07twat+kxoiVLrJTteMzNmr2AgHfE0bnbRYKUJRCUTxp4GGhFTSNXEHcWBe7l6vyg==" saltValue="ExjjvQsp8TdQl+63x84iZA==" spinCount="100000" sheet="1" objects="1" scenarios="1"/>
  <mergeCells count="55"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  <mergeCell ref="C13:G22"/>
    <mergeCell ref="H13:N20"/>
    <mergeCell ref="O13:U20"/>
    <mergeCell ref="V13:AB20"/>
    <mergeCell ref="AC13:AI20"/>
    <mergeCell ref="AP13:AX22"/>
    <mergeCell ref="H21:N22"/>
    <mergeCell ref="O21:U22"/>
    <mergeCell ref="V21:AB22"/>
    <mergeCell ref="AC21:AI22"/>
    <mergeCell ref="AJ13:AO26"/>
    <mergeCell ref="AP23:AX26"/>
    <mergeCell ref="D43:AC44"/>
    <mergeCell ref="AD43:AE44"/>
    <mergeCell ref="AG43:AK44"/>
    <mergeCell ref="AM43:AQ44"/>
    <mergeCell ref="AS43:AW44"/>
    <mergeCell ref="C23:G26"/>
    <mergeCell ref="H23:N26"/>
    <mergeCell ref="O23:U26"/>
    <mergeCell ref="V23:AB26"/>
    <mergeCell ref="AC23:AI26"/>
    <mergeCell ref="Y46:Z47"/>
    <mergeCell ref="C46:D47"/>
    <mergeCell ref="E46:F47"/>
    <mergeCell ref="G46:H47"/>
    <mergeCell ref="I46:J47"/>
    <mergeCell ref="K46:L47"/>
    <mergeCell ref="M46:N47"/>
    <mergeCell ref="O46:P47"/>
    <mergeCell ref="Q46:R47"/>
    <mergeCell ref="S46:T47"/>
    <mergeCell ref="U46:V47"/>
    <mergeCell ref="W46:X47"/>
    <mergeCell ref="AW46:AX47"/>
    <mergeCell ref="AA46:AB47"/>
    <mergeCell ref="AC46:AD47"/>
    <mergeCell ref="AE46:AF47"/>
    <mergeCell ref="AG46:AH47"/>
    <mergeCell ref="AI46:AJ47"/>
    <mergeCell ref="AK46:AL47"/>
    <mergeCell ref="AM46:AN47"/>
    <mergeCell ref="AO46:AP47"/>
    <mergeCell ref="AQ46:AR47"/>
    <mergeCell ref="AS46:AT47"/>
    <mergeCell ref="AU46:AV47"/>
  </mergeCells>
  <conditionalFormatting sqref="AG43:AK44">
    <cfRule type="cellIs" dxfId="83" priority="15" operator="equal">
      <formula>""</formula>
    </cfRule>
  </conditionalFormatting>
  <conditionalFormatting sqref="AS43:AW44">
    <cfRule type="cellIs" dxfId="82" priority="14" operator="equal">
      <formula>""</formula>
    </cfRule>
  </conditionalFormatting>
  <conditionalFormatting sqref="C28:AX41">
    <cfRule type="expression" dxfId="81" priority="13">
      <formula>$C$38=""</formula>
    </cfRule>
  </conditionalFormatting>
  <conditionalFormatting sqref="C23:G26 H21:AI22 AP13:AX26">
    <cfRule type="expression" dxfId="80" priority="12">
      <formula>$C$13=""</formula>
    </cfRule>
  </conditionalFormatting>
  <conditionalFormatting sqref="C13:G22">
    <cfRule type="expression" dxfId="79" priority="8">
      <formula>$C$13=""</formula>
    </cfRule>
  </conditionalFormatting>
  <conditionalFormatting sqref="H13:AI20">
    <cfRule type="expression" dxfId="78" priority="7">
      <formula>$C$13=""</formula>
    </cfRule>
  </conditionalFormatting>
  <conditionalFormatting sqref="H23:AI26">
    <cfRule type="expression" dxfId="77" priority="6">
      <formula>$C$13=""</formula>
    </cfRule>
  </conditionalFormatting>
  <conditionalFormatting sqref="AJ13:AO26">
    <cfRule type="expression" dxfId="76" priority="5">
      <formula>$C$13=""</formula>
    </cfRule>
  </conditionalFormatting>
  <conditionalFormatting sqref="AM43:AQ44">
    <cfRule type="cellIs" dxfId="75" priority="4" operator="equal">
      <formula>"PEAI"</formula>
    </cfRule>
  </conditionalFormatting>
  <conditionalFormatting sqref="C46:AX47">
    <cfRule type="expression" dxfId="74" priority="1">
      <formula>IF(CODE(C46)=38,1,0)</formula>
    </cfRule>
    <cfRule type="expression" dxfId="73" priority="2">
      <formula>IF(CODE(C46)=37,1,0)</formula>
    </cfRule>
    <cfRule type="expression" dxfId="72" priority="3">
      <formula>IF(OR(CODE(C46)=143,CODE(C46)=167,CODE(C46)=168,CODE(C46)=254),1,0)</formula>
    </cfRule>
  </conditionalFormatting>
  <dataValidations count="10">
    <dataValidation allowBlank="1" showInputMessage="1" showErrorMessage="1" promptTitle="Ingrese" prompt="Describir principales aspectos que facilitaron que la IIEE llegara a este logro, así como dificultades." sqref="AP13:AX22"/>
    <dataValidation allowBlank="1" showInputMessage="1" showErrorMessage="1" promptTitle="Información" prompt="Actividad ambiental" sqref="C13:G22"/>
    <dataValidation allowBlank="1" showInputMessage="1" showErrorMessage="1" promptTitle="Información" prompt="Indicador de la actividad" sqref="AJ13:AO26"/>
    <dataValidation allowBlank="1" showInputMessage="1" showErrorMessage="1" promptTitle="Información" prompt="Hitos de aplicación" sqref="H13:AI20"/>
    <dataValidation allowBlank="1" showInputMessage="1" showErrorMessage="1" promptTitle="Información" prompt="Medios de verificación" sqref="AP23:AX26 C23:AI26"/>
    <dataValidation type="list" allowBlank="1" showInputMessage="1" showErrorMessage="1" errorTitle="Mensaje de validación" error="Solo se permite datos de la lista desplegable._x000a__x000a_Intente de nuevo." promptTitle="Seleccionar" prompt="SI o NO" sqref="H21:AI22">
      <formula1>"SI, NO"</formula1>
    </dataValidation>
    <dataValidation allowBlank="1" showInputMessage="1" showErrorMessage="1" promptTitle="Mensaje" prompt="Hitos de aplicación del enfoque ambiental" sqref="H11:AE11 H12:M12 O12:T12 V12:AA12 AC12:AH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Indicador" sqref="AJ11:AO1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7" tint="-0.249977111117893"/>
    <pageSetUpPr fitToPage="1"/>
  </sheetPr>
  <dimension ref="A1:AY49"/>
  <sheetViews>
    <sheetView showGridLines="0" zoomScaleNormal="100" zoomScaleSheetLayoutView="100" workbookViewId="0">
      <selection activeCell="C46" sqref="C46:AX47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15" t="str">
        <f>LISTAS!AI19</f>
        <v>Vida y Verde – VIVE</v>
      </c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  <c r="W9" s="316"/>
      <c r="X9" s="316"/>
      <c r="Y9" s="316"/>
      <c r="Z9" s="316"/>
      <c r="AA9" s="316"/>
      <c r="AB9" s="316"/>
      <c r="AC9" s="316"/>
      <c r="AD9" s="316"/>
      <c r="AE9" s="316"/>
      <c r="AF9" s="316"/>
      <c r="AG9" s="316"/>
      <c r="AH9" s="316"/>
      <c r="AI9" s="316"/>
      <c r="AJ9" s="316"/>
      <c r="AK9" s="316"/>
      <c r="AL9" s="316"/>
      <c r="AM9" s="316"/>
      <c r="AN9" s="316"/>
      <c r="AO9" s="316"/>
      <c r="AP9" s="316"/>
      <c r="AQ9" s="316"/>
      <c r="AR9" s="316"/>
      <c r="AS9" s="316"/>
      <c r="AT9" s="316"/>
      <c r="AU9" s="316"/>
      <c r="AV9" s="316"/>
      <c r="AW9" s="316"/>
      <c r="AX9" s="316"/>
      <c r="AY9" s="9"/>
    </row>
    <row r="10" spans="1:51" ht="9" customHeight="1" x14ac:dyDescent="0.2">
      <c r="B10" s="7"/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9"/>
    </row>
    <row r="11" spans="1:51" ht="12" customHeight="1" x14ac:dyDescent="0.2">
      <c r="B11" s="7"/>
      <c r="C11" s="319" t="s">
        <v>1793</v>
      </c>
      <c r="D11" s="320"/>
      <c r="E11" s="320"/>
      <c r="F11" s="320"/>
      <c r="G11" s="320"/>
      <c r="H11" s="321" t="s">
        <v>1794</v>
      </c>
      <c r="I11" s="322"/>
      <c r="J11" s="322"/>
      <c r="K11" s="322"/>
      <c r="L11" s="322"/>
      <c r="M11" s="322"/>
      <c r="N11" s="322"/>
      <c r="O11" s="322"/>
      <c r="P11" s="322"/>
      <c r="Q11" s="322"/>
      <c r="R11" s="322"/>
      <c r="S11" s="322"/>
      <c r="T11" s="322"/>
      <c r="U11" s="322"/>
      <c r="V11" s="322"/>
      <c r="W11" s="322"/>
      <c r="X11" s="322"/>
      <c r="Y11" s="322"/>
      <c r="Z11" s="322"/>
      <c r="AA11" s="322"/>
      <c r="AB11" s="322"/>
      <c r="AC11" s="322"/>
      <c r="AD11" s="322"/>
      <c r="AE11" s="322"/>
      <c r="AF11" s="324"/>
      <c r="AG11" s="324"/>
      <c r="AH11" s="324"/>
      <c r="AI11" s="323"/>
      <c r="AJ11" s="319" t="s">
        <v>1800</v>
      </c>
      <c r="AK11" s="320"/>
      <c r="AL11" s="320"/>
      <c r="AM11" s="320"/>
      <c r="AN11" s="320"/>
      <c r="AO11" s="320"/>
      <c r="AP11" s="319" t="s">
        <v>1801</v>
      </c>
      <c r="AQ11" s="320"/>
      <c r="AR11" s="320"/>
      <c r="AS11" s="320"/>
      <c r="AT11" s="320"/>
      <c r="AU11" s="320"/>
      <c r="AV11" s="320"/>
      <c r="AW11" s="320"/>
      <c r="AX11" s="320"/>
      <c r="AY11" s="9"/>
    </row>
    <row r="12" spans="1:51" ht="9.9499999999999993" customHeight="1" x14ac:dyDescent="0.2">
      <c r="B12" s="7"/>
      <c r="C12" s="320"/>
      <c r="D12" s="320"/>
      <c r="E12" s="320"/>
      <c r="F12" s="320"/>
      <c r="G12" s="320"/>
      <c r="H12" s="321" t="s">
        <v>1795</v>
      </c>
      <c r="I12" s="322"/>
      <c r="J12" s="322"/>
      <c r="K12" s="322"/>
      <c r="L12" s="322"/>
      <c r="M12" s="322"/>
      <c r="N12" s="323"/>
      <c r="O12" s="321" t="s">
        <v>1796</v>
      </c>
      <c r="P12" s="322"/>
      <c r="Q12" s="322"/>
      <c r="R12" s="322"/>
      <c r="S12" s="322"/>
      <c r="T12" s="322"/>
      <c r="U12" s="323"/>
      <c r="V12" s="321" t="s">
        <v>1797</v>
      </c>
      <c r="W12" s="322"/>
      <c r="X12" s="322"/>
      <c r="Y12" s="322"/>
      <c r="Z12" s="322"/>
      <c r="AA12" s="322"/>
      <c r="AB12" s="323"/>
      <c r="AC12" s="321" t="s">
        <v>1798</v>
      </c>
      <c r="AD12" s="322"/>
      <c r="AE12" s="322"/>
      <c r="AF12" s="322"/>
      <c r="AG12" s="322"/>
      <c r="AH12" s="322"/>
      <c r="AI12" s="323"/>
      <c r="AJ12" s="320"/>
      <c r="AK12" s="320"/>
      <c r="AL12" s="320"/>
      <c r="AM12" s="320"/>
      <c r="AN12" s="320"/>
      <c r="AO12" s="320"/>
      <c r="AP12" s="320"/>
      <c r="AQ12" s="320"/>
      <c r="AR12" s="320"/>
      <c r="AS12" s="320"/>
      <c r="AT12" s="320"/>
      <c r="AU12" s="320"/>
      <c r="AV12" s="320"/>
      <c r="AW12" s="320"/>
      <c r="AX12" s="320"/>
      <c r="AY12" s="9"/>
    </row>
    <row r="13" spans="1:51" ht="11.45" customHeight="1" x14ac:dyDescent="0.2">
      <c r="B13" s="7"/>
      <c r="C13" s="317" t="str">
        <f>LISTAS!AJ19</f>
        <v>16. LA I.E. implementó un PEAI como recurso pedagógico y para el desarrollo de la conciencia ambiental y sobre la salud.</v>
      </c>
      <c r="D13" s="318"/>
      <c r="E13" s="318"/>
      <c r="F13" s="318"/>
      <c r="G13" s="318"/>
      <c r="H13" s="334" t="str">
        <f>LISTAS!AK19</f>
        <v xml:space="preserve">El PEAI fue incluido en el PAT. </v>
      </c>
      <c r="I13" s="335"/>
      <c r="J13" s="335"/>
      <c r="K13" s="335"/>
      <c r="L13" s="335"/>
      <c r="M13" s="335"/>
      <c r="N13" s="336"/>
      <c r="O13" s="334" t="str">
        <f>LISTAS!AL19</f>
        <v xml:space="preserve">La I.E. implementó el PEAI con actividades pedagógicas articuladas mínimo a tres áreas curriculares. </v>
      </c>
      <c r="P13" s="335"/>
      <c r="Q13" s="335"/>
      <c r="R13" s="335"/>
      <c r="S13" s="335"/>
      <c r="T13" s="335"/>
      <c r="U13" s="336"/>
      <c r="V13" s="334" t="str">
        <f>LISTAS!AM19</f>
        <v>La I.E. implementó actividades institucionales para la ejecución del PEAI a lo largo de todo el año escolar.</v>
      </c>
      <c r="W13" s="335"/>
      <c r="X13" s="335"/>
      <c r="Y13" s="335"/>
      <c r="Z13" s="335"/>
      <c r="AA13" s="335"/>
      <c r="AB13" s="336"/>
      <c r="AC13" s="334" t="str">
        <f>LISTAS!AN19</f>
        <v>El PEAI se implementó con apoyo de instituciones del sector público y/o privado.</v>
      </c>
      <c r="AD13" s="335"/>
      <c r="AE13" s="335"/>
      <c r="AF13" s="335"/>
      <c r="AG13" s="335"/>
      <c r="AH13" s="335"/>
      <c r="AI13" s="336"/>
      <c r="AJ13" s="338" t="str">
        <f>LISTAS!AO19</f>
        <v>N° de hitos de aplicación del enfoque ambiental puestos en práctica en la implementación del PEAI.</v>
      </c>
      <c r="AK13" s="339"/>
      <c r="AL13" s="339"/>
      <c r="AM13" s="339"/>
      <c r="AN13" s="339"/>
      <c r="AO13" s="340"/>
      <c r="AP13" s="350"/>
      <c r="AQ13" s="351"/>
      <c r="AR13" s="351"/>
      <c r="AS13" s="351"/>
      <c r="AT13" s="351"/>
      <c r="AU13" s="351"/>
      <c r="AV13" s="351"/>
      <c r="AW13" s="351"/>
      <c r="AX13" s="351"/>
      <c r="AY13" s="9"/>
    </row>
    <row r="14" spans="1:51" ht="11.45" customHeight="1" x14ac:dyDescent="0.2">
      <c r="B14" s="7"/>
      <c r="C14" s="318"/>
      <c r="D14" s="318"/>
      <c r="E14" s="318"/>
      <c r="F14" s="318"/>
      <c r="G14" s="318"/>
      <c r="H14" s="337"/>
      <c r="I14" s="335"/>
      <c r="J14" s="335"/>
      <c r="K14" s="335"/>
      <c r="L14" s="335"/>
      <c r="M14" s="335"/>
      <c r="N14" s="336"/>
      <c r="O14" s="337"/>
      <c r="P14" s="335"/>
      <c r="Q14" s="335"/>
      <c r="R14" s="335"/>
      <c r="S14" s="335"/>
      <c r="T14" s="335"/>
      <c r="U14" s="336"/>
      <c r="V14" s="337"/>
      <c r="W14" s="335"/>
      <c r="X14" s="335"/>
      <c r="Y14" s="335"/>
      <c r="Z14" s="335"/>
      <c r="AA14" s="335"/>
      <c r="AB14" s="336"/>
      <c r="AC14" s="337"/>
      <c r="AD14" s="335"/>
      <c r="AE14" s="335"/>
      <c r="AF14" s="335"/>
      <c r="AG14" s="335"/>
      <c r="AH14" s="335"/>
      <c r="AI14" s="336"/>
      <c r="AJ14" s="341"/>
      <c r="AK14" s="342"/>
      <c r="AL14" s="342"/>
      <c r="AM14" s="342"/>
      <c r="AN14" s="342"/>
      <c r="AO14" s="343"/>
      <c r="AP14" s="351"/>
      <c r="AQ14" s="351"/>
      <c r="AR14" s="351"/>
      <c r="AS14" s="351"/>
      <c r="AT14" s="351"/>
      <c r="AU14" s="351"/>
      <c r="AV14" s="351"/>
      <c r="AW14" s="351"/>
      <c r="AX14" s="351"/>
      <c r="AY14" s="9"/>
    </row>
    <row r="15" spans="1:51" ht="11.45" customHeight="1" x14ac:dyDescent="0.2">
      <c r="B15" s="7"/>
      <c r="C15" s="318"/>
      <c r="D15" s="318"/>
      <c r="E15" s="318"/>
      <c r="F15" s="318"/>
      <c r="G15" s="318"/>
      <c r="H15" s="337"/>
      <c r="I15" s="335"/>
      <c r="J15" s="335"/>
      <c r="K15" s="335"/>
      <c r="L15" s="335"/>
      <c r="M15" s="335"/>
      <c r="N15" s="336"/>
      <c r="O15" s="337"/>
      <c r="P15" s="335"/>
      <c r="Q15" s="335"/>
      <c r="R15" s="335"/>
      <c r="S15" s="335"/>
      <c r="T15" s="335"/>
      <c r="U15" s="336"/>
      <c r="V15" s="337"/>
      <c r="W15" s="335"/>
      <c r="X15" s="335"/>
      <c r="Y15" s="335"/>
      <c r="Z15" s="335"/>
      <c r="AA15" s="335"/>
      <c r="AB15" s="336"/>
      <c r="AC15" s="337"/>
      <c r="AD15" s="335"/>
      <c r="AE15" s="335"/>
      <c r="AF15" s="335"/>
      <c r="AG15" s="335"/>
      <c r="AH15" s="335"/>
      <c r="AI15" s="336"/>
      <c r="AJ15" s="341"/>
      <c r="AK15" s="342"/>
      <c r="AL15" s="342"/>
      <c r="AM15" s="342"/>
      <c r="AN15" s="342"/>
      <c r="AO15" s="343"/>
      <c r="AP15" s="351"/>
      <c r="AQ15" s="351"/>
      <c r="AR15" s="351"/>
      <c r="AS15" s="351"/>
      <c r="AT15" s="351"/>
      <c r="AU15" s="351"/>
      <c r="AV15" s="351"/>
      <c r="AW15" s="351"/>
      <c r="AX15" s="351"/>
      <c r="AY15" s="9"/>
    </row>
    <row r="16" spans="1:51" ht="11.45" customHeight="1" x14ac:dyDescent="0.2">
      <c r="B16" s="7"/>
      <c r="C16" s="318"/>
      <c r="D16" s="318"/>
      <c r="E16" s="318"/>
      <c r="F16" s="318"/>
      <c r="G16" s="318"/>
      <c r="H16" s="337"/>
      <c r="I16" s="335"/>
      <c r="J16" s="335"/>
      <c r="K16" s="335"/>
      <c r="L16" s="335"/>
      <c r="M16" s="335"/>
      <c r="N16" s="336"/>
      <c r="O16" s="337"/>
      <c r="P16" s="335"/>
      <c r="Q16" s="335"/>
      <c r="R16" s="335"/>
      <c r="S16" s="335"/>
      <c r="T16" s="335"/>
      <c r="U16" s="336"/>
      <c r="V16" s="337"/>
      <c r="W16" s="335"/>
      <c r="X16" s="335"/>
      <c r="Y16" s="335"/>
      <c r="Z16" s="335"/>
      <c r="AA16" s="335"/>
      <c r="AB16" s="336"/>
      <c r="AC16" s="337"/>
      <c r="AD16" s="335"/>
      <c r="AE16" s="335"/>
      <c r="AF16" s="335"/>
      <c r="AG16" s="335"/>
      <c r="AH16" s="335"/>
      <c r="AI16" s="336"/>
      <c r="AJ16" s="341"/>
      <c r="AK16" s="342"/>
      <c r="AL16" s="342"/>
      <c r="AM16" s="342"/>
      <c r="AN16" s="342"/>
      <c r="AO16" s="343"/>
      <c r="AP16" s="351"/>
      <c r="AQ16" s="351"/>
      <c r="AR16" s="351"/>
      <c r="AS16" s="351"/>
      <c r="AT16" s="351"/>
      <c r="AU16" s="351"/>
      <c r="AV16" s="351"/>
      <c r="AW16" s="351"/>
      <c r="AX16" s="351"/>
      <c r="AY16" s="9"/>
    </row>
    <row r="17" spans="2:51" ht="11.45" customHeight="1" x14ac:dyDescent="0.2">
      <c r="B17" s="7"/>
      <c r="C17" s="318"/>
      <c r="D17" s="318"/>
      <c r="E17" s="318"/>
      <c r="F17" s="318"/>
      <c r="G17" s="318"/>
      <c r="H17" s="337"/>
      <c r="I17" s="335"/>
      <c r="J17" s="335"/>
      <c r="K17" s="335"/>
      <c r="L17" s="335"/>
      <c r="M17" s="335"/>
      <c r="N17" s="336"/>
      <c r="O17" s="337"/>
      <c r="P17" s="335"/>
      <c r="Q17" s="335"/>
      <c r="R17" s="335"/>
      <c r="S17" s="335"/>
      <c r="T17" s="335"/>
      <c r="U17" s="336"/>
      <c r="V17" s="337"/>
      <c r="W17" s="335"/>
      <c r="X17" s="335"/>
      <c r="Y17" s="335"/>
      <c r="Z17" s="335"/>
      <c r="AA17" s="335"/>
      <c r="AB17" s="336"/>
      <c r="AC17" s="337"/>
      <c r="AD17" s="335"/>
      <c r="AE17" s="335"/>
      <c r="AF17" s="335"/>
      <c r="AG17" s="335"/>
      <c r="AH17" s="335"/>
      <c r="AI17" s="336"/>
      <c r="AJ17" s="341"/>
      <c r="AK17" s="342"/>
      <c r="AL17" s="342"/>
      <c r="AM17" s="342"/>
      <c r="AN17" s="342"/>
      <c r="AO17" s="343"/>
      <c r="AP17" s="351"/>
      <c r="AQ17" s="351"/>
      <c r="AR17" s="351"/>
      <c r="AS17" s="351"/>
      <c r="AT17" s="351"/>
      <c r="AU17" s="351"/>
      <c r="AV17" s="351"/>
      <c r="AW17" s="351"/>
      <c r="AX17" s="351"/>
      <c r="AY17" s="9"/>
    </row>
    <row r="18" spans="2:51" ht="11.45" customHeight="1" x14ac:dyDescent="0.2">
      <c r="B18" s="7"/>
      <c r="C18" s="318"/>
      <c r="D18" s="318"/>
      <c r="E18" s="318"/>
      <c r="F18" s="318"/>
      <c r="G18" s="318"/>
      <c r="H18" s="337"/>
      <c r="I18" s="335"/>
      <c r="J18" s="335"/>
      <c r="K18" s="335"/>
      <c r="L18" s="335"/>
      <c r="M18" s="335"/>
      <c r="N18" s="336"/>
      <c r="O18" s="337"/>
      <c r="P18" s="335"/>
      <c r="Q18" s="335"/>
      <c r="R18" s="335"/>
      <c r="S18" s="335"/>
      <c r="T18" s="335"/>
      <c r="U18" s="336"/>
      <c r="V18" s="337"/>
      <c r="W18" s="335"/>
      <c r="X18" s="335"/>
      <c r="Y18" s="335"/>
      <c r="Z18" s="335"/>
      <c r="AA18" s="335"/>
      <c r="AB18" s="336"/>
      <c r="AC18" s="337"/>
      <c r="AD18" s="335"/>
      <c r="AE18" s="335"/>
      <c r="AF18" s="335"/>
      <c r="AG18" s="335"/>
      <c r="AH18" s="335"/>
      <c r="AI18" s="336"/>
      <c r="AJ18" s="341"/>
      <c r="AK18" s="342"/>
      <c r="AL18" s="342"/>
      <c r="AM18" s="342"/>
      <c r="AN18" s="342"/>
      <c r="AO18" s="343"/>
      <c r="AP18" s="351"/>
      <c r="AQ18" s="351"/>
      <c r="AR18" s="351"/>
      <c r="AS18" s="351"/>
      <c r="AT18" s="351"/>
      <c r="AU18" s="351"/>
      <c r="AV18" s="351"/>
      <c r="AW18" s="351"/>
      <c r="AX18" s="351"/>
      <c r="AY18" s="9"/>
    </row>
    <row r="19" spans="2:51" ht="11.45" customHeight="1" x14ac:dyDescent="0.2">
      <c r="B19" s="7"/>
      <c r="C19" s="318"/>
      <c r="D19" s="318"/>
      <c r="E19" s="318"/>
      <c r="F19" s="318"/>
      <c r="G19" s="318"/>
      <c r="H19" s="337"/>
      <c r="I19" s="335"/>
      <c r="J19" s="335"/>
      <c r="K19" s="335"/>
      <c r="L19" s="335"/>
      <c r="M19" s="335"/>
      <c r="N19" s="336"/>
      <c r="O19" s="337"/>
      <c r="P19" s="335"/>
      <c r="Q19" s="335"/>
      <c r="R19" s="335"/>
      <c r="S19" s="335"/>
      <c r="T19" s="335"/>
      <c r="U19" s="336"/>
      <c r="V19" s="337"/>
      <c r="W19" s="335"/>
      <c r="X19" s="335"/>
      <c r="Y19" s="335"/>
      <c r="Z19" s="335"/>
      <c r="AA19" s="335"/>
      <c r="AB19" s="336"/>
      <c r="AC19" s="337"/>
      <c r="AD19" s="335"/>
      <c r="AE19" s="335"/>
      <c r="AF19" s="335"/>
      <c r="AG19" s="335"/>
      <c r="AH19" s="335"/>
      <c r="AI19" s="336"/>
      <c r="AJ19" s="341"/>
      <c r="AK19" s="342"/>
      <c r="AL19" s="342"/>
      <c r="AM19" s="342"/>
      <c r="AN19" s="342"/>
      <c r="AO19" s="343"/>
      <c r="AP19" s="351"/>
      <c r="AQ19" s="351"/>
      <c r="AR19" s="351"/>
      <c r="AS19" s="351"/>
      <c r="AT19" s="351"/>
      <c r="AU19" s="351"/>
      <c r="AV19" s="351"/>
      <c r="AW19" s="351"/>
      <c r="AX19" s="351"/>
      <c r="AY19" s="9"/>
    </row>
    <row r="20" spans="2:51" ht="25.5" customHeight="1" x14ac:dyDescent="0.2">
      <c r="B20" s="7"/>
      <c r="C20" s="318"/>
      <c r="D20" s="318"/>
      <c r="E20" s="318"/>
      <c r="F20" s="318"/>
      <c r="G20" s="318"/>
      <c r="H20" s="337"/>
      <c r="I20" s="335"/>
      <c r="J20" s="335"/>
      <c r="K20" s="335"/>
      <c r="L20" s="335"/>
      <c r="M20" s="335"/>
      <c r="N20" s="336"/>
      <c r="O20" s="337"/>
      <c r="P20" s="335"/>
      <c r="Q20" s="335"/>
      <c r="R20" s="335"/>
      <c r="S20" s="335"/>
      <c r="T20" s="335"/>
      <c r="U20" s="336"/>
      <c r="V20" s="337"/>
      <c r="W20" s="335"/>
      <c r="X20" s="335"/>
      <c r="Y20" s="335"/>
      <c r="Z20" s="335"/>
      <c r="AA20" s="335"/>
      <c r="AB20" s="336"/>
      <c r="AC20" s="337"/>
      <c r="AD20" s="335"/>
      <c r="AE20" s="335"/>
      <c r="AF20" s="335"/>
      <c r="AG20" s="335"/>
      <c r="AH20" s="335"/>
      <c r="AI20" s="336"/>
      <c r="AJ20" s="341"/>
      <c r="AK20" s="342"/>
      <c r="AL20" s="342"/>
      <c r="AM20" s="342"/>
      <c r="AN20" s="342"/>
      <c r="AO20" s="343"/>
      <c r="AP20" s="351"/>
      <c r="AQ20" s="351"/>
      <c r="AR20" s="351"/>
      <c r="AS20" s="351"/>
      <c r="AT20" s="351"/>
      <c r="AU20" s="351"/>
      <c r="AV20" s="351"/>
      <c r="AW20" s="351"/>
      <c r="AX20" s="351"/>
      <c r="AY20" s="9"/>
    </row>
    <row r="21" spans="2:51" ht="6.95" customHeight="1" x14ac:dyDescent="0.2">
      <c r="B21" s="7"/>
      <c r="C21" s="318"/>
      <c r="D21" s="318"/>
      <c r="E21" s="318"/>
      <c r="F21" s="318"/>
      <c r="G21" s="318"/>
      <c r="H21" s="325"/>
      <c r="I21" s="326"/>
      <c r="J21" s="326"/>
      <c r="K21" s="326"/>
      <c r="L21" s="326"/>
      <c r="M21" s="326"/>
      <c r="N21" s="327"/>
      <c r="O21" s="325"/>
      <c r="P21" s="326"/>
      <c r="Q21" s="326"/>
      <c r="R21" s="326"/>
      <c r="S21" s="326"/>
      <c r="T21" s="326"/>
      <c r="U21" s="327"/>
      <c r="V21" s="325"/>
      <c r="W21" s="326"/>
      <c r="X21" s="326"/>
      <c r="Y21" s="326"/>
      <c r="Z21" s="326"/>
      <c r="AA21" s="326"/>
      <c r="AB21" s="327"/>
      <c r="AC21" s="325"/>
      <c r="AD21" s="326"/>
      <c r="AE21" s="326"/>
      <c r="AF21" s="326"/>
      <c r="AG21" s="326"/>
      <c r="AH21" s="326"/>
      <c r="AI21" s="327"/>
      <c r="AJ21" s="341"/>
      <c r="AK21" s="342"/>
      <c r="AL21" s="342"/>
      <c r="AM21" s="342"/>
      <c r="AN21" s="342"/>
      <c r="AO21" s="343"/>
      <c r="AP21" s="351"/>
      <c r="AQ21" s="351"/>
      <c r="AR21" s="351"/>
      <c r="AS21" s="351"/>
      <c r="AT21" s="351"/>
      <c r="AU21" s="351"/>
      <c r="AV21" s="351"/>
      <c r="AW21" s="351"/>
      <c r="AX21" s="351"/>
      <c r="AY21" s="9"/>
    </row>
    <row r="22" spans="2:51" ht="6.95" customHeight="1" x14ac:dyDescent="0.2">
      <c r="B22" s="7"/>
      <c r="C22" s="318"/>
      <c r="D22" s="318"/>
      <c r="E22" s="318"/>
      <c r="F22" s="318"/>
      <c r="G22" s="318"/>
      <c r="H22" s="328"/>
      <c r="I22" s="326"/>
      <c r="J22" s="326"/>
      <c r="K22" s="326"/>
      <c r="L22" s="326"/>
      <c r="M22" s="326"/>
      <c r="N22" s="327"/>
      <c r="O22" s="328"/>
      <c r="P22" s="326"/>
      <c r="Q22" s="326"/>
      <c r="R22" s="326"/>
      <c r="S22" s="326"/>
      <c r="T22" s="326"/>
      <c r="U22" s="327"/>
      <c r="V22" s="328"/>
      <c r="W22" s="326"/>
      <c r="X22" s="326"/>
      <c r="Y22" s="326"/>
      <c r="Z22" s="326"/>
      <c r="AA22" s="326"/>
      <c r="AB22" s="327"/>
      <c r="AC22" s="328"/>
      <c r="AD22" s="326"/>
      <c r="AE22" s="326"/>
      <c r="AF22" s="326"/>
      <c r="AG22" s="326"/>
      <c r="AH22" s="326"/>
      <c r="AI22" s="327"/>
      <c r="AJ22" s="341"/>
      <c r="AK22" s="342"/>
      <c r="AL22" s="342"/>
      <c r="AM22" s="342"/>
      <c r="AN22" s="342"/>
      <c r="AO22" s="343"/>
      <c r="AP22" s="351"/>
      <c r="AQ22" s="351"/>
      <c r="AR22" s="351"/>
      <c r="AS22" s="351"/>
      <c r="AT22" s="351"/>
      <c r="AU22" s="351"/>
      <c r="AV22" s="351"/>
      <c r="AW22" s="351"/>
      <c r="AX22" s="351"/>
      <c r="AY22" s="9"/>
    </row>
    <row r="23" spans="2:51" ht="11.45" customHeight="1" x14ac:dyDescent="0.2">
      <c r="B23" s="7"/>
      <c r="C23" s="360" t="s">
        <v>4107</v>
      </c>
      <c r="D23" s="360"/>
      <c r="E23" s="360"/>
      <c r="F23" s="360"/>
      <c r="G23" s="360"/>
      <c r="H23" s="329" t="str">
        <f>LISTAS!AP19</f>
        <v>PAT.</v>
      </c>
      <c r="I23" s="330"/>
      <c r="J23" s="330"/>
      <c r="K23" s="330"/>
      <c r="L23" s="330"/>
      <c r="M23" s="330"/>
      <c r="N23" s="330"/>
      <c r="O23" s="329" t="str">
        <f>LISTAS!AQ19</f>
        <v>Plan de Trabajo del PEAI. PCI.</v>
      </c>
      <c r="P23" s="330"/>
      <c r="Q23" s="330"/>
      <c r="R23" s="330"/>
      <c r="S23" s="330"/>
      <c r="T23" s="330"/>
      <c r="U23" s="330"/>
      <c r="V23" s="329" t="str">
        <f>LISTAS!AR19</f>
        <v>PAT.</v>
      </c>
      <c r="W23" s="330"/>
      <c r="X23" s="330"/>
      <c r="Y23" s="330"/>
      <c r="Z23" s="330"/>
      <c r="AA23" s="330"/>
      <c r="AB23" s="330"/>
      <c r="AC23" s="329" t="str">
        <f>LISTAS!AS19</f>
        <v>Documentos administrativos: Cartas, Oficios, Memo. Actas, Convenios, Acuerdos.</v>
      </c>
      <c r="AD23" s="330"/>
      <c r="AE23" s="330"/>
      <c r="AF23" s="330"/>
      <c r="AG23" s="330"/>
      <c r="AH23" s="330"/>
      <c r="AI23" s="330"/>
      <c r="AJ23" s="344"/>
      <c r="AK23" s="345"/>
      <c r="AL23" s="345"/>
      <c r="AM23" s="345"/>
      <c r="AN23" s="345"/>
      <c r="AO23" s="346"/>
      <c r="AP23" s="329" t="s">
        <v>3721</v>
      </c>
      <c r="AQ23" s="329"/>
      <c r="AR23" s="329"/>
      <c r="AS23" s="329"/>
      <c r="AT23" s="329"/>
      <c r="AU23" s="329"/>
      <c r="AV23" s="329"/>
      <c r="AW23" s="329"/>
      <c r="AX23" s="329"/>
      <c r="AY23" s="9"/>
    </row>
    <row r="24" spans="2:51" ht="11.45" customHeight="1" x14ac:dyDescent="0.2">
      <c r="B24" s="7"/>
      <c r="C24" s="361"/>
      <c r="D24" s="361"/>
      <c r="E24" s="361"/>
      <c r="F24" s="361"/>
      <c r="G24" s="361"/>
      <c r="H24" s="331"/>
      <c r="I24" s="332"/>
      <c r="J24" s="332"/>
      <c r="K24" s="332"/>
      <c r="L24" s="332"/>
      <c r="M24" s="332"/>
      <c r="N24" s="332"/>
      <c r="O24" s="331"/>
      <c r="P24" s="332"/>
      <c r="Q24" s="332"/>
      <c r="R24" s="332"/>
      <c r="S24" s="332"/>
      <c r="T24" s="332"/>
      <c r="U24" s="332"/>
      <c r="V24" s="331"/>
      <c r="W24" s="332"/>
      <c r="X24" s="332"/>
      <c r="Y24" s="332"/>
      <c r="Z24" s="332"/>
      <c r="AA24" s="332"/>
      <c r="AB24" s="332"/>
      <c r="AC24" s="331"/>
      <c r="AD24" s="332"/>
      <c r="AE24" s="332"/>
      <c r="AF24" s="332"/>
      <c r="AG24" s="332"/>
      <c r="AH24" s="332"/>
      <c r="AI24" s="332"/>
      <c r="AJ24" s="344"/>
      <c r="AK24" s="345"/>
      <c r="AL24" s="345"/>
      <c r="AM24" s="345"/>
      <c r="AN24" s="345"/>
      <c r="AO24" s="346"/>
      <c r="AP24" s="331"/>
      <c r="AQ24" s="331"/>
      <c r="AR24" s="331"/>
      <c r="AS24" s="331"/>
      <c r="AT24" s="331"/>
      <c r="AU24" s="331"/>
      <c r="AV24" s="331"/>
      <c r="AW24" s="331"/>
      <c r="AX24" s="331"/>
      <c r="AY24" s="9"/>
    </row>
    <row r="25" spans="2:51" ht="11.45" customHeight="1" x14ac:dyDescent="0.2">
      <c r="B25" s="7"/>
      <c r="C25" s="361"/>
      <c r="D25" s="361"/>
      <c r="E25" s="361"/>
      <c r="F25" s="361"/>
      <c r="G25" s="361"/>
      <c r="H25" s="331"/>
      <c r="I25" s="332"/>
      <c r="J25" s="332"/>
      <c r="K25" s="332"/>
      <c r="L25" s="332"/>
      <c r="M25" s="332"/>
      <c r="N25" s="332"/>
      <c r="O25" s="331"/>
      <c r="P25" s="332"/>
      <c r="Q25" s="332"/>
      <c r="R25" s="332"/>
      <c r="S25" s="332"/>
      <c r="T25" s="332"/>
      <c r="U25" s="332"/>
      <c r="V25" s="331"/>
      <c r="W25" s="332"/>
      <c r="X25" s="332"/>
      <c r="Y25" s="332"/>
      <c r="Z25" s="332"/>
      <c r="AA25" s="332"/>
      <c r="AB25" s="332"/>
      <c r="AC25" s="331"/>
      <c r="AD25" s="332"/>
      <c r="AE25" s="332"/>
      <c r="AF25" s="332"/>
      <c r="AG25" s="332"/>
      <c r="AH25" s="332"/>
      <c r="AI25" s="332"/>
      <c r="AJ25" s="344"/>
      <c r="AK25" s="345"/>
      <c r="AL25" s="345"/>
      <c r="AM25" s="345"/>
      <c r="AN25" s="345"/>
      <c r="AO25" s="346"/>
      <c r="AP25" s="331"/>
      <c r="AQ25" s="331"/>
      <c r="AR25" s="331"/>
      <c r="AS25" s="331"/>
      <c r="AT25" s="331"/>
      <c r="AU25" s="331"/>
      <c r="AV25" s="331"/>
      <c r="AW25" s="331"/>
      <c r="AX25" s="331"/>
      <c r="AY25" s="9"/>
    </row>
    <row r="26" spans="2:51" ht="11.45" customHeight="1" x14ac:dyDescent="0.2">
      <c r="B26" s="7"/>
      <c r="C26" s="362"/>
      <c r="D26" s="362"/>
      <c r="E26" s="362"/>
      <c r="F26" s="362"/>
      <c r="G26" s="362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3"/>
      <c r="AC26" s="333"/>
      <c r="AD26" s="333"/>
      <c r="AE26" s="333"/>
      <c r="AF26" s="333"/>
      <c r="AG26" s="333"/>
      <c r="AH26" s="333"/>
      <c r="AI26" s="333"/>
      <c r="AJ26" s="347"/>
      <c r="AK26" s="348"/>
      <c r="AL26" s="348"/>
      <c r="AM26" s="348"/>
      <c r="AN26" s="348"/>
      <c r="AO26" s="349"/>
      <c r="AP26" s="352"/>
      <c r="AQ26" s="352"/>
      <c r="AR26" s="352"/>
      <c r="AS26" s="352"/>
      <c r="AT26" s="352"/>
      <c r="AU26" s="352"/>
      <c r="AV26" s="352"/>
      <c r="AW26" s="352"/>
      <c r="AX26" s="352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55"/>
      <c r="D28" s="56"/>
      <c r="E28" s="56"/>
      <c r="F28" s="56"/>
      <c r="G28" s="56"/>
      <c r="H28" s="57"/>
      <c r="I28" s="58"/>
      <c r="J28" s="58"/>
      <c r="K28" s="58"/>
      <c r="L28" s="58"/>
      <c r="M28" s="58"/>
      <c r="N28" s="48"/>
      <c r="O28" s="57"/>
      <c r="P28" s="58"/>
      <c r="Q28" s="58"/>
      <c r="R28" s="58"/>
      <c r="S28" s="58"/>
      <c r="T28" s="58"/>
      <c r="U28" s="48"/>
      <c r="V28" s="57"/>
      <c r="W28" s="58"/>
      <c r="X28" s="58"/>
      <c r="Y28" s="58"/>
      <c r="Z28" s="58"/>
      <c r="AA28" s="58"/>
      <c r="AB28" s="48"/>
      <c r="AC28" s="57"/>
      <c r="AD28" s="58"/>
      <c r="AE28" s="58"/>
      <c r="AF28" s="58"/>
      <c r="AG28" s="58"/>
      <c r="AH28" s="58"/>
      <c r="AI28" s="48"/>
      <c r="AJ28" s="59"/>
      <c r="AK28" s="60"/>
      <c r="AL28" s="60"/>
      <c r="AM28" s="60"/>
      <c r="AN28" s="60"/>
      <c r="AO28" s="61"/>
      <c r="AP28" s="62"/>
      <c r="AQ28" s="63"/>
      <c r="AR28" s="63"/>
      <c r="AS28" s="63"/>
      <c r="AT28" s="63"/>
      <c r="AU28" s="63"/>
      <c r="AV28" s="63"/>
      <c r="AW28" s="63"/>
      <c r="AX28" s="63"/>
      <c r="AY28" s="9"/>
    </row>
    <row r="29" spans="2:51" ht="11.45" customHeight="1" x14ac:dyDescent="0.2">
      <c r="B29" s="7"/>
      <c r="C29" s="56"/>
      <c r="D29" s="56"/>
      <c r="E29" s="56"/>
      <c r="F29" s="56"/>
      <c r="G29" s="56"/>
      <c r="H29" s="64"/>
      <c r="I29" s="58"/>
      <c r="J29" s="58"/>
      <c r="K29" s="58"/>
      <c r="L29" s="58"/>
      <c r="M29" s="58"/>
      <c r="N29" s="48"/>
      <c r="O29" s="64"/>
      <c r="P29" s="58"/>
      <c r="Q29" s="58"/>
      <c r="R29" s="58"/>
      <c r="S29" s="58"/>
      <c r="T29" s="58"/>
      <c r="U29" s="48"/>
      <c r="V29" s="64"/>
      <c r="W29" s="58"/>
      <c r="X29" s="58"/>
      <c r="Y29" s="58"/>
      <c r="Z29" s="58"/>
      <c r="AA29" s="58"/>
      <c r="AB29" s="48"/>
      <c r="AC29" s="64"/>
      <c r="AD29" s="58"/>
      <c r="AE29" s="58"/>
      <c r="AF29" s="58"/>
      <c r="AG29" s="58"/>
      <c r="AH29" s="58"/>
      <c r="AI29" s="48"/>
      <c r="AJ29" s="65"/>
      <c r="AK29" s="66"/>
      <c r="AL29" s="66"/>
      <c r="AM29" s="66"/>
      <c r="AN29" s="66"/>
      <c r="AO29" s="67"/>
      <c r="AP29" s="63"/>
      <c r="AQ29" s="63"/>
      <c r="AR29" s="63"/>
      <c r="AS29" s="63"/>
      <c r="AT29" s="63"/>
      <c r="AU29" s="63"/>
      <c r="AV29" s="63"/>
      <c r="AW29" s="63"/>
      <c r="AX29" s="63"/>
      <c r="AY29" s="9"/>
    </row>
    <row r="30" spans="2:51" ht="11.45" customHeight="1" x14ac:dyDescent="0.2">
      <c r="B30" s="7"/>
      <c r="C30" s="56"/>
      <c r="D30" s="56"/>
      <c r="E30" s="56"/>
      <c r="F30" s="56"/>
      <c r="G30" s="56"/>
      <c r="H30" s="64"/>
      <c r="I30" s="58"/>
      <c r="J30" s="58"/>
      <c r="K30" s="58"/>
      <c r="L30" s="58"/>
      <c r="M30" s="58"/>
      <c r="N30" s="48"/>
      <c r="O30" s="64"/>
      <c r="P30" s="58"/>
      <c r="Q30" s="58"/>
      <c r="R30" s="58"/>
      <c r="S30" s="58"/>
      <c r="T30" s="58"/>
      <c r="U30" s="48"/>
      <c r="V30" s="64"/>
      <c r="W30" s="58"/>
      <c r="X30" s="58"/>
      <c r="Y30" s="58"/>
      <c r="Z30" s="58"/>
      <c r="AA30" s="58"/>
      <c r="AB30" s="48"/>
      <c r="AC30" s="64"/>
      <c r="AD30" s="58"/>
      <c r="AE30" s="58"/>
      <c r="AF30" s="58"/>
      <c r="AG30" s="58"/>
      <c r="AH30" s="58"/>
      <c r="AI30" s="48"/>
      <c r="AJ30" s="65"/>
      <c r="AK30" s="66"/>
      <c r="AL30" s="66"/>
      <c r="AM30" s="66"/>
      <c r="AN30" s="66"/>
      <c r="AO30" s="67"/>
      <c r="AP30" s="63"/>
      <c r="AQ30" s="63"/>
      <c r="AR30" s="63"/>
      <c r="AS30" s="63"/>
      <c r="AT30" s="63"/>
      <c r="AU30" s="63"/>
      <c r="AV30" s="63"/>
      <c r="AW30" s="63"/>
      <c r="AX30" s="63"/>
      <c r="AY30" s="9"/>
    </row>
    <row r="31" spans="2:51" ht="11.45" customHeight="1" x14ac:dyDescent="0.2">
      <c r="B31" s="7"/>
      <c r="C31" s="56"/>
      <c r="D31" s="56"/>
      <c r="E31" s="56"/>
      <c r="F31" s="56"/>
      <c r="G31" s="56"/>
      <c r="H31" s="64"/>
      <c r="I31" s="58"/>
      <c r="J31" s="58"/>
      <c r="K31" s="58"/>
      <c r="L31" s="58"/>
      <c r="M31" s="58"/>
      <c r="N31" s="48"/>
      <c r="O31" s="64"/>
      <c r="P31" s="58"/>
      <c r="Q31" s="58"/>
      <c r="R31" s="58"/>
      <c r="S31" s="58"/>
      <c r="T31" s="58"/>
      <c r="U31" s="48"/>
      <c r="V31" s="64"/>
      <c r="W31" s="58"/>
      <c r="X31" s="58"/>
      <c r="Y31" s="58"/>
      <c r="Z31" s="58"/>
      <c r="AA31" s="58"/>
      <c r="AB31" s="48"/>
      <c r="AC31" s="64"/>
      <c r="AD31" s="58"/>
      <c r="AE31" s="58"/>
      <c r="AF31" s="58"/>
      <c r="AG31" s="58"/>
      <c r="AH31" s="58"/>
      <c r="AI31" s="48"/>
      <c r="AJ31" s="65"/>
      <c r="AK31" s="66"/>
      <c r="AL31" s="66"/>
      <c r="AM31" s="66"/>
      <c r="AN31" s="66"/>
      <c r="AO31" s="67"/>
      <c r="AP31" s="63"/>
      <c r="AQ31" s="63"/>
      <c r="AR31" s="63"/>
      <c r="AS31" s="63"/>
      <c r="AT31" s="63"/>
      <c r="AU31" s="63"/>
      <c r="AV31" s="63"/>
      <c r="AW31" s="63"/>
      <c r="AX31" s="63"/>
      <c r="AY31" s="9"/>
    </row>
    <row r="32" spans="2:51" ht="11.45" customHeight="1" x14ac:dyDescent="0.2">
      <c r="B32" s="7"/>
      <c r="C32" s="56"/>
      <c r="D32" s="56"/>
      <c r="E32" s="56"/>
      <c r="F32" s="56"/>
      <c r="G32" s="56"/>
      <c r="H32" s="64"/>
      <c r="I32" s="58"/>
      <c r="J32" s="58"/>
      <c r="K32" s="58"/>
      <c r="L32" s="58"/>
      <c r="M32" s="58"/>
      <c r="N32" s="48"/>
      <c r="O32" s="64"/>
      <c r="P32" s="58"/>
      <c r="Q32" s="58"/>
      <c r="R32" s="58"/>
      <c r="S32" s="58"/>
      <c r="T32" s="58"/>
      <c r="U32" s="48"/>
      <c r="V32" s="64"/>
      <c r="W32" s="58"/>
      <c r="X32" s="58"/>
      <c r="Y32" s="58"/>
      <c r="Z32" s="58"/>
      <c r="AA32" s="58"/>
      <c r="AB32" s="48"/>
      <c r="AC32" s="64"/>
      <c r="AD32" s="58"/>
      <c r="AE32" s="58"/>
      <c r="AF32" s="58"/>
      <c r="AG32" s="58"/>
      <c r="AH32" s="58"/>
      <c r="AI32" s="48"/>
      <c r="AJ32" s="65"/>
      <c r="AK32" s="66"/>
      <c r="AL32" s="66"/>
      <c r="AM32" s="66"/>
      <c r="AN32" s="66"/>
      <c r="AO32" s="67"/>
      <c r="AP32" s="63"/>
      <c r="AQ32" s="63"/>
      <c r="AR32" s="63"/>
      <c r="AS32" s="63"/>
      <c r="AT32" s="63"/>
      <c r="AU32" s="63"/>
      <c r="AV32" s="63"/>
      <c r="AW32" s="63"/>
      <c r="AX32" s="63"/>
      <c r="AY32" s="9"/>
    </row>
    <row r="33" spans="2:51" ht="11.45" customHeight="1" x14ac:dyDescent="0.2">
      <c r="B33" s="7"/>
      <c r="C33" s="56"/>
      <c r="D33" s="56"/>
      <c r="E33" s="56"/>
      <c r="F33" s="56"/>
      <c r="G33" s="56"/>
      <c r="H33" s="64"/>
      <c r="I33" s="58"/>
      <c r="J33" s="58"/>
      <c r="K33" s="58"/>
      <c r="L33" s="58"/>
      <c r="M33" s="58"/>
      <c r="N33" s="48"/>
      <c r="O33" s="64"/>
      <c r="P33" s="58"/>
      <c r="Q33" s="58"/>
      <c r="R33" s="58"/>
      <c r="S33" s="58"/>
      <c r="T33" s="58"/>
      <c r="U33" s="48"/>
      <c r="V33" s="64"/>
      <c r="W33" s="58"/>
      <c r="X33" s="58"/>
      <c r="Y33" s="58"/>
      <c r="Z33" s="58"/>
      <c r="AA33" s="58"/>
      <c r="AB33" s="48"/>
      <c r="AC33" s="64"/>
      <c r="AD33" s="58"/>
      <c r="AE33" s="58"/>
      <c r="AF33" s="58"/>
      <c r="AG33" s="58"/>
      <c r="AH33" s="58"/>
      <c r="AI33" s="48"/>
      <c r="AJ33" s="65"/>
      <c r="AK33" s="66"/>
      <c r="AL33" s="66"/>
      <c r="AM33" s="66"/>
      <c r="AN33" s="66"/>
      <c r="AO33" s="67"/>
      <c r="AP33" s="63"/>
      <c r="AQ33" s="63"/>
      <c r="AR33" s="63"/>
      <c r="AS33" s="63"/>
      <c r="AT33" s="63"/>
      <c r="AU33" s="63"/>
      <c r="AV33" s="63"/>
      <c r="AW33" s="63"/>
      <c r="AX33" s="63"/>
      <c r="AY33" s="9"/>
    </row>
    <row r="34" spans="2:51" ht="11.45" customHeight="1" x14ac:dyDescent="0.2">
      <c r="B34" s="7"/>
      <c r="C34" s="56"/>
      <c r="D34" s="56"/>
      <c r="E34" s="56"/>
      <c r="F34" s="56"/>
      <c r="G34" s="56"/>
      <c r="H34" s="64"/>
      <c r="I34" s="58"/>
      <c r="J34" s="58"/>
      <c r="K34" s="58"/>
      <c r="L34" s="58"/>
      <c r="M34" s="58"/>
      <c r="N34" s="48"/>
      <c r="O34" s="64"/>
      <c r="P34" s="58"/>
      <c r="Q34" s="58"/>
      <c r="R34" s="58"/>
      <c r="S34" s="58"/>
      <c r="T34" s="58"/>
      <c r="U34" s="48"/>
      <c r="V34" s="64"/>
      <c r="W34" s="58"/>
      <c r="X34" s="58"/>
      <c r="Y34" s="58"/>
      <c r="Z34" s="58"/>
      <c r="AA34" s="58"/>
      <c r="AB34" s="48"/>
      <c r="AC34" s="64"/>
      <c r="AD34" s="58"/>
      <c r="AE34" s="58"/>
      <c r="AF34" s="58"/>
      <c r="AG34" s="58"/>
      <c r="AH34" s="58"/>
      <c r="AI34" s="48"/>
      <c r="AJ34" s="65"/>
      <c r="AK34" s="66"/>
      <c r="AL34" s="66"/>
      <c r="AM34" s="66"/>
      <c r="AN34" s="66"/>
      <c r="AO34" s="67"/>
      <c r="AP34" s="63"/>
      <c r="AQ34" s="63"/>
      <c r="AR34" s="63"/>
      <c r="AS34" s="63"/>
      <c r="AT34" s="63"/>
      <c r="AU34" s="63"/>
      <c r="AV34" s="63"/>
      <c r="AW34" s="63"/>
      <c r="AX34" s="63"/>
      <c r="AY34" s="9"/>
    </row>
    <row r="35" spans="2:51" ht="25.5" customHeight="1" x14ac:dyDescent="0.2">
      <c r="B35" s="7"/>
      <c r="C35" s="56"/>
      <c r="D35" s="56"/>
      <c r="E35" s="56"/>
      <c r="F35" s="56"/>
      <c r="G35" s="56"/>
      <c r="H35" s="64"/>
      <c r="I35" s="58"/>
      <c r="J35" s="58"/>
      <c r="K35" s="58"/>
      <c r="L35" s="58"/>
      <c r="M35" s="58"/>
      <c r="N35" s="48"/>
      <c r="O35" s="64"/>
      <c r="P35" s="58"/>
      <c r="Q35" s="58"/>
      <c r="R35" s="58"/>
      <c r="S35" s="58"/>
      <c r="T35" s="58"/>
      <c r="U35" s="48"/>
      <c r="V35" s="64"/>
      <c r="W35" s="58"/>
      <c r="X35" s="58"/>
      <c r="Y35" s="58"/>
      <c r="Z35" s="58"/>
      <c r="AA35" s="58"/>
      <c r="AB35" s="48"/>
      <c r="AC35" s="64"/>
      <c r="AD35" s="58"/>
      <c r="AE35" s="58"/>
      <c r="AF35" s="58"/>
      <c r="AG35" s="58"/>
      <c r="AH35" s="58"/>
      <c r="AI35" s="48"/>
      <c r="AJ35" s="65"/>
      <c r="AK35" s="66"/>
      <c r="AL35" s="66"/>
      <c r="AM35" s="66"/>
      <c r="AN35" s="66"/>
      <c r="AO35" s="67"/>
      <c r="AP35" s="63"/>
      <c r="AQ35" s="63"/>
      <c r="AR35" s="63"/>
      <c r="AS35" s="63"/>
      <c r="AT35" s="63"/>
      <c r="AU35" s="63"/>
      <c r="AV35" s="63"/>
      <c r="AW35" s="63"/>
      <c r="AX35" s="63"/>
      <c r="AY35" s="9"/>
    </row>
    <row r="36" spans="2:51" ht="6.95" customHeight="1" x14ac:dyDescent="0.2">
      <c r="B36" s="7"/>
      <c r="C36" s="56"/>
      <c r="D36" s="56"/>
      <c r="E36" s="56"/>
      <c r="F36" s="56"/>
      <c r="G36" s="56"/>
      <c r="H36" s="68"/>
      <c r="I36" s="69"/>
      <c r="J36" s="69"/>
      <c r="K36" s="69"/>
      <c r="L36" s="69"/>
      <c r="M36" s="69"/>
      <c r="N36" s="49"/>
      <c r="O36" s="68"/>
      <c r="P36" s="69"/>
      <c r="Q36" s="69"/>
      <c r="R36" s="69"/>
      <c r="S36" s="69"/>
      <c r="T36" s="69"/>
      <c r="U36" s="49"/>
      <c r="V36" s="68"/>
      <c r="W36" s="69"/>
      <c r="X36" s="69"/>
      <c r="Y36" s="69"/>
      <c r="Z36" s="69"/>
      <c r="AA36" s="69"/>
      <c r="AB36" s="49"/>
      <c r="AC36" s="68"/>
      <c r="AD36" s="69"/>
      <c r="AE36" s="69"/>
      <c r="AF36" s="69"/>
      <c r="AG36" s="69"/>
      <c r="AH36" s="69"/>
      <c r="AI36" s="49"/>
      <c r="AJ36" s="65"/>
      <c r="AK36" s="66"/>
      <c r="AL36" s="66"/>
      <c r="AM36" s="66"/>
      <c r="AN36" s="66"/>
      <c r="AO36" s="67"/>
      <c r="AP36" s="63"/>
      <c r="AQ36" s="63"/>
      <c r="AR36" s="63"/>
      <c r="AS36" s="63"/>
      <c r="AT36" s="63"/>
      <c r="AU36" s="63"/>
      <c r="AV36" s="63"/>
      <c r="AW36" s="63"/>
      <c r="AX36" s="63"/>
      <c r="AY36" s="9"/>
    </row>
    <row r="37" spans="2:51" ht="6.95" customHeight="1" x14ac:dyDescent="0.2">
      <c r="B37" s="7"/>
      <c r="C37" s="56"/>
      <c r="D37" s="56"/>
      <c r="E37" s="56"/>
      <c r="F37" s="56"/>
      <c r="G37" s="56"/>
      <c r="H37" s="70"/>
      <c r="I37" s="69"/>
      <c r="J37" s="69"/>
      <c r="K37" s="69"/>
      <c r="L37" s="69"/>
      <c r="M37" s="69"/>
      <c r="N37" s="49"/>
      <c r="O37" s="70"/>
      <c r="P37" s="69"/>
      <c r="Q37" s="69"/>
      <c r="R37" s="69"/>
      <c r="S37" s="69"/>
      <c r="T37" s="69"/>
      <c r="U37" s="49"/>
      <c r="V37" s="70"/>
      <c r="W37" s="69"/>
      <c r="X37" s="69"/>
      <c r="Y37" s="69"/>
      <c r="Z37" s="69"/>
      <c r="AA37" s="69"/>
      <c r="AB37" s="49"/>
      <c r="AC37" s="70"/>
      <c r="AD37" s="69"/>
      <c r="AE37" s="69"/>
      <c r="AF37" s="69"/>
      <c r="AG37" s="69"/>
      <c r="AH37" s="69"/>
      <c r="AI37" s="49"/>
      <c r="AJ37" s="65"/>
      <c r="AK37" s="66"/>
      <c r="AL37" s="66"/>
      <c r="AM37" s="66"/>
      <c r="AN37" s="66"/>
      <c r="AO37" s="67"/>
      <c r="AP37" s="63"/>
      <c r="AQ37" s="63"/>
      <c r="AR37" s="63"/>
      <c r="AS37" s="63"/>
      <c r="AT37" s="63"/>
      <c r="AU37" s="63"/>
      <c r="AV37" s="63"/>
      <c r="AW37" s="63"/>
      <c r="AX37" s="63"/>
      <c r="AY37" s="9"/>
    </row>
    <row r="38" spans="2:51" ht="11.45" customHeight="1" x14ac:dyDescent="0.2">
      <c r="B38" s="7"/>
      <c r="C38" s="71"/>
      <c r="D38" s="71"/>
      <c r="E38" s="71"/>
      <c r="F38" s="71"/>
      <c r="G38" s="71"/>
      <c r="H38" s="72"/>
      <c r="I38" s="73"/>
      <c r="J38" s="73"/>
      <c r="K38" s="73"/>
      <c r="L38" s="73"/>
      <c r="M38" s="73"/>
      <c r="N38" s="73"/>
      <c r="O38" s="72"/>
      <c r="P38" s="73"/>
      <c r="Q38" s="73"/>
      <c r="R38" s="73"/>
      <c r="S38" s="73"/>
      <c r="T38" s="73"/>
      <c r="U38" s="73"/>
      <c r="V38" s="72"/>
      <c r="W38" s="73"/>
      <c r="X38" s="73"/>
      <c r="Y38" s="73"/>
      <c r="Z38" s="73"/>
      <c r="AA38" s="73"/>
      <c r="AB38" s="73"/>
      <c r="AC38" s="72"/>
      <c r="AD38" s="73"/>
      <c r="AE38" s="73"/>
      <c r="AF38" s="73"/>
      <c r="AG38" s="73"/>
      <c r="AH38" s="73"/>
      <c r="AI38" s="73"/>
      <c r="AJ38" s="74"/>
      <c r="AK38" s="75"/>
      <c r="AL38" s="75"/>
      <c r="AM38" s="75"/>
      <c r="AN38" s="75"/>
      <c r="AO38" s="76"/>
      <c r="AP38" s="72"/>
      <c r="AQ38" s="72"/>
      <c r="AR38" s="72"/>
      <c r="AS38" s="72"/>
      <c r="AT38" s="72"/>
      <c r="AU38" s="72"/>
      <c r="AV38" s="72"/>
      <c r="AW38" s="72"/>
      <c r="AX38" s="72"/>
      <c r="AY38" s="9"/>
    </row>
    <row r="39" spans="2:51" ht="11.45" customHeight="1" x14ac:dyDescent="0.2">
      <c r="B39" s="7"/>
      <c r="C39" s="77"/>
      <c r="D39" s="77"/>
      <c r="E39" s="77"/>
      <c r="F39" s="77"/>
      <c r="G39" s="77"/>
      <c r="H39" s="78"/>
      <c r="I39" s="79"/>
      <c r="J39" s="79"/>
      <c r="K39" s="79"/>
      <c r="L39" s="79"/>
      <c r="M39" s="79"/>
      <c r="N39" s="79"/>
      <c r="O39" s="78"/>
      <c r="P39" s="79"/>
      <c r="Q39" s="79"/>
      <c r="R39" s="79"/>
      <c r="S39" s="79"/>
      <c r="T39" s="79"/>
      <c r="U39" s="79"/>
      <c r="V39" s="78"/>
      <c r="W39" s="79"/>
      <c r="X39" s="79"/>
      <c r="Y39" s="79"/>
      <c r="Z39" s="79"/>
      <c r="AA39" s="79"/>
      <c r="AB39" s="79"/>
      <c r="AC39" s="78"/>
      <c r="AD39" s="79"/>
      <c r="AE39" s="79"/>
      <c r="AF39" s="79"/>
      <c r="AG39" s="79"/>
      <c r="AH39" s="79"/>
      <c r="AI39" s="79"/>
      <c r="AJ39" s="74"/>
      <c r="AK39" s="75"/>
      <c r="AL39" s="75"/>
      <c r="AM39" s="75"/>
      <c r="AN39" s="75"/>
      <c r="AO39" s="76"/>
      <c r="AP39" s="78"/>
      <c r="AQ39" s="78"/>
      <c r="AR39" s="78"/>
      <c r="AS39" s="78"/>
      <c r="AT39" s="78"/>
      <c r="AU39" s="78"/>
      <c r="AV39" s="78"/>
      <c r="AW39" s="78"/>
      <c r="AX39" s="78"/>
      <c r="AY39" s="9"/>
    </row>
    <row r="40" spans="2:51" ht="11.45" customHeight="1" x14ac:dyDescent="0.2">
      <c r="B40" s="7"/>
      <c r="C40" s="77"/>
      <c r="D40" s="77"/>
      <c r="E40" s="77"/>
      <c r="F40" s="77"/>
      <c r="G40" s="77"/>
      <c r="H40" s="78"/>
      <c r="I40" s="79"/>
      <c r="J40" s="79"/>
      <c r="K40" s="79"/>
      <c r="L40" s="79"/>
      <c r="M40" s="79"/>
      <c r="N40" s="79"/>
      <c r="O40" s="78"/>
      <c r="P40" s="79"/>
      <c r="Q40" s="79"/>
      <c r="R40" s="79"/>
      <c r="S40" s="79"/>
      <c r="T40" s="79"/>
      <c r="U40" s="79"/>
      <c r="V40" s="78"/>
      <c r="W40" s="79"/>
      <c r="X40" s="79"/>
      <c r="Y40" s="79"/>
      <c r="Z40" s="79"/>
      <c r="AA40" s="79"/>
      <c r="AB40" s="79"/>
      <c r="AC40" s="78"/>
      <c r="AD40" s="79"/>
      <c r="AE40" s="79"/>
      <c r="AF40" s="79"/>
      <c r="AG40" s="79"/>
      <c r="AH40" s="79"/>
      <c r="AI40" s="79"/>
      <c r="AJ40" s="74"/>
      <c r="AK40" s="75"/>
      <c r="AL40" s="75"/>
      <c r="AM40" s="75"/>
      <c r="AN40" s="75"/>
      <c r="AO40" s="76"/>
      <c r="AP40" s="78"/>
      <c r="AQ40" s="78"/>
      <c r="AR40" s="78"/>
      <c r="AS40" s="78"/>
      <c r="AT40" s="78"/>
      <c r="AU40" s="78"/>
      <c r="AV40" s="78"/>
      <c r="AW40" s="78"/>
      <c r="AX40" s="78"/>
      <c r="AY40" s="9"/>
    </row>
    <row r="41" spans="2:51" ht="11.45" customHeight="1" x14ac:dyDescent="0.2">
      <c r="B41" s="7"/>
      <c r="C41" s="80"/>
      <c r="D41" s="80"/>
      <c r="E41" s="80"/>
      <c r="F41" s="80"/>
      <c r="G41" s="80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2"/>
      <c r="AK41" s="83"/>
      <c r="AL41" s="83"/>
      <c r="AM41" s="83"/>
      <c r="AN41" s="83"/>
      <c r="AO41" s="84"/>
      <c r="AP41" s="85"/>
      <c r="AQ41" s="85"/>
      <c r="AR41" s="85"/>
      <c r="AS41" s="85"/>
      <c r="AT41" s="85"/>
      <c r="AU41" s="85"/>
      <c r="AV41" s="85"/>
      <c r="AW41" s="85"/>
      <c r="AX41" s="85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0.5" customHeight="1" x14ac:dyDescent="0.2">
      <c r="B43" s="7"/>
      <c r="C43" s="8"/>
      <c r="D43" s="358" t="str">
        <f>REPT(CHAR(73),42*(COUNTIF(H21:AI22,"*")))</f>
        <v/>
      </c>
      <c r="E43" s="359"/>
      <c r="F43" s="359"/>
      <c r="G43" s="359"/>
      <c r="H43" s="359"/>
      <c r="I43" s="359"/>
      <c r="J43" s="359"/>
      <c r="K43" s="359"/>
      <c r="L43" s="359"/>
      <c r="M43" s="359"/>
      <c r="N43" s="359"/>
      <c r="O43" s="359"/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59"/>
      <c r="AC43" s="359"/>
      <c r="AD43" s="155" t="str">
        <f>IF(COUNTIF(H21:AI22,"*")=4,"a","")</f>
        <v/>
      </c>
      <c r="AE43" s="155"/>
      <c r="AF43" s="8"/>
      <c r="AG43" s="370"/>
      <c r="AH43" s="371"/>
      <c r="AI43" s="372"/>
      <c r="AJ43" s="372"/>
      <c r="AK43" s="373"/>
      <c r="AL43" s="8"/>
      <c r="AM43" s="363" t="str">
        <f>"PEAI"</f>
        <v>PEAI</v>
      </c>
      <c r="AN43" s="364"/>
      <c r="AO43" s="365"/>
      <c r="AP43" s="365"/>
      <c r="AQ43" s="366"/>
      <c r="AR43" s="8"/>
      <c r="AS43" s="370"/>
      <c r="AT43" s="371"/>
      <c r="AU43" s="372"/>
      <c r="AV43" s="372"/>
      <c r="AW43" s="373"/>
      <c r="AX43" s="8"/>
      <c r="AY43" s="9"/>
    </row>
    <row r="44" spans="2:51" ht="10.5" customHeight="1" x14ac:dyDescent="0.2">
      <c r="B44" s="7"/>
      <c r="C44" s="8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59"/>
      <c r="AC44" s="359"/>
      <c r="AD44" s="353"/>
      <c r="AE44" s="353"/>
      <c r="AF44" s="8"/>
      <c r="AG44" s="374"/>
      <c r="AH44" s="375"/>
      <c r="AI44" s="375"/>
      <c r="AJ44" s="375"/>
      <c r="AK44" s="376"/>
      <c r="AL44" s="8"/>
      <c r="AM44" s="367"/>
      <c r="AN44" s="368"/>
      <c r="AO44" s="368"/>
      <c r="AP44" s="368"/>
      <c r="AQ44" s="369"/>
      <c r="AR44" s="8"/>
      <c r="AS44" s="374"/>
      <c r="AT44" s="375"/>
      <c r="AU44" s="375"/>
      <c r="AV44" s="375"/>
      <c r="AW44" s="376"/>
      <c r="AX44" s="8"/>
      <c r="AY44" s="9"/>
    </row>
    <row r="45" spans="2:51" ht="3.95" customHeight="1" x14ac:dyDescent="0.2">
      <c r="B45" s="7"/>
      <c r="C45" s="8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39" t="s">
        <v>4176</v>
      </c>
      <c r="D46" s="139"/>
      <c r="E46" s="139" t="s">
        <v>4177</v>
      </c>
      <c r="F46" s="139"/>
      <c r="G46" s="139" t="s">
        <v>4126</v>
      </c>
      <c r="H46" s="139"/>
      <c r="I46" s="139" t="s">
        <v>4178</v>
      </c>
      <c r="J46" s="139"/>
      <c r="K46" s="139" t="s">
        <v>4179</v>
      </c>
      <c r="L46" s="139"/>
      <c r="M46" s="139" t="s">
        <v>4180</v>
      </c>
      <c r="N46" s="139"/>
      <c r="O46" s="139" t="s">
        <v>4181</v>
      </c>
      <c r="P46" s="139"/>
      <c r="Q46" s="139" t="s">
        <v>4182</v>
      </c>
      <c r="R46" s="139"/>
      <c r="S46" s="139" t="s">
        <v>4183</v>
      </c>
      <c r="T46" s="139"/>
      <c r="U46" s="139" t="s">
        <v>4184</v>
      </c>
      <c r="V46" s="139"/>
      <c r="W46" s="139" t="s">
        <v>4185</v>
      </c>
      <c r="X46" s="139"/>
      <c r="Y46" s="139" t="s">
        <v>4186</v>
      </c>
      <c r="Z46" s="139"/>
      <c r="AA46" s="139" t="s">
        <v>1780</v>
      </c>
      <c r="AB46" s="139"/>
      <c r="AC46" s="139" t="s">
        <v>4187</v>
      </c>
      <c r="AD46" s="139"/>
      <c r="AE46" s="139" t="s">
        <v>1781</v>
      </c>
      <c r="AF46" s="139"/>
      <c r="AG46" s="139" t="s">
        <v>4188</v>
      </c>
      <c r="AH46" s="139"/>
      <c r="AI46" s="139" t="s">
        <v>4189</v>
      </c>
      <c r="AJ46" s="139"/>
      <c r="AK46" s="139" t="s">
        <v>4190</v>
      </c>
      <c r="AL46" s="139"/>
      <c r="AM46" s="139" t="s">
        <v>4191</v>
      </c>
      <c r="AN46" s="139"/>
      <c r="AO46" s="139" t="s">
        <v>4192</v>
      </c>
      <c r="AP46" s="139"/>
      <c r="AQ46" s="139" t="s">
        <v>4176</v>
      </c>
      <c r="AR46" s="139"/>
      <c r="AS46" s="139" t="s">
        <v>4177</v>
      </c>
      <c r="AT46" s="139"/>
      <c r="AU46" s="139" t="s">
        <v>4126</v>
      </c>
      <c r="AV46" s="139"/>
      <c r="AW46" s="139" t="s">
        <v>4178</v>
      </c>
      <c r="AX46" s="139"/>
      <c r="AY46" s="9"/>
    </row>
    <row r="47" spans="2:51" ht="12" customHeight="1" x14ac:dyDescent="0.2">
      <c r="B47" s="7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  <c r="AJ47" s="139"/>
      <c r="AK47" s="139"/>
      <c r="AL47" s="139"/>
      <c r="AM47" s="139"/>
      <c r="AN47" s="139"/>
      <c r="AO47" s="139"/>
      <c r="AP47" s="139"/>
      <c r="AQ47" s="139"/>
      <c r="AR47" s="139"/>
      <c r="AS47" s="139"/>
      <c r="AT47" s="139"/>
      <c r="AU47" s="139"/>
      <c r="AV47" s="139"/>
      <c r="AW47" s="139"/>
      <c r="AX47" s="139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IF('MOD1'!$AY$49="","",'MOD1'!$AY$49)</f>
        <v>*Equipo de Gestión de la Información - EBR - Ministerio de Educación</v>
      </c>
    </row>
  </sheetData>
  <sheetProtection algorithmName="SHA-512" hashValue="0jmNVNIgrE+dP2mKtEPhrLsLq6zNL0B0vrazoljS62MkGhxUQAVF9UdIXzpVQZewkn01LHVCu76bv10/tLE4SQ==" saltValue="T2qIUChHdQs5r1qBUTeakw==" spinCount="100000" sheet="1" objects="1" scenarios="1"/>
  <mergeCells count="55"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  <mergeCell ref="C13:G22"/>
    <mergeCell ref="H13:N20"/>
    <mergeCell ref="O13:U20"/>
    <mergeCell ref="V13:AB20"/>
    <mergeCell ref="AC13:AI20"/>
    <mergeCell ref="AP13:AX22"/>
    <mergeCell ref="H21:N22"/>
    <mergeCell ref="O21:U22"/>
    <mergeCell ref="V21:AB22"/>
    <mergeCell ref="AC21:AI22"/>
    <mergeCell ref="AJ13:AO26"/>
    <mergeCell ref="AP23:AX26"/>
    <mergeCell ref="D43:AC44"/>
    <mergeCell ref="AD43:AE44"/>
    <mergeCell ref="AG43:AK44"/>
    <mergeCell ref="AM43:AQ44"/>
    <mergeCell ref="AS43:AW44"/>
    <mergeCell ref="C23:G26"/>
    <mergeCell ref="H23:N26"/>
    <mergeCell ref="O23:U26"/>
    <mergeCell ref="V23:AB26"/>
    <mergeCell ref="AC23:AI26"/>
    <mergeCell ref="Y46:Z47"/>
    <mergeCell ref="C46:D47"/>
    <mergeCell ref="E46:F47"/>
    <mergeCell ref="G46:H47"/>
    <mergeCell ref="I46:J47"/>
    <mergeCell ref="K46:L47"/>
    <mergeCell ref="M46:N47"/>
    <mergeCell ref="O46:P47"/>
    <mergeCell ref="Q46:R47"/>
    <mergeCell ref="S46:T47"/>
    <mergeCell ref="U46:V47"/>
    <mergeCell ref="W46:X47"/>
    <mergeCell ref="AW46:AX47"/>
    <mergeCell ref="AA46:AB47"/>
    <mergeCell ref="AC46:AD47"/>
    <mergeCell ref="AE46:AF47"/>
    <mergeCell ref="AG46:AH47"/>
    <mergeCell ref="AI46:AJ47"/>
    <mergeCell ref="AK46:AL47"/>
    <mergeCell ref="AM46:AN47"/>
    <mergeCell ref="AO46:AP47"/>
    <mergeCell ref="AQ46:AR47"/>
    <mergeCell ref="AS46:AT47"/>
    <mergeCell ref="AU46:AV47"/>
  </mergeCells>
  <conditionalFormatting sqref="AG43:AK44">
    <cfRule type="cellIs" dxfId="71" priority="15" operator="equal">
      <formula>""</formula>
    </cfRule>
  </conditionalFormatting>
  <conditionalFormatting sqref="AS43:AW44">
    <cfRule type="cellIs" dxfId="70" priority="14" operator="equal">
      <formula>""</formula>
    </cfRule>
  </conditionalFormatting>
  <conditionalFormatting sqref="C28:AX41">
    <cfRule type="expression" dxfId="69" priority="13">
      <formula>$C$38=""</formula>
    </cfRule>
  </conditionalFormatting>
  <conditionalFormatting sqref="C23:G26 H21:AI22 AP13:AX26">
    <cfRule type="expression" dxfId="68" priority="12">
      <formula>$C$13=""</formula>
    </cfRule>
  </conditionalFormatting>
  <conditionalFormatting sqref="C13:G22">
    <cfRule type="expression" dxfId="67" priority="8">
      <formula>$C$13=""</formula>
    </cfRule>
  </conditionalFormatting>
  <conditionalFormatting sqref="H13:AI20">
    <cfRule type="expression" dxfId="66" priority="7">
      <formula>$C$13=""</formula>
    </cfRule>
  </conditionalFormatting>
  <conditionalFormatting sqref="H23:AI26">
    <cfRule type="expression" dxfId="65" priority="6">
      <formula>$C$13=""</formula>
    </cfRule>
  </conditionalFormatting>
  <conditionalFormatting sqref="AJ13:AO26">
    <cfRule type="expression" dxfId="64" priority="5">
      <formula>$C$13=""</formula>
    </cfRule>
  </conditionalFormatting>
  <conditionalFormatting sqref="AM43:AQ44">
    <cfRule type="cellIs" dxfId="63" priority="4" operator="equal">
      <formula>"PEAI"</formula>
    </cfRule>
  </conditionalFormatting>
  <conditionalFormatting sqref="C46:AX47">
    <cfRule type="expression" dxfId="62" priority="1">
      <formula>IF(CODE(C46)=38,1,0)</formula>
    </cfRule>
    <cfRule type="expression" dxfId="61" priority="2">
      <formula>IF(CODE(C46)=37,1,0)</formula>
    </cfRule>
    <cfRule type="expression" dxfId="60" priority="3">
      <formula>IF(OR(CODE(C46)=143,CODE(C46)=167,CODE(C46)=168,CODE(C46)=254),1,0)</formula>
    </cfRule>
  </conditionalFormatting>
  <dataValidations count="10">
    <dataValidation allowBlank="1" showInputMessage="1" showErrorMessage="1" promptTitle="Mensaje" prompt="Indicador" sqref="AJ11:AO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Hitos de aplicación del enfoque ambiental" sqref="H11:AE11 H12:M12 O12:T12 V12:AA12 AC12:AH12"/>
    <dataValidation type="list" allowBlank="1" showInputMessage="1" showErrorMessage="1" errorTitle="Mensaje de validación" error="Solo se permite datos de la lista desplegable._x000a__x000a_Intente de nuevo." promptTitle="Seleccionar" prompt="SI o NO" sqref="H21:AI22">
      <formula1>"SI, NO"</formula1>
    </dataValidation>
    <dataValidation allowBlank="1" showInputMessage="1" showErrorMessage="1" promptTitle="Información" prompt="Medios de verificación" sqref="AP23:AX26 C23:AI26"/>
    <dataValidation allowBlank="1" showInputMessage="1" showErrorMessage="1" promptTitle="Información" prompt="Hitos de aplicación" sqref="H13:AI20"/>
    <dataValidation allowBlank="1" showInputMessage="1" showErrorMessage="1" promptTitle="Información" prompt="Indicador de la actividad" sqref="AJ13:AO26"/>
    <dataValidation allowBlank="1" showInputMessage="1" showErrorMessage="1" promptTitle="Información" prompt="Actividad ambiental" sqref="C13:G22"/>
    <dataValidation allowBlank="1" showInputMessage="1" showErrorMessage="1" promptTitle="Ingrese" prompt="Describir principales aspectos que facilitaron que la IIEE llegara a este logro, así como dificultades." sqref="AP13:AX2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7" tint="-0.249977111117893"/>
    <pageSetUpPr fitToPage="1"/>
  </sheetPr>
  <dimension ref="A1:AY49"/>
  <sheetViews>
    <sheetView showGridLines="0" topLeftCell="A7" zoomScaleNormal="100" zoomScaleSheetLayoutView="100" workbookViewId="0">
      <selection activeCell="C46" sqref="C46:AX47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15" t="str">
        <f>LISTAS!AI20</f>
        <v>GLOBE Perú</v>
      </c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  <c r="W9" s="316"/>
      <c r="X9" s="316"/>
      <c r="Y9" s="316"/>
      <c r="Z9" s="316"/>
      <c r="AA9" s="316"/>
      <c r="AB9" s="316"/>
      <c r="AC9" s="316"/>
      <c r="AD9" s="316"/>
      <c r="AE9" s="316"/>
      <c r="AF9" s="316"/>
      <c r="AG9" s="316"/>
      <c r="AH9" s="316"/>
      <c r="AI9" s="316"/>
      <c r="AJ9" s="316"/>
      <c r="AK9" s="316"/>
      <c r="AL9" s="316"/>
      <c r="AM9" s="316"/>
      <c r="AN9" s="316"/>
      <c r="AO9" s="316"/>
      <c r="AP9" s="316"/>
      <c r="AQ9" s="316"/>
      <c r="AR9" s="316"/>
      <c r="AS9" s="316"/>
      <c r="AT9" s="316"/>
      <c r="AU9" s="316"/>
      <c r="AV9" s="316"/>
      <c r="AW9" s="316"/>
      <c r="AX9" s="316"/>
      <c r="AY9" s="9"/>
    </row>
    <row r="10" spans="1:51" ht="9" customHeight="1" x14ac:dyDescent="0.2">
      <c r="B10" s="7"/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9"/>
    </row>
    <row r="11" spans="1:51" ht="12" customHeight="1" x14ac:dyDescent="0.2">
      <c r="B11" s="7"/>
      <c r="C11" s="319" t="s">
        <v>1793</v>
      </c>
      <c r="D11" s="320"/>
      <c r="E11" s="320"/>
      <c r="F11" s="320"/>
      <c r="G11" s="320"/>
      <c r="H11" s="321" t="s">
        <v>1794</v>
      </c>
      <c r="I11" s="322"/>
      <c r="J11" s="322"/>
      <c r="K11" s="322"/>
      <c r="L11" s="322"/>
      <c r="M11" s="322"/>
      <c r="N11" s="322"/>
      <c r="O11" s="322"/>
      <c r="P11" s="322"/>
      <c r="Q11" s="322"/>
      <c r="R11" s="322"/>
      <c r="S11" s="322"/>
      <c r="T11" s="322"/>
      <c r="U11" s="322"/>
      <c r="V11" s="322"/>
      <c r="W11" s="322"/>
      <c r="X11" s="322"/>
      <c r="Y11" s="322"/>
      <c r="Z11" s="322"/>
      <c r="AA11" s="322"/>
      <c r="AB11" s="322"/>
      <c r="AC11" s="322"/>
      <c r="AD11" s="322"/>
      <c r="AE11" s="322"/>
      <c r="AF11" s="324"/>
      <c r="AG11" s="324"/>
      <c r="AH11" s="324"/>
      <c r="AI11" s="323"/>
      <c r="AJ11" s="319" t="s">
        <v>1800</v>
      </c>
      <c r="AK11" s="320"/>
      <c r="AL11" s="320"/>
      <c r="AM11" s="320"/>
      <c r="AN11" s="320"/>
      <c r="AO11" s="320"/>
      <c r="AP11" s="319" t="s">
        <v>1801</v>
      </c>
      <c r="AQ11" s="320"/>
      <c r="AR11" s="320"/>
      <c r="AS11" s="320"/>
      <c r="AT11" s="320"/>
      <c r="AU11" s="320"/>
      <c r="AV11" s="320"/>
      <c r="AW11" s="320"/>
      <c r="AX11" s="320"/>
      <c r="AY11" s="9"/>
    </row>
    <row r="12" spans="1:51" ht="9.9499999999999993" customHeight="1" x14ac:dyDescent="0.2">
      <c r="B12" s="7"/>
      <c r="C12" s="320"/>
      <c r="D12" s="320"/>
      <c r="E12" s="320"/>
      <c r="F12" s="320"/>
      <c r="G12" s="320"/>
      <c r="H12" s="321" t="s">
        <v>1795</v>
      </c>
      <c r="I12" s="322"/>
      <c r="J12" s="322"/>
      <c r="K12" s="322"/>
      <c r="L12" s="322"/>
      <c r="M12" s="322"/>
      <c r="N12" s="323"/>
      <c r="O12" s="321" t="s">
        <v>1796</v>
      </c>
      <c r="P12" s="322"/>
      <c r="Q12" s="322"/>
      <c r="R12" s="322"/>
      <c r="S12" s="322"/>
      <c r="T12" s="322"/>
      <c r="U12" s="323"/>
      <c r="V12" s="321" t="s">
        <v>1797</v>
      </c>
      <c r="W12" s="322"/>
      <c r="X12" s="322"/>
      <c r="Y12" s="322"/>
      <c r="Z12" s="322"/>
      <c r="AA12" s="322"/>
      <c r="AB12" s="323"/>
      <c r="AC12" s="321" t="s">
        <v>1798</v>
      </c>
      <c r="AD12" s="322"/>
      <c r="AE12" s="322"/>
      <c r="AF12" s="322"/>
      <c r="AG12" s="322"/>
      <c r="AH12" s="322"/>
      <c r="AI12" s="323"/>
      <c r="AJ12" s="320"/>
      <c r="AK12" s="320"/>
      <c r="AL12" s="320"/>
      <c r="AM12" s="320"/>
      <c r="AN12" s="320"/>
      <c r="AO12" s="320"/>
      <c r="AP12" s="320"/>
      <c r="AQ12" s="320"/>
      <c r="AR12" s="320"/>
      <c r="AS12" s="320"/>
      <c r="AT12" s="320"/>
      <c r="AU12" s="320"/>
      <c r="AV12" s="320"/>
      <c r="AW12" s="320"/>
      <c r="AX12" s="320"/>
      <c r="AY12" s="9"/>
    </row>
    <row r="13" spans="1:51" ht="11.45" customHeight="1" x14ac:dyDescent="0.2">
      <c r="B13" s="7"/>
      <c r="C13" s="317" t="str">
        <f>LISTAS!AJ20</f>
        <v>16. LA I.E. implementó un PEAI como recurso pedagógico y para el desarrollo de la conciencia ambiental y sobre la salud.</v>
      </c>
      <c r="D13" s="318"/>
      <c r="E13" s="318"/>
      <c r="F13" s="318"/>
      <c r="G13" s="318"/>
      <c r="H13" s="334" t="str">
        <f>LISTAS!AK20</f>
        <v xml:space="preserve">El PEAI fue incluido en el PAT. </v>
      </c>
      <c r="I13" s="335"/>
      <c r="J13" s="335"/>
      <c r="K13" s="335"/>
      <c r="L13" s="335"/>
      <c r="M13" s="335"/>
      <c r="N13" s="336"/>
      <c r="O13" s="334" t="str">
        <f>LISTAS!AL20</f>
        <v xml:space="preserve">La I.E. implementó el PEAI con actividades pedagógicas articuladas mínimo a tres áreas curriculares. </v>
      </c>
      <c r="P13" s="335"/>
      <c r="Q13" s="335"/>
      <c r="R13" s="335"/>
      <c r="S13" s="335"/>
      <c r="T13" s="335"/>
      <c r="U13" s="336"/>
      <c r="V13" s="334" t="str">
        <f>LISTAS!AM20</f>
        <v>La I.E. implementó actividades institucionales para la ejecución del PEAI a lo largo de todo el año escolar.</v>
      </c>
      <c r="W13" s="335"/>
      <c r="X13" s="335"/>
      <c r="Y13" s="335"/>
      <c r="Z13" s="335"/>
      <c r="AA13" s="335"/>
      <c r="AB13" s="336"/>
      <c r="AC13" s="334" t="str">
        <f>LISTAS!AN20</f>
        <v>El PEAI se implementó con apoyo de instituciones del sector público y/o privado.</v>
      </c>
      <c r="AD13" s="335"/>
      <c r="AE13" s="335"/>
      <c r="AF13" s="335"/>
      <c r="AG13" s="335"/>
      <c r="AH13" s="335"/>
      <c r="AI13" s="336"/>
      <c r="AJ13" s="338" t="str">
        <f>LISTAS!AO20</f>
        <v>N° de hitos de aplicación del enfoque ambiental puestos en práctica en la implementación del PEAI.</v>
      </c>
      <c r="AK13" s="339"/>
      <c r="AL13" s="339"/>
      <c r="AM13" s="339"/>
      <c r="AN13" s="339"/>
      <c r="AO13" s="340"/>
      <c r="AP13" s="350"/>
      <c r="AQ13" s="351"/>
      <c r="AR13" s="351"/>
      <c r="AS13" s="351"/>
      <c r="AT13" s="351"/>
      <c r="AU13" s="351"/>
      <c r="AV13" s="351"/>
      <c r="AW13" s="351"/>
      <c r="AX13" s="351"/>
      <c r="AY13" s="9"/>
    </row>
    <row r="14" spans="1:51" ht="11.45" customHeight="1" x14ac:dyDescent="0.2">
      <c r="B14" s="7"/>
      <c r="C14" s="318"/>
      <c r="D14" s="318"/>
      <c r="E14" s="318"/>
      <c r="F14" s="318"/>
      <c r="G14" s="318"/>
      <c r="H14" s="337"/>
      <c r="I14" s="335"/>
      <c r="J14" s="335"/>
      <c r="K14" s="335"/>
      <c r="L14" s="335"/>
      <c r="M14" s="335"/>
      <c r="N14" s="336"/>
      <c r="O14" s="337"/>
      <c r="P14" s="335"/>
      <c r="Q14" s="335"/>
      <c r="R14" s="335"/>
      <c r="S14" s="335"/>
      <c r="T14" s="335"/>
      <c r="U14" s="336"/>
      <c r="V14" s="337"/>
      <c r="W14" s="335"/>
      <c r="X14" s="335"/>
      <c r="Y14" s="335"/>
      <c r="Z14" s="335"/>
      <c r="AA14" s="335"/>
      <c r="AB14" s="336"/>
      <c r="AC14" s="337"/>
      <c r="AD14" s="335"/>
      <c r="AE14" s="335"/>
      <c r="AF14" s="335"/>
      <c r="AG14" s="335"/>
      <c r="AH14" s="335"/>
      <c r="AI14" s="336"/>
      <c r="AJ14" s="341"/>
      <c r="AK14" s="342"/>
      <c r="AL14" s="342"/>
      <c r="AM14" s="342"/>
      <c r="AN14" s="342"/>
      <c r="AO14" s="343"/>
      <c r="AP14" s="351"/>
      <c r="AQ14" s="351"/>
      <c r="AR14" s="351"/>
      <c r="AS14" s="351"/>
      <c r="AT14" s="351"/>
      <c r="AU14" s="351"/>
      <c r="AV14" s="351"/>
      <c r="AW14" s="351"/>
      <c r="AX14" s="351"/>
      <c r="AY14" s="9"/>
    </row>
    <row r="15" spans="1:51" ht="11.45" customHeight="1" x14ac:dyDescent="0.2">
      <c r="B15" s="7"/>
      <c r="C15" s="318"/>
      <c r="D15" s="318"/>
      <c r="E15" s="318"/>
      <c r="F15" s="318"/>
      <c r="G15" s="318"/>
      <c r="H15" s="337"/>
      <c r="I15" s="335"/>
      <c r="J15" s="335"/>
      <c r="K15" s="335"/>
      <c r="L15" s="335"/>
      <c r="M15" s="335"/>
      <c r="N15" s="336"/>
      <c r="O15" s="337"/>
      <c r="P15" s="335"/>
      <c r="Q15" s="335"/>
      <c r="R15" s="335"/>
      <c r="S15" s="335"/>
      <c r="T15" s="335"/>
      <c r="U15" s="336"/>
      <c r="V15" s="337"/>
      <c r="W15" s="335"/>
      <c r="X15" s="335"/>
      <c r="Y15" s="335"/>
      <c r="Z15" s="335"/>
      <c r="AA15" s="335"/>
      <c r="AB15" s="336"/>
      <c r="AC15" s="337"/>
      <c r="AD15" s="335"/>
      <c r="AE15" s="335"/>
      <c r="AF15" s="335"/>
      <c r="AG15" s="335"/>
      <c r="AH15" s="335"/>
      <c r="AI15" s="336"/>
      <c r="AJ15" s="341"/>
      <c r="AK15" s="342"/>
      <c r="AL15" s="342"/>
      <c r="AM15" s="342"/>
      <c r="AN15" s="342"/>
      <c r="AO15" s="343"/>
      <c r="AP15" s="351"/>
      <c r="AQ15" s="351"/>
      <c r="AR15" s="351"/>
      <c r="AS15" s="351"/>
      <c r="AT15" s="351"/>
      <c r="AU15" s="351"/>
      <c r="AV15" s="351"/>
      <c r="AW15" s="351"/>
      <c r="AX15" s="351"/>
      <c r="AY15" s="9"/>
    </row>
    <row r="16" spans="1:51" ht="11.45" customHeight="1" x14ac:dyDescent="0.2">
      <c r="B16" s="7"/>
      <c r="C16" s="318"/>
      <c r="D16" s="318"/>
      <c r="E16" s="318"/>
      <c r="F16" s="318"/>
      <c r="G16" s="318"/>
      <c r="H16" s="337"/>
      <c r="I16" s="335"/>
      <c r="J16" s="335"/>
      <c r="K16" s="335"/>
      <c r="L16" s="335"/>
      <c r="M16" s="335"/>
      <c r="N16" s="336"/>
      <c r="O16" s="337"/>
      <c r="P16" s="335"/>
      <c r="Q16" s="335"/>
      <c r="R16" s="335"/>
      <c r="S16" s="335"/>
      <c r="T16" s="335"/>
      <c r="U16" s="336"/>
      <c r="V16" s="337"/>
      <c r="W16" s="335"/>
      <c r="X16" s="335"/>
      <c r="Y16" s="335"/>
      <c r="Z16" s="335"/>
      <c r="AA16" s="335"/>
      <c r="AB16" s="336"/>
      <c r="AC16" s="337"/>
      <c r="AD16" s="335"/>
      <c r="AE16" s="335"/>
      <c r="AF16" s="335"/>
      <c r="AG16" s="335"/>
      <c r="AH16" s="335"/>
      <c r="AI16" s="336"/>
      <c r="AJ16" s="341"/>
      <c r="AK16" s="342"/>
      <c r="AL16" s="342"/>
      <c r="AM16" s="342"/>
      <c r="AN16" s="342"/>
      <c r="AO16" s="343"/>
      <c r="AP16" s="351"/>
      <c r="AQ16" s="351"/>
      <c r="AR16" s="351"/>
      <c r="AS16" s="351"/>
      <c r="AT16" s="351"/>
      <c r="AU16" s="351"/>
      <c r="AV16" s="351"/>
      <c r="AW16" s="351"/>
      <c r="AX16" s="351"/>
      <c r="AY16" s="9"/>
    </row>
    <row r="17" spans="2:51" ht="11.45" customHeight="1" x14ac:dyDescent="0.2">
      <c r="B17" s="7"/>
      <c r="C17" s="318"/>
      <c r="D17" s="318"/>
      <c r="E17" s="318"/>
      <c r="F17" s="318"/>
      <c r="G17" s="318"/>
      <c r="H17" s="337"/>
      <c r="I17" s="335"/>
      <c r="J17" s="335"/>
      <c r="K17" s="335"/>
      <c r="L17" s="335"/>
      <c r="M17" s="335"/>
      <c r="N17" s="336"/>
      <c r="O17" s="337"/>
      <c r="P17" s="335"/>
      <c r="Q17" s="335"/>
      <c r="R17" s="335"/>
      <c r="S17" s="335"/>
      <c r="T17" s="335"/>
      <c r="U17" s="336"/>
      <c r="V17" s="337"/>
      <c r="W17" s="335"/>
      <c r="X17" s="335"/>
      <c r="Y17" s="335"/>
      <c r="Z17" s="335"/>
      <c r="AA17" s="335"/>
      <c r="AB17" s="336"/>
      <c r="AC17" s="337"/>
      <c r="AD17" s="335"/>
      <c r="AE17" s="335"/>
      <c r="AF17" s="335"/>
      <c r="AG17" s="335"/>
      <c r="AH17" s="335"/>
      <c r="AI17" s="336"/>
      <c r="AJ17" s="341"/>
      <c r="AK17" s="342"/>
      <c r="AL17" s="342"/>
      <c r="AM17" s="342"/>
      <c r="AN17" s="342"/>
      <c r="AO17" s="343"/>
      <c r="AP17" s="351"/>
      <c r="AQ17" s="351"/>
      <c r="AR17" s="351"/>
      <c r="AS17" s="351"/>
      <c r="AT17" s="351"/>
      <c r="AU17" s="351"/>
      <c r="AV17" s="351"/>
      <c r="AW17" s="351"/>
      <c r="AX17" s="351"/>
      <c r="AY17" s="9"/>
    </row>
    <row r="18" spans="2:51" ht="11.45" customHeight="1" x14ac:dyDescent="0.2">
      <c r="B18" s="7"/>
      <c r="C18" s="318"/>
      <c r="D18" s="318"/>
      <c r="E18" s="318"/>
      <c r="F18" s="318"/>
      <c r="G18" s="318"/>
      <c r="H18" s="337"/>
      <c r="I18" s="335"/>
      <c r="J18" s="335"/>
      <c r="K18" s="335"/>
      <c r="L18" s="335"/>
      <c r="M18" s="335"/>
      <c r="N18" s="336"/>
      <c r="O18" s="337"/>
      <c r="P18" s="335"/>
      <c r="Q18" s="335"/>
      <c r="R18" s="335"/>
      <c r="S18" s="335"/>
      <c r="T18" s="335"/>
      <c r="U18" s="336"/>
      <c r="V18" s="337"/>
      <c r="W18" s="335"/>
      <c r="X18" s="335"/>
      <c r="Y18" s="335"/>
      <c r="Z18" s="335"/>
      <c r="AA18" s="335"/>
      <c r="AB18" s="336"/>
      <c r="AC18" s="337"/>
      <c r="AD18" s="335"/>
      <c r="AE18" s="335"/>
      <c r="AF18" s="335"/>
      <c r="AG18" s="335"/>
      <c r="AH18" s="335"/>
      <c r="AI18" s="336"/>
      <c r="AJ18" s="341"/>
      <c r="AK18" s="342"/>
      <c r="AL18" s="342"/>
      <c r="AM18" s="342"/>
      <c r="AN18" s="342"/>
      <c r="AO18" s="343"/>
      <c r="AP18" s="351"/>
      <c r="AQ18" s="351"/>
      <c r="AR18" s="351"/>
      <c r="AS18" s="351"/>
      <c r="AT18" s="351"/>
      <c r="AU18" s="351"/>
      <c r="AV18" s="351"/>
      <c r="AW18" s="351"/>
      <c r="AX18" s="351"/>
      <c r="AY18" s="9"/>
    </row>
    <row r="19" spans="2:51" ht="11.45" customHeight="1" x14ac:dyDescent="0.2">
      <c r="B19" s="7"/>
      <c r="C19" s="318"/>
      <c r="D19" s="318"/>
      <c r="E19" s="318"/>
      <c r="F19" s="318"/>
      <c r="G19" s="318"/>
      <c r="H19" s="337"/>
      <c r="I19" s="335"/>
      <c r="J19" s="335"/>
      <c r="K19" s="335"/>
      <c r="L19" s="335"/>
      <c r="M19" s="335"/>
      <c r="N19" s="336"/>
      <c r="O19" s="337"/>
      <c r="P19" s="335"/>
      <c r="Q19" s="335"/>
      <c r="R19" s="335"/>
      <c r="S19" s="335"/>
      <c r="T19" s="335"/>
      <c r="U19" s="336"/>
      <c r="V19" s="337"/>
      <c r="W19" s="335"/>
      <c r="X19" s="335"/>
      <c r="Y19" s="335"/>
      <c r="Z19" s="335"/>
      <c r="AA19" s="335"/>
      <c r="AB19" s="336"/>
      <c r="AC19" s="337"/>
      <c r="AD19" s="335"/>
      <c r="AE19" s="335"/>
      <c r="AF19" s="335"/>
      <c r="AG19" s="335"/>
      <c r="AH19" s="335"/>
      <c r="AI19" s="336"/>
      <c r="AJ19" s="341"/>
      <c r="AK19" s="342"/>
      <c r="AL19" s="342"/>
      <c r="AM19" s="342"/>
      <c r="AN19" s="342"/>
      <c r="AO19" s="343"/>
      <c r="AP19" s="351"/>
      <c r="AQ19" s="351"/>
      <c r="AR19" s="351"/>
      <c r="AS19" s="351"/>
      <c r="AT19" s="351"/>
      <c r="AU19" s="351"/>
      <c r="AV19" s="351"/>
      <c r="AW19" s="351"/>
      <c r="AX19" s="351"/>
      <c r="AY19" s="9"/>
    </row>
    <row r="20" spans="2:51" ht="25.5" customHeight="1" x14ac:dyDescent="0.2">
      <c r="B20" s="7"/>
      <c r="C20" s="318"/>
      <c r="D20" s="318"/>
      <c r="E20" s="318"/>
      <c r="F20" s="318"/>
      <c r="G20" s="318"/>
      <c r="H20" s="337"/>
      <c r="I20" s="335"/>
      <c r="J20" s="335"/>
      <c r="K20" s="335"/>
      <c r="L20" s="335"/>
      <c r="M20" s="335"/>
      <c r="N20" s="336"/>
      <c r="O20" s="337"/>
      <c r="P20" s="335"/>
      <c r="Q20" s="335"/>
      <c r="R20" s="335"/>
      <c r="S20" s="335"/>
      <c r="T20" s="335"/>
      <c r="U20" s="336"/>
      <c r="V20" s="337"/>
      <c r="W20" s="335"/>
      <c r="X20" s="335"/>
      <c r="Y20" s="335"/>
      <c r="Z20" s="335"/>
      <c r="AA20" s="335"/>
      <c r="AB20" s="336"/>
      <c r="AC20" s="337"/>
      <c r="AD20" s="335"/>
      <c r="AE20" s="335"/>
      <c r="AF20" s="335"/>
      <c r="AG20" s="335"/>
      <c r="AH20" s="335"/>
      <c r="AI20" s="336"/>
      <c r="AJ20" s="341"/>
      <c r="AK20" s="342"/>
      <c r="AL20" s="342"/>
      <c r="AM20" s="342"/>
      <c r="AN20" s="342"/>
      <c r="AO20" s="343"/>
      <c r="AP20" s="351"/>
      <c r="AQ20" s="351"/>
      <c r="AR20" s="351"/>
      <c r="AS20" s="351"/>
      <c r="AT20" s="351"/>
      <c r="AU20" s="351"/>
      <c r="AV20" s="351"/>
      <c r="AW20" s="351"/>
      <c r="AX20" s="351"/>
      <c r="AY20" s="9"/>
    </row>
    <row r="21" spans="2:51" ht="6.95" customHeight="1" x14ac:dyDescent="0.2">
      <c r="B21" s="7"/>
      <c r="C21" s="318"/>
      <c r="D21" s="318"/>
      <c r="E21" s="318"/>
      <c r="F21" s="318"/>
      <c r="G21" s="318"/>
      <c r="H21" s="325"/>
      <c r="I21" s="326"/>
      <c r="J21" s="326"/>
      <c r="K21" s="326"/>
      <c r="L21" s="326"/>
      <c r="M21" s="326"/>
      <c r="N21" s="327"/>
      <c r="O21" s="325"/>
      <c r="P21" s="326"/>
      <c r="Q21" s="326"/>
      <c r="R21" s="326"/>
      <c r="S21" s="326"/>
      <c r="T21" s="326"/>
      <c r="U21" s="327"/>
      <c r="V21" s="325"/>
      <c r="W21" s="326"/>
      <c r="X21" s="326"/>
      <c r="Y21" s="326"/>
      <c r="Z21" s="326"/>
      <c r="AA21" s="326"/>
      <c r="AB21" s="327"/>
      <c r="AC21" s="325"/>
      <c r="AD21" s="326"/>
      <c r="AE21" s="326"/>
      <c r="AF21" s="326"/>
      <c r="AG21" s="326"/>
      <c r="AH21" s="326"/>
      <c r="AI21" s="327"/>
      <c r="AJ21" s="341"/>
      <c r="AK21" s="342"/>
      <c r="AL21" s="342"/>
      <c r="AM21" s="342"/>
      <c r="AN21" s="342"/>
      <c r="AO21" s="343"/>
      <c r="AP21" s="351"/>
      <c r="AQ21" s="351"/>
      <c r="AR21" s="351"/>
      <c r="AS21" s="351"/>
      <c r="AT21" s="351"/>
      <c r="AU21" s="351"/>
      <c r="AV21" s="351"/>
      <c r="AW21" s="351"/>
      <c r="AX21" s="351"/>
      <c r="AY21" s="9"/>
    </row>
    <row r="22" spans="2:51" ht="6.95" customHeight="1" x14ac:dyDescent="0.2">
      <c r="B22" s="7"/>
      <c r="C22" s="318"/>
      <c r="D22" s="318"/>
      <c r="E22" s="318"/>
      <c r="F22" s="318"/>
      <c r="G22" s="318"/>
      <c r="H22" s="328"/>
      <c r="I22" s="326"/>
      <c r="J22" s="326"/>
      <c r="K22" s="326"/>
      <c r="L22" s="326"/>
      <c r="M22" s="326"/>
      <c r="N22" s="327"/>
      <c r="O22" s="328"/>
      <c r="P22" s="326"/>
      <c r="Q22" s="326"/>
      <c r="R22" s="326"/>
      <c r="S22" s="326"/>
      <c r="T22" s="326"/>
      <c r="U22" s="327"/>
      <c r="V22" s="328"/>
      <c r="W22" s="326"/>
      <c r="X22" s="326"/>
      <c r="Y22" s="326"/>
      <c r="Z22" s="326"/>
      <c r="AA22" s="326"/>
      <c r="AB22" s="327"/>
      <c r="AC22" s="328"/>
      <c r="AD22" s="326"/>
      <c r="AE22" s="326"/>
      <c r="AF22" s="326"/>
      <c r="AG22" s="326"/>
      <c r="AH22" s="326"/>
      <c r="AI22" s="327"/>
      <c r="AJ22" s="341"/>
      <c r="AK22" s="342"/>
      <c r="AL22" s="342"/>
      <c r="AM22" s="342"/>
      <c r="AN22" s="342"/>
      <c r="AO22" s="343"/>
      <c r="AP22" s="351"/>
      <c r="AQ22" s="351"/>
      <c r="AR22" s="351"/>
      <c r="AS22" s="351"/>
      <c r="AT22" s="351"/>
      <c r="AU22" s="351"/>
      <c r="AV22" s="351"/>
      <c r="AW22" s="351"/>
      <c r="AX22" s="351"/>
      <c r="AY22" s="9"/>
    </row>
    <row r="23" spans="2:51" ht="11.45" customHeight="1" x14ac:dyDescent="0.2">
      <c r="B23" s="7"/>
      <c r="C23" s="360" t="s">
        <v>4107</v>
      </c>
      <c r="D23" s="360"/>
      <c r="E23" s="360"/>
      <c r="F23" s="360"/>
      <c r="G23" s="360"/>
      <c r="H23" s="329" t="str">
        <f>LISTAS!AP20</f>
        <v>PAT.</v>
      </c>
      <c r="I23" s="330"/>
      <c r="J23" s="330"/>
      <c r="K23" s="330"/>
      <c r="L23" s="330"/>
      <c r="M23" s="330"/>
      <c r="N23" s="330"/>
      <c r="O23" s="329" t="str">
        <f>LISTAS!AQ20</f>
        <v>Plan de Trabajo del PEAI. PCI.</v>
      </c>
      <c r="P23" s="330"/>
      <c r="Q23" s="330"/>
      <c r="R23" s="330"/>
      <c r="S23" s="330"/>
      <c r="T23" s="330"/>
      <c r="U23" s="330"/>
      <c r="V23" s="329" t="str">
        <f>LISTAS!AR20</f>
        <v>PAT.</v>
      </c>
      <c r="W23" s="330"/>
      <c r="X23" s="330"/>
      <c r="Y23" s="330"/>
      <c r="Z23" s="330"/>
      <c r="AA23" s="330"/>
      <c r="AB23" s="330"/>
      <c r="AC23" s="329" t="str">
        <f>LISTAS!AS20</f>
        <v>Documentos administrativos: Cartas, Oficios, Memo. Actas, Convenios, Acuerdos.</v>
      </c>
      <c r="AD23" s="330"/>
      <c r="AE23" s="330"/>
      <c r="AF23" s="330"/>
      <c r="AG23" s="330"/>
      <c r="AH23" s="330"/>
      <c r="AI23" s="330"/>
      <c r="AJ23" s="344"/>
      <c r="AK23" s="345"/>
      <c r="AL23" s="345"/>
      <c r="AM23" s="345"/>
      <c r="AN23" s="345"/>
      <c r="AO23" s="346"/>
      <c r="AP23" s="329" t="s">
        <v>3721</v>
      </c>
      <c r="AQ23" s="329"/>
      <c r="AR23" s="329"/>
      <c r="AS23" s="329"/>
      <c r="AT23" s="329"/>
      <c r="AU23" s="329"/>
      <c r="AV23" s="329"/>
      <c r="AW23" s="329"/>
      <c r="AX23" s="329"/>
      <c r="AY23" s="9"/>
    </row>
    <row r="24" spans="2:51" ht="11.45" customHeight="1" x14ac:dyDescent="0.2">
      <c r="B24" s="7"/>
      <c r="C24" s="361"/>
      <c r="D24" s="361"/>
      <c r="E24" s="361"/>
      <c r="F24" s="361"/>
      <c r="G24" s="361"/>
      <c r="H24" s="331"/>
      <c r="I24" s="332"/>
      <c r="J24" s="332"/>
      <c r="K24" s="332"/>
      <c r="L24" s="332"/>
      <c r="M24" s="332"/>
      <c r="N24" s="332"/>
      <c r="O24" s="331"/>
      <c r="P24" s="332"/>
      <c r="Q24" s="332"/>
      <c r="R24" s="332"/>
      <c r="S24" s="332"/>
      <c r="T24" s="332"/>
      <c r="U24" s="332"/>
      <c r="V24" s="331"/>
      <c r="W24" s="332"/>
      <c r="X24" s="332"/>
      <c r="Y24" s="332"/>
      <c r="Z24" s="332"/>
      <c r="AA24" s="332"/>
      <c r="AB24" s="332"/>
      <c r="AC24" s="331"/>
      <c r="AD24" s="332"/>
      <c r="AE24" s="332"/>
      <c r="AF24" s="332"/>
      <c r="AG24" s="332"/>
      <c r="AH24" s="332"/>
      <c r="AI24" s="332"/>
      <c r="AJ24" s="344"/>
      <c r="AK24" s="345"/>
      <c r="AL24" s="345"/>
      <c r="AM24" s="345"/>
      <c r="AN24" s="345"/>
      <c r="AO24" s="346"/>
      <c r="AP24" s="331"/>
      <c r="AQ24" s="331"/>
      <c r="AR24" s="331"/>
      <c r="AS24" s="331"/>
      <c r="AT24" s="331"/>
      <c r="AU24" s="331"/>
      <c r="AV24" s="331"/>
      <c r="AW24" s="331"/>
      <c r="AX24" s="331"/>
      <c r="AY24" s="9"/>
    </row>
    <row r="25" spans="2:51" ht="11.45" customHeight="1" x14ac:dyDescent="0.2">
      <c r="B25" s="7"/>
      <c r="C25" s="361"/>
      <c r="D25" s="361"/>
      <c r="E25" s="361"/>
      <c r="F25" s="361"/>
      <c r="G25" s="361"/>
      <c r="H25" s="331"/>
      <c r="I25" s="332"/>
      <c r="J25" s="332"/>
      <c r="K25" s="332"/>
      <c r="L25" s="332"/>
      <c r="M25" s="332"/>
      <c r="N25" s="332"/>
      <c r="O25" s="331"/>
      <c r="P25" s="332"/>
      <c r="Q25" s="332"/>
      <c r="R25" s="332"/>
      <c r="S25" s="332"/>
      <c r="T25" s="332"/>
      <c r="U25" s="332"/>
      <c r="V25" s="331"/>
      <c r="W25" s="332"/>
      <c r="X25" s="332"/>
      <c r="Y25" s="332"/>
      <c r="Z25" s="332"/>
      <c r="AA25" s="332"/>
      <c r="AB25" s="332"/>
      <c r="AC25" s="331"/>
      <c r="AD25" s="332"/>
      <c r="AE25" s="332"/>
      <c r="AF25" s="332"/>
      <c r="AG25" s="332"/>
      <c r="AH25" s="332"/>
      <c r="AI25" s="332"/>
      <c r="AJ25" s="344"/>
      <c r="AK25" s="345"/>
      <c r="AL25" s="345"/>
      <c r="AM25" s="345"/>
      <c r="AN25" s="345"/>
      <c r="AO25" s="346"/>
      <c r="AP25" s="331"/>
      <c r="AQ25" s="331"/>
      <c r="AR25" s="331"/>
      <c r="AS25" s="331"/>
      <c r="AT25" s="331"/>
      <c r="AU25" s="331"/>
      <c r="AV25" s="331"/>
      <c r="AW25" s="331"/>
      <c r="AX25" s="331"/>
      <c r="AY25" s="9"/>
    </row>
    <row r="26" spans="2:51" ht="11.45" customHeight="1" x14ac:dyDescent="0.2">
      <c r="B26" s="7"/>
      <c r="C26" s="362"/>
      <c r="D26" s="362"/>
      <c r="E26" s="362"/>
      <c r="F26" s="362"/>
      <c r="G26" s="362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3"/>
      <c r="AC26" s="333"/>
      <c r="AD26" s="333"/>
      <c r="AE26" s="333"/>
      <c r="AF26" s="333"/>
      <c r="AG26" s="333"/>
      <c r="AH26" s="333"/>
      <c r="AI26" s="333"/>
      <c r="AJ26" s="347"/>
      <c r="AK26" s="348"/>
      <c r="AL26" s="348"/>
      <c r="AM26" s="348"/>
      <c r="AN26" s="348"/>
      <c r="AO26" s="349"/>
      <c r="AP26" s="352"/>
      <c r="AQ26" s="352"/>
      <c r="AR26" s="352"/>
      <c r="AS26" s="352"/>
      <c r="AT26" s="352"/>
      <c r="AU26" s="352"/>
      <c r="AV26" s="352"/>
      <c r="AW26" s="352"/>
      <c r="AX26" s="352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55"/>
      <c r="D28" s="56"/>
      <c r="E28" s="56"/>
      <c r="F28" s="56"/>
      <c r="G28" s="56"/>
      <c r="H28" s="57"/>
      <c r="I28" s="58"/>
      <c r="J28" s="58"/>
      <c r="K28" s="58"/>
      <c r="L28" s="58"/>
      <c r="M28" s="58"/>
      <c r="N28" s="48"/>
      <c r="O28" s="57"/>
      <c r="P28" s="58"/>
      <c r="Q28" s="58"/>
      <c r="R28" s="58"/>
      <c r="S28" s="58"/>
      <c r="T28" s="58"/>
      <c r="U28" s="48"/>
      <c r="V28" s="57"/>
      <c r="W28" s="58"/>
      <c r="X28" s="58"/>
      <c r="Y28" s="58"/>
      <c r="Z28" s="58"/>
      <c r="AA28" s="58"/>
      <c r="AB28" s="48"/>
      <c r="AC28" s="57"/>
      <c r="AD28" s="58"/>
      <c r="AE28" s="58"/>
      <c r="AF28" s="58"/>
      <c r="AG28" s="58"/>
      <c r="AH28" s="58"/>
      <c r="AI28" s="48"/>
      <c r="AJ28" s="59"/>
      <c r="AK28" s="60"/>
      <c r="AL28" s="60"/>
      <c r="AM28" s="60"/>
      <c r="AN28" s="60"/>
      <c r="AO28" s="61"/>
      <c r="AP28" s="62"/>
      <c r="AQ28" s="63"/>
      <c r="AR28" s="63"/>
      <c r="AS28" s="63"/>
      <c r="AT28" s="63"/>
      <c r="AU28" s="63"/>
      <c r="AV28" s="63"/>
      <c r="AW28" s="63"/>
      <c r="AX28" s="63"/>
      <c r="AY28" s="9"/>
    </row>
    <row r="29" spans="2:51" ht="11.45" customHeight="1" x14ac:dyDescent="0.2">
      <c r="B29" s="7"/>
      <c r="C29" s="56"/>
      <c r="D29" s="56"/>
      <c r="E29" s="56"/>
      <c r="F29" s="56"/>
      <c r="G29" s="56"/>
      <c r="H29" s="64"/>
      <c r="I29" s="58"/>
      <c r="J29" s="58"/>
      <c r="K29" s="58"/>
      <c r="L29" s="58"/>
      <c r="M29" s="58"/>
      <c r="N29" s="48"/>
      <c r="O29" s="64"/>
      <c r="P29" s="58"/>
      <c r="Q29" s="58"/>
      <c r="R29" s="58"/>
      <c r="S29" s="58"/>
      <c r="T29" s="58"/>
      <c r="U29" s="48"/>
      <c r="V29" s="64"/>
      <c r="W29" s="58"/>
      <c r="X29" s="58"/>
      <c r="Y29" s="58"/>
      <c r="Z29" s="58"/>
      <c r="AA29" s="58"/>
      <c r="AB29" s="48"/>
      <c r="AC29" s="64"/>
      <c r="AD29" s="58"/>
      <c r="AE29" s="58"/>
      <c r="AF29" s="58"/>
      <c r="AG29" s="58"/>
      <c r="AH29" s="58"/>
      <c r="AI29" s="48"/>
      <c r="AJ29" s="65"/>
      <c r="AK29" s="66"/>
      <c r="AL29" s="66"/>
      <c r="AM29" s="66"/>
      <c r="AN29" s="66"/>
      <c r="AO29" s="67"/>
      <c r="AP29" s="63"/>
      <c r="AQ29" s="63"/>
      <c r="AR29" s="63"/>
      <c r="AS29" s="63"/>
      <c r="AT29" s="63"/>
      <c r="AU29" s="63"/>
      <c r="AV29" s="63"/>
      <c r="AW29" s="63"/>
      <c r="AX29" s="63"/>
      <c r="AY29" s="9"/>
    </row>
    <row r="30" spans="2:51" ht="11.45" customHeight="1" x14ac:dyDescent="0.2">
      <c r="B30" s="7"/>
      <c r="C30" s="56"/>
      <c r="D30" s="56"/>
      <c r="E30" s="56"/>
      <c r="F30" s="56"/>
      <c r="G30" s="56"/>
      <c r="H30" s="64"/>
      <c r="I30" s="58"/>
      <c r="J30" s="58"/>
      <c r="K30" s="58"/>
      <c r="L30" s="58"/>
      <c r="M30" s="58"/>
      <c r="N30" s="48"/>
      <c r="O30" s="64"/>
      <c r="P30" s="58"/>
      <c r="Q30" s="58"/>
      <c r="R30" s="58"/>
      <c r="S30" s="58"/>
      <c r="T30" s="58"/>
      <c r="U30" s="48"/>
      <c r="V30" s="64"/>
      <c r="W30" s="58"/>
      <c r="X30" s="58"/>
      <c r="Y30" s="58"/>
      <c r="Z30" s="58"/>
      <c r="AA30" s="58"/>
      <c r="AB30" s="48"/>
      <c r="AC30" s="64"/>
      <c r="AD30" s="58"/>
      <c r="AE30" s="58"/>
      <c r="AF30" s="58"/>
      <c r="AG30" s="58"/>
      <c r="AH30" s="58"/>
      <c r="AI30" s="48"/>
      <c r="AJ30" s="65"/>
      <c r="AK30" s="66"/>
      <c r="AL30" s="66"/>
      <c r="AM30" s="66"/>
      <c r="AN30" s="66"/>
      <c r="AO30" s="67"/>
      <c r="AP30" s="63"/>
      <c r="AQ30" s="63"/>
      <c r="AR30" s="63"/>
      <c r="AS30" s="63"/>
      <c r="AT30" s="63"/>
      <c r="AU30" s="63"/>
      <c r="AV30" s="63"/>
      <c r="AW30" s="63"/>
      <c r="AX30" s="63"/>
      <c r="AY30" s="9"/>
    </row>
    <row r="31" spans="2:51" ht="11.45" customHeight="1" x14ac:dyDescent="0.2">
      <c r="B31" s="7"/>
      <c r="C31" s="56"/>
      <c r="D31" s="56"/>
      <c r="E31" s="56"/>
      <c r="F31" s="56"/>
      <c r="G31" s="56"/>
      <c r="H31" s="64"/>
      <c r="I31" s="58"/>
      <c r="J31" s="58"/>
      <c r="K31" s="58"/>
      <c r="L31" s="58"/>
      <c r="M31" s="58"/>
      <c r="N31" s="48"/>
      <c r="O31" s="64"/>
      <c r="P31" s="58"/>
      <c r="Q31" s="58"/>
      <c r="R31" s="58"/>
      <c r="S31" s="58"/>
      <c r="T31" s="58"/>
      <c r="U31" s="48"/>
      <c r="V31" s="64"/>
      <c r="W31" s="58"/>
      <c r="X31" s="58"/>
      <c r="Y31" s="58"/>
      <c r="Z31" s="58"/>
      <c r="AA31" s="58"/>
      <c r="AB31" s="48"/>
      <c r="AC31" s="64"/>
      <c r="AD31" s="58"/>
      <c r="AE31" s="58"/>
      <c r="AF31" s="58"/>
      <c r="AG31" s="58"/>
      <c r="AH31" s="58"/>
      <c r="AI31" s="48"/>
      <c r="AJ31" s="65"/>
      <c r="AK31" s="66"/>
      <c r="AL31" s="66"/>
      <c r="AM31" s="66"/>
      <c r="AN31" s="66"/>
      <c r="AO31" s="67"/>
      <c r="AP31" s="63"/>
      <c r="AQ31" s="63"/>
      <c r="AR31" s="63"/>
      <c r="AS31" s="63"/>
      <c r="AT31" s="63"/>
      <c r="AU31" s="63"/>
      <c r="AV31" s="63"/>
      <c r="AW31" s="63"/>
      <c r="AX31" s="63"/>
      <c r="AY31" s="9"/>
    </row>
    <row r="32" spans="2:51" ht="11.45" customHeight="1" x14ac:dyDescent="0.2">
      <c r="B32" s="7"/>
      <c r="C32" s="56"/>
      <c r="D32" s="56"/>
      <c r="E32" s="56"/>
      <c r="F32" s="56"/>
      <c r="G32" s="56"/>
      <c r="H32" s="64"/>
      <c r="I32" s="58"/>
      <c r="J32" s="58"/>
      <c r="K32" s="58"/>
      <c r="L32" s="58"/>
      <c r="M32" s="58"/>
      <c r="N32" s="48"/>
      <c r="O32" s="64"/>
      <c r="P32" s="58"/>
      <c r="Q32" s="58"/>
      <c r="R32" s="58"/>
      <c r="S32" s="58"/>
      <c r="T32" s="58"/>
      <c r="U32" s="48"/>
      <c r="V32" s="64"/>
      <c r="W32" s="58"/>
      <c r="X32" s="58"/>
      <c r="Y32" s="58"/>
      <c r="Z32" s="58"/>
      <c r="AA32" s="58"/>
      <c r="AB32" s="48"/>
      <c r="AC32" s="64"/>
      <c r="AD32" s="58"/>
      <c r="AE32" s="58"/>
      <c r="AF32" s="58"/>
      <c r="AG32" s="58"/>
      <c r="AH32" s="58"/>
      <c r="AI32" s="48"/>
      <c r="AJ32" s="65"/>
      <c r="AK32" s="66"/>
      <c r="AL32" s="66"/>
      <c r="AM32" s="66"/>
      <c r="AN32" s="66"/>
      <c r="AO32" s="67"/>
      <c r="AP32" s="63"/>
      <c r="AQ32" s="63"/>
      <c r="AR32" s="63"/>
      <c r="AS32" s="63"/>
      <c r="AT32" s="63"/>
      <c r="AU32" s="63"/>
      <c r="AV32" s="63"/>
      <c r="AW32" s="63"/>
      <c r="AX32" s="63"/>
      <c r="AY32" s="9"/>
    </row>
    <row r="33" spans="2:51" ht="11.45" customHeight="1" x14ac:dyDescent="0.2">
      <c r="B33" s="7"/>
      <c r="C33" s="56"/>
      <c r="D33" s="56"/>
      <c r="E33" s="56"/>
      <c r="F33" s="56"/>
      <c r="G33" s="56"/>
      <c r="H33" s="64"/>
      <c r="I33" s="58"/>
      <c r="J33" s="58"/>
      <c r="K33" s="58"/>
      <c r="L33" s="58"/>
      <c r="M33" s="58"/>
      <c r="N33" s="48"/>
      <c r="O33" s="64"/>
      <c r="P33" s="58"/>
      <c r="Q33" s="58"/>
      <c r="R33" s="58"/>
      <c r="S33" s="58"/>
      <c r="T33" s="58"/>
      <c r="U33" s="48"/>
      <c r="V33" s="64"/>
      <c r="W33" s="58"/>
      <c r="X33" s="58"/>
      <c r="Y33" s="58"/>
      <c r="Z33" s="58"/>
      <c r="AA33" s="58"/>
      <c r="AB33" s="48"/>
      <c r="AC33" s="64"/>
      <c r="AD33" s="58"/>
      <c r="AE33" s="58"/>
      <c r="AF33" s="58"/>
      <c r="AG33" s="58"/>
      <c r="AH33" s="58"/>
      <c r="AI33" s="48"/>
      <c r="AJ33" s="65"/>
      <c r="AK33" s="66"/>
      <c r="AL33" s="66"/>
      <c r="AM33" s="66"/>
      <c r="AN33" s="66"/>
      <c r="AO33" s="67"/>
      <c r="AP33" s="63"/>
      <c r="AQ33" s="63"/>
      <c r="AR33" s="63"/>
      <c r="AS33" s="63"/>
      <c r="AT33" s="63"/>
      <c r="AU33" s="63"/>
      <c r="AV33" s="63"/>
      <c r="AW33" s="63"/>
      <c r="AX33" s="63"/>
      <c r="AY33" s="9"/>
    </row>
    <row r="34" spans="2:51" ht="11.45" customHeight="1" x14ac:dyDescent="0.2">
      <c r="B34" s="7"/>
      <c r="C34" s="56"/>
      <c r="D34" s="56"/>
      <c r="E34" s="56"/>
      <c r="F34" s="56"/>
      <c r="G34" s="56"/>
      <c r="H34" s="64"/>
      <c r="I34" s="58"/>
      <c r="J34" s="58"/>
      <c r="K34" s="58"/>
      <c r="L34" s="58"/>
      <c r="M34" s="58"/>
      <c r="N34" s="48"/>
      <c r="O34" s="64"/>
      <c r="P34" s="58"/>
      <c r="Q34" s="58"/>
      <c r="R34" s="58"/>
      <c r="S34" s="58"/>
      <c r="T34" s="58"/>
      <c r="U34" s="48"/>
      <c r="V34" s="64"/>
      <c r="W34" s="58"/>
      <c r="X34" s="58"/>
      <c r="Y34" s="58"/>
      <c r="Z34" s="58"/>
      <c r="AA34" s="58"/>
      <c r="AB34" s="48"/>
      <c r="AC34" s="64"/>
      <c r="AD34" s="58"/>
      <c r="AE34" s="58"/>
      <c r="AF34" s="58"/>
      <c r="AG34" s="58"/>
      <c r="AH34" s="58"/>
      <c r="AI34" s="48"/>
      <c r="AJ34" s="65"/>
      <c r="AK34" s="66"/>
      <c r="AL34" s="66"/>
      <c r="AM34" s="66"/>
      <c r="AN34" s="66"/>
      <c r="AO34" s="67"/>
      <c r="AP34" s="63"/>
      <c r="AQ34" s="63"/>
      <c r="AR34" s="63"/>
      <c r="AS34" s="63"/>
      <c r="AT34" s="63"/>
      <c r="AU34" s="63"/>
      <c r="AV34" s="63"/>
      <c r="AW34" s="63"/>
      <c r="AX34" s="63"/>
      <c r="AY34" s="9"/>
    </row>
    <row r="35" spans="2:51" ht="25.5" customHeight="1" x14ac:dyDescent="0.2">
      <c r="B35" s="7"/>
      <c r="C35" s="56"/>
      <c r="D35" s="56"/>
      <c r="E35" s="56"/>
      <c r="F35" s="56"/>
      <c r="G35" s="56"/>
      <c r="H35" s="64"/>
      <c r="I35" s="58"/>
      <c r="J35" s="58"/>
      <c r="K35" s="58"/>
      <c r="L35" s="58"/>
      <c r="M35" s="58"/>
      <c r="N35" s="48"/>
      <c r="O35" s="64"/>
      <c r="P35" s="58"/>
      <c r="Q35" s="58"/>
      <c r="R35" s="58"/>
      <c r="S35" s="58"/>
      <c r="T35" s="58"/>
      <c r="U35" s="48"/>
      <c r="V35" s="64"/>
      <c r="W35" s="58"/>
      <c r="X35" s="58"/>
      <c r="Y35" s="58"/>
      <c r="Z35" s="58"/>
      <c r="AA35" s="58"/>
      <c r="AB35" s="48"/>
      <c r="AC35" s="64"/>
      <c r="AD35" s="58"/>
      <c r="AE35" s="58"/>
      <c r="AF35" s="58"/>
      <c r="AG35" s="58"/>
      <c r="AH35" s="58"/>
      <c r="AI35" s="48"/>
      <c r="AJ35" s="65"/>
      <c r="AK35" s="66"/>
      <c r="AL35" s="66"/>
      <c r="AM35" s="66"/>
      <c r="AN35" s="66"/>
      <c r="AO35" s="67"/>
      <c r="AP35" s="63"/>
      <c r="AQ35" s="63"/>
      <c r="AR35" s="63"/>
      <c r="AS35" s="63"/>
      <c r="AT35" s="63"/>
      <c r="AU35" s="63"/>
      <c r="AV35" s="63"/>
      <c r="AW35" s="63"/>
      <c r="AX35" s="63"/>
      <c r="AY35" s="9"/>
    </row>
    <row r="36" spans="2:51" ht="6.95" customHeight="1" x14ac:dyDescent="0.2">
      <c r="B36" s="7"/>
      <c r="C36" s="56"/>
      <c r="D36" s="56"/>
      <c r="E36" s="56"/>
      <c r="F36" s="56"/>
      <c r="G36" s="56"/>
      <c r="H36" s="68"/>
      <c r="I36" s="69"/>
      <c r="J36" s="69"/>
      <c r="K36" s="69"/>
      <c r="L36" s="69"/>
      <c r="M36" s="69"/>
      <c r="N36" s="49"/>
      <c r="O36" s="68"/>
      <c r="P36" s="69"/>
      <c r="Q36" s="69"/>
      <c r="R36" s="69"/>
      <c r="S36" s="69"/>
      <c r="T36" s="69"/>
      <c r="U36" s="49"/>
      <c r="V36" s="68"/>
      <c r="W36" s="69"/>
      <c r="X36" s="69"/>
      <c r="Y36" s="69"/>
      <c r="Z36" s="69"/>
      <c r="AA36" s="69"/>
      <c r="AB36" s="49"/>
      <c r="AC36" s="68"/>
      <c r="AD36" s="69"/>
      <c r="AE36" s="69"/>
      <c r="AF36" s="69"/>
      <c r="AG36" s="69"/>
      <c r="AH36" s="69"/>
      <c r="AI36" s="49"/>
      <c r="AJ36" s="65"/>
      <c r="AK36" s="66"/>
      <c r="AL36" s="66"/>
      <c r="AM36" s="66"/>
      <c r="AN36" s="66"/>
      <c r="AO36" s="67"/>
      <c r="AP36" s="63"/>
      <c r="AQ36" s="63"/>
      <c r="AR36" s="63"/>
      <c r="AS36" s="63"/>
      <c r="AT36" s="63"/>
      <c r="AU36" s="63"/>
      <c r="AV36" s="63"/>
      <c r="AW36" s="63"/>
      <c r="AX36" s="63"/>
      <c r="AY36" s="9"/>
    </row>
    <row r="37" spans="2:51" ht="6.95" customHeight="1" x14ac:dyDescent="0.2">
      <c r="B37" s="7"/>
      <c r="C37" s="56"/>
      <c r="D37" s="56"/>
      <c r="E37" s="56"/>
      <c r="F37" s="56"/>
      <c r="G37" s="56"/>
      <c r="H37" s="70"/>
      <c r="I37" s="69"/>
      <c r="J37" s="69"/>
      <c r="K37" s="69"/>
      <c r="L37" s="69"/>
      <c r="M37" s="69"/>
      <c r="N37" s="49"/>
      <c r="O37" s="70"/>
      <c r="P37" s="69"/>
      <c r="Q37" s="69"/>
      <c r="R37" s="69"/>
      <c r="S37" s="69"/>
      <c r="T37" s="69"/>
      <c r="U37" s="49"/>
      <c r="V37" s="70"/>
      <c r="W37" s="69"/>
      <c r="X37" s="69"/>
      <c r="Y37" s="69"/>
      <c r="Z37" s="69"/>
      <c r="AA37" s="69"/>
      <c r="AB37" s="49"/>
      <c r="AC37" s="70"/>
      <c r="AD37" s="69"/>
      <c r="AE37" s="69"/>
      <c r="AF37" s="69"/>
      <c r="AG37" s="69"/>
      <c r="AH37" s="69"/>
      <c r="AI37" s="49"/>
      <c r="AJ37" s="65"/>
      <c r="AK37" s="66"/>
      <c r="AL37" s="66"/>
      <c r="AM37" s="66"/>
      <c r="AN37" s="66"/>
      <c r="AO37" s="67"/>
      <c r="AP37" s="63"/>
      <c r="AQ37" s="63"/>
      <c r="AR37" s="63"/>
      <c r="AS37" s="63"/>
      <c r="AT37" s="63"/>
      <c r="AU37" s="63"/>
      <c r="AV37" s="63"/>
      <c r="AW37" s="63"/>
      <c r="AX37" s="63"/>
      <c r="AY37" s="9"/>
    </row>
    <row r="38" spans="2:51" ht="11.45" customHeight="1" x14ac:dyDescent="0.2">
      <c r="B38" s="7"/>
      <c r="C38" s="71"/>
      <c r="D38" s="71"/>
      <c r="E38" s="71"/>
      <c r="F38" s="71"/>
      <c r="G38" s="71"/>
      <c r="H38" s="72"/>
      <c r="I38" s="73"/>
      <c r="J38" s="73"/>
      <c r="K38" s="73"/>
      <c r="L38" s="73"/>
      <c r="M38" s="73"/>
      <c r="N38" s="73"/>
      <c r="O38" s="72"/>
      <c r="P38" s="73"/>
      <c r="Q38" s="73"/>
      <c r="R38" s="73"/>
      <c r="S38" s="73"/>
      <c r="T38" s="73"/>
      <c r="U38" s="73"/>
      <c r="V38" s="72"/>
      <c r="W38" s="73"/>
      <c r="X38" s="73"/>
      <c r="Y38" s="73"/>
      <c r="Z38" s="73"/>
      <c r="AA38" s="73"/>
      <c r="AB38" s="73"/>
      <c r="AC38" s="72"/>
      <c r="AD38" s="73"/>
      <c r="AE38" s="73"/>
      <c r="AF38" s="73"/>
      <c r="AG38" s="73"/>
      <c r="AH38" s="73"/>
      <c r="AI38" s="73"/>
      <c r="AJ38" s="74"/>
      <c r="AK38" s="75"/>
      <c r="AL38" s="75"/>
      <c r="AM38" s="75"/>
      <c r="AN38" s="75"/>
      <c r="AO38" s="76"/>
      <c r="AP38" s="72"/>
      <c r="AQ38" s="72"/>
      <c r="AR38" s="72"/>
      <c r="AS38" s="72"/>
      <c r="AT38" s="72"/>
      <c r="AU38" s="72"/>
      <c r="AV38" s="72"/>
      <c r="AW38" s="72"/>
      <c r="AX38" s="72"/>
      <c r="AY38" s="9"/>
    </row>
    <row r="39" spans="2:51" ht="11.45" customHeight="1" x14ac:dyDescent="0.2">
      <c r="B39" s="7"/>
      <c r="C39" s="77"/>
      <c r="D39" s="77"/>
      <c r="E39" s="77"/>
      <c r="F39" s="77"/>
      <c r="G39" s="77"/>
      <c r="H39" s="78"/>
      <c r="I39" s="79"/>
      <c r="J39" s="79"/>
      <c r="K39" s="79"/>
      <c r="L39" s="79"/>
      <c r="M39" s="79"/>
      <c r="N39" s="79"/>
      <c r="O39" s="78"/>
      <c r="P39" s="79"/>
      <c r="Q39" s="79"/>
      <c r="R39" s="79"/>
      <c r="S39" s="79"/>
      <c r="T39" s="79"/>
      <c r="U39" s="79"/>
      <c r="V39" s="78"/>
      <c r="W39" s="79"/>
      <c r="X39" s="79"/>
      <c r="Y39" s="79"/>
      <c r="Z39" s="79"/>
      <c r="AA39" s="79"/>
      <c r="AB39" s="79"/>
      <c r="AC39" s="78"/>
      <c r="AD39" s="79"/>
      <c r="AE39" s="79"/>
      <c r="AF39" s="79"/>
      <c r="AG39" s="79"/>
      <c r="AH39" s="79"/>
      <c r="AI39" s="79"/>
      <c r="AJ39" s="74"/>
      <c r="AK39" s="75"/>
      <c r="AL39" s="75"/>
      <c r="AM39" s="75"/>
      <c r="AN39" s="75"/>
      <c r="AO39" s="76"/>
      <c r="AP39" s="78"/>
      <c r="AQ39" s="78"/>
      <c r="AR39" s="78"/>
      <c r="AS39" s="78"/>
      <c r="AT39" s="78"/>
      <c r="AU39" s="78"/>
      <c r="AV39" s="78"/>
      <c r="AW39" s="78"/>
      <c r="AX39" s="78"/>
      <c r="AY39" s="9"/>
    </row>
    <row r="40" spans="2:51" ht="11.45" customHeight="1" x14ac:dyDescent="0.2">
      <c r="B40" s="7"/>
      <c r="C40" s="77"/>
      <c r="D40" s="77"/>
      <c r="E40" s="77"/>
      <c r="F40" s="77"/>
      <c r="G40" s="77"/>
      <c r="H40" s="78"/>
      <c r="I40" s="79"/>
      <c r="J40" s="79"/>
      <c r="K40" s="79"/>
      <c r="L40" s="79"/>
      <c r="M40" s="79"/>
      <c r="N40" s="79"/>
      <c r="O40" s="78"/>
      <c r="P40" s="79"/>
      <c r="Q40" s="79"/>
      <c r="R40" s="79"/>
      <c r="S40" s="79"/>
      <c r="T40" s="79"/>
      <c r="U40" s="79"/>
      <c r="V40" s="78"/>
      <c r="W40" s="79"/>
      <c r="X40" s="79"/>
      <c r="Y40" s="79"/>
      <c r="Z40" s="79"/>
      <c r="AA40" s="79"/>
      <c r="AB40" s="79"/>
      <c r="AC40" s="78"/>
      <c r="AD40" s="79"/>
      <c r="AE40" s="79"/>
      <c r="AF40" s="79"/>
      <c r="AG40" s="79"/>
      <c r="AH40" s="79"/>
      <c r="AI40" s="79"/>
      <c r="AJ40" s="74"/>
      <c r="AK40" s="75"/>
      <c r="AL40" s="75"/>
      <c r="AM40" s="75"/>
      <c r="AN40" s="75"/>
      <c r="AO40" s="76"/>
      <c r="AP40" s="78"/>
      <c r="AQ40" s="78"/>
      <c r="AR40" s="78"/>
      <c r="AS40" s="78"/>
      <c r="AT40" s="78"/>
      <c r="AU40" s="78"/>
      <c r="AV40" s="78"/>
      <c r="AW40" s="78"/>
      <c r="AX40" s="78"/>
      <c r="AY40" s="9"/>
    </row>
    <row r="41" spans="2:51" ht="11.45" customHeight="1" x14ac:dyDescent="0.2">
      <c r="B41" s="7"/>
      <c r="C41" s="80"/>
      <c r="D41" s="80"/>
      <c r="E41" s="80"/>
      <c r="F41" s="80"/>
      <c r="G41" s="80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2"/>
      <c r="AK41" s="83"/>
      <c r="AL41" s="83"/>
      <c r="AM41" s="83"/>
      <c r="AN41" s="83"/>
      <c r="AO41" s="84"/>
      <c r="AP41" s="85"/>
      <c r="AQ41" s="85"/>
      <c r="AR41" s="85"/>
      <c r="AS41" s="85"/>
      <c r="AT41" s="85"/>
      <c r="AU41" s="85"/>
      <c r="AV41" s="85"/>
      <c r="AW41" s="85"/>
      <c r="AX41" s="85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0.5" customHeight="1" x14ac:dyDescent="0.2">
      <c r="B43" s="7"/>
      <c r="C43" s="8"/>
      <c r="D43" s="358" t="str">
        <f>REPT(CHAR(73),42*(COUNTIF(H21:AI22,"*")))</f>
        <v/>
      </c>
      <c r="E43" s="359"/>
      <c r="F43" s="359"/>
      <c r="G43" s="359"/>
      <c r="H43" s="359"/>
      <c r="I43" s="359"/>
      <c r="J43" s="359"/>
      <c r="K43" s="359"/>
      <c r="L43" s="359"/>
      <c r="M43" s="359"/>
      <c r="N43" s="359"/>
      <c r="O43" s="359"/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59"/>
      <c r="AC43" s="359"/>
      <c r="AD43" s="155" t="str">
        <f>IF(COUNTIF(H21:AI22,"*")=4,"a","")</f>
        <v/>
      </c>
      <c r="AE43" s="155"/>
      <c r="AF43" s="8"/>
      <c r="AG43" s="370"/>
      <c r="AH43" s="371"/>
      <c r="AI43" s="372"/>
      <c r="AJ43" s="372"/>
      <c r="AK43" s="373"/>
      <c r="AL43" s="8"/>
      <c r="AM43" s="363" t="str">
        <f>"PEAI"</f>
        <v>PEAI</v>
      </c>
      <c r="AN43" s="364"/>
      <c r="AO43" s="365"/>
      <c r="AP43" s="365"/>
      <c r="AQ43" s="366"/>
      <c r="AR43" s="8"/>
      <c r="AS43" s="370"/>
      <c r="AT43" s="371"/>
      <c r="AU43" s="372"/>
      <c r="AV43" s="372"/>
      <c r="AW43" s="373"/>
      <c r="AX43" s="8"/>
      <c r="AY43" s="9"/>
    </row>
    <row r="44" spans="2:51" ht="10.5" customHeight="1" x14ac:dyDescent="0.2">
      <c r="B44" s="7"/>
      <c r="C44" s="8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59"/>
      <c r="AC44" s="359"/>
      <c r="AD44" s="353"/>
      <c r="AE44" s="353"/>
      <c r="AF44" s="8"/>
      <c r="AG44" s="374"/>
      <c r="AH44" s="375"/>
      <c r="AI44" s="375"/>
      <c r="AJ44" s="375"/>
      <c r="AK44" s="376"/>
      <c r="AL44" s="8"/>
      <c r="AM44" s="367"/>
      <c r="AN44" s="368"/>
      <c r="AO44" s="368"/>
      <c r="AP44" s="368"/>
      <c r="AQ44" s="369"/>
      <c r="AR44" s="8"/>
      <c r="AS44" s="374"/>
      <c r="AT44" s="375"/>
      <c r="AU44" s="375"/>
      <c r="AV44" s="375"/>
      <c r="AW44" s="376"/>
      <c r="AX44" s="8"/>
      <c r="AY44" s="9"/>
    </row>
    <row r="45" spans="2:51" ht="3.95" customHeight="1" x14ac:dyDescent="0.2">
      <c r="B45" s="7"/>
      <c r="C45" s="8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39" t="s">
        <v>4176</v>
      </c>
      <c r="D46" s="139"/>
      <c r="E46" s="139" t="s">
        <v>4177</v>
      </c>
      <c r="F46" s="139"/>
      <c r="G46" s="139" t="s">
        <v>4126</v>
      </c>
      <c r="H46" s="139"/>
      <c r="I46" s="139" t="s">
        <v>4178</v>
      </c>
      <c r="J46" s="139"/>
      <c r="K46" s="139" t="s">
        <v>4179</v>
      </c>
      <c r="L46" s="139"/>
      <c r="M46" s="139" t="s">
        <v>4180</v>
      </c>
      <c r="N46" s="139"/>
      <c r="O46" s="139" t="s">
        <v>4181</v>
      </c>
      <c r="P46" s="139"/>
      <c r="Q46" s="139" t="s">
        <v>4182</v>
      </c>
      <c r="R46" s="139"/>
      <c r="S46" s="139" t="s">
        <v>4183</v>
      </c>
      <c r="T46" s="139"/>
      <c r="U46" s="139" t="s">
        <v>4184</v>
      </c>
      <c r="V46" s="139"/>
      <c r="W46" s="139" t="s">
        <v>4185</v>
      </c>
      <c r="X46" s="139"/>
      <c r="Y46" s="139" t="s">
        <v>4186</v>
      </c>
      <c r="Z46" s="139"/>
      <c r="AA46" s="139" t="s">
        <v>1780</v>
      </c>
      <c r="AB46" s="139"/>
      <c r="AC46" s="139" t="s">
        <v>4187</v>
      </c>
      <c r="AD46" s="139"/>
      <c r="AE46" s="139" t="s">
        <v>1781</v>
      </c>
      <c r="AF46" s="139"/>
      <c r="AG46" s="139" t="s">
        <v>4188</v>
      </c>
      <c r="AH46" s="139"/>
      <c r="AI46" s="139" t="s">
        <v>4189</v>
      </c>
      <c r="AJ46" s="139"/>
      <c r="AK46" s="139" t="s">
        <v>4190</v>
      </c>
      <c r="AL46" s="139"/>
      <c r="AM46" s="139" t="s">
        <v>4191</v>
      </c>
      <c r="AN46" s="139"/>
      <c r="AO46" s="139" t="s">
        <v>4192</v>
      </c>
      <c r="AP46" s="139"/>
      <c r="AQ46" s="139" t="s">
        <v>4176</v>
      </c>
      <c r="AR46" s="139"/>
      <c r="AS46" s="139" t="s">
        <v>4177</v>
      </c>
      <c r="AT46" s="139"/>
      <c r="AU46" s="139" t="s">
        <v>4126</v>
      </c>
      <c r="AV46" s="139"/>
      <c r="AW46" s="139" t="s">
        <v>4178</v>
      </c>
      <c r="AX46" s="139"/>
      <c r="AY46" s="9"/>
    </row>
    <row r="47" spans="2:51" ht="12" customHeight="1" x14ac:dyDescent="0.2">
      <c r="B47" s="7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  <c r="AJ47" s="139"/>
      <c r="AK47" s="139"/>
      <c r="AL47" s="139"/>
      <c r="AM47" s="139"/>
      <c r="AN47" s="139"/>
      <c r="AO47" s="139"/>
      <c r="AP47" s="139"/>
      <c r="AQ47" s="139"/>
      <c r="AR47" s="139"/>
      <c r="AS47" s="139"/>
      <c r="AT47" s="139"/>
      <c r="AU47" s="139"/>
      <c r="AV47" s="139"/>
      <c r="AW47" s="139"/>
      <c r="AX47" s="139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IF('MOD1'!$AY$49="","",'MOD1'!$AY$49)</f>
        <v>*Equipo de Gestión de la Información - EBR - Ministerio de Educación</v>
      </c>
    </row>
  </sheetData>
  <sheetProtection algorithmName="SHA-512" hashValue="gfm1YDW+VdfJds1LC3hEgzeHroLTVuAAXgovIYhIJmTgDZCio7QvZRayYYGrk2JXVSAPUSLJtsUoh9FiUK5njw==" saltValue="PtzLXaFvg7bcvE/hDx2XBw==" spinCount="100000" sheet="1" objects="1" scenarios="1"/>
  <mergeCells count="55"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  <mergeCell ref="C13:G22"/>
    <mergeCell ref="H13:N20"/>
    <mergeCell ref="O13:U20"/>
    <mergeCell ref="V13:AB20"/>
    <mergeCell ref="AC13:AI20"/>
    <mergeCell ref="AP13:AX22"/>
    <mergeCell ref="H21:N22"/>
    <mergeCell ref="O21:U22"/>
    <mergeCell ref="V21:AB22"/>
    <mergeCell ref="AC21:AI22"/>
    <mergeCell ref="AJ13:AO26"/>
    <mergeCell ref="AP23:AX26"/>
    <mergeCell ref="D43:AC44"/>
    <mergeCell ref="AD43:AE44"/>
    <mergeCell ref="AG43:AK44"/>
    <mergeCell ref="AM43:AQ44"/>
    <mergeCell ref="AS43:AW44"/>
    <mergeCell ref="C23:G26"/>
    <mergeCell ref="H23:N26"/>
    <mergeCell ref="O23:U26"/>
    <mergeCell ref="V23:AB26"/>
    <mergeCell ref="AC23:AI26"/>
    <mergeCell ref="Y46:Z47"/>
    <mergeCell ref="C46:D47"/>
    <mergeCell ref="E46:F47"/>
    <mergeCell ref="G46:H47"/>
    <mergeCell ref="I46:J47"/>
    <mergeCell ref="K46:L47"/>
    <mergeCell ref="M46:N47"/>
    <mergeCell ref="O46:P47"/>
    <mergeCell ref="Q46:R47"/>
    <mergeCell ref="S46:T47"/>
    <mergeCell ref="U46:V47"/>
    <mergeCell ref="W46:X47"/>
    <mergeCell ref="AW46:AX47"/>
    <mergeCell ref="AA46:AB47"/>
    <mergeCell ref="AC46:AD47"/>
    <mergeCell ref="AE46:AF47"/>
    <mergeCell ref="AG46:AH47"/>
    <mergeCell ref="AI46:AJ47"/>
    <mergeCell ref="AK46:AL47"/>
    <mergeCell ref="AM46:AN47"/>
    <mergeCell ref="AO46:AP47"/>
    <mergeCell ref="AQ46:AR47"/>
    <mergeCell ref="AS46:AT47"/>
    <mergeCell ref="AU46:AV47"/>
  </mergeCells>
  <conditionalFormatting sqref="AG43:AK44">
    <cfRule type="cellIs" dxfId="59" priority="15" operator="equal">
      <formula>""</formula>
    </cfRule>
  </conditionalFormatting>
  <conditionalFormatting sqref="AS43:AW44">
    <cfRule type="cellIs" dxfId="58" priority="14" operator="equal">
      <formula>""</formula>
    </cfRule>
  </conditionalFormatting>
  <conditionalFormatting sqref="C28:AX41">
    <cfRule type="expression" dxfId="57" priority="13">
      <formula>$C$38=""</formula>
    </cfRule>
  </conditionalFormatting>
  <conditionalFormatting sqref="C23:G26 H21:AI22 AP13:AX26">
    <cfRule type="expression" dxfId="56" priority="12">
      <formula>$C$13=""</formula>
    </cfRule>
  </conditionalFormatting>
  <conditionalFormatting sqref="C13:G22">
    <cfRule type="expression" dxfId="55" priority="8">
      <formula>$C$13=""</formula>
    </cfRule>
  </conditionalFormatting>
  <conditionalFormatting sqref="H13:AI20">
    <cfRule type="expression" dxfId="54" priority="7">
      <formula>$C$13=""</formula>
    </cfRule>
  </conditionalFormatting>
  <conditionalFormatting sqref="H23:AI26">
    <cfRule type="expression" dxfId="53" priority="6">
      <formula>$C$13=""</formula>
    </cfRule>
  </conditionalFormatting>
  <conditionalFormatting sqref="AJ13:AO26">
    <cfRule type="expression" dxfId="52" priority="5">
      <formula>$C$13=""</formula>
    </cfRule>
  </conditionalFormatting>
  <conditionalFormatting sqref="AM43:AQ44">
    <cfRule type="cellIs" dxfId="51" priority="4" operator="equal">
      <formula>"PEAI"</formula>
    </cfRule>
  </conditionalFormatting>
  <conditionalFormatting sqref="C46:AX47">
    <cfRule type="expression" dxfId="50" priority="1">
      <formula>IF(CODE(C46)=38,1,0)</formula>
    </cfRule>
    <cfRule type="expression" dxfId="49" priority="2">
      <formula>IF(CODE(C46)=37,1,0)</formula>
    </cfRule>
    <cfRule type="expression" dxfId="48" priority="3">
      <formula>IF(OR(CODE(C46)=143,CODE(C46)=167,CODE(C46)=168,CODE(C46)=254),1,0)</formula>
    </cfRule>
  </conditionalFormatting>
  <dataValidations count="10">
    <dataValidation allowBlank="1" showInputMessage="1" showErrorMessage="1" promptTitle="Ingrese" prompt="Describir principales aspectos que facilitaron que la IIEE llegara a este logro, así como dificultades." sqref="AP13:AX22"/>
    <dataValidation allowBlank="1" showInputMessage="1" showErrorMessage="1" promptTitle="Información" prompt="Actividad ambiental" sqref="C13:G22"/>
    <dataValidation allowBlank="1" showInputMessage="1" showErrorMessage="1" promptTitle="Información" prompt="Indicador de la actividad" sqref="AJ13:AO26"/>
    <dataValidation allowBlank="1" showInputMessage="1" showErrorMessage="1" promptTitle="Información" prompt="Hitos de aplicación" sqref="H13:AI20"/>
    <dataValidation allowBlank="1" showInputMessage="1" showErrorMessage="1" promptTitle="Información" prompt="Medios de verificación" sqref="AP23:AX26 C23:AI26"/>
    <dataValidation type="list" allowBlank="1" showInputMessage="1" showErrorMessage="1" errorTitle="Mensaje de validación" error="Solo se permite datos de la lista desplegable._x000a__x000a_Intente de nuevo." promptTitle="Seleccionar" prompt="SI o NO" sqref="H21:AI22">
      <formula1>"SI, NO"</formula1>
    </dataValidation>
    <dataValidation allowBlank="1" showInputMessage="1" showErrorMessage="1" promptTitle="Mensaje" prompt="Hitos de aplicación del enfoque ambiental" sqref="H11:AE11 H12:M12 O12:T12 V12:AA12 AC12:AH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Indicador" sqref="AJ11:AO1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7" tint="-0.249977111117893"/>
    <pageSetUpPr fitToPage="1"/>
  </sheetPr>
  <dimension ref="A1:AY49"/>
  <sheetViews>
    <sheetView showGridLines="0" zoomScaleNormal="100" zoomScaleSheetLayoutView="100" workbookViewId="0">
      <selection activeCell="C46" sqref="C46:AX47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15" t="str">
        <f>LISTAS!AI21</f>
        <v>Mi Huella – Mido y reduzco mi huella de carbono</v>
      </c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  <c r="W9" s="316"/>
      <c r="X9" s="316"/>
      <c r="Y9" s="316"/>
      <c r="Z9" s="316"/>
      <c r="AA9" s="316"/>
      <c r="AB9" s="316"/>
      <c r="AC9" s="316"/>
      <c r="AD9" s="316"/>
      <c r="AE9" s="316"/>
      <c r="AF9" s="316"/>
      <c r="AG9" s="316"/>
      <c r="AH9" s="316"/>
      <c r="AI9" s="316"/>
      <c r="AJ9" s="316"/>
      <c r="AK9" s="316"/>
      <c r="AL9" s="316"/>
      <c r="AM9" s="316"/>
      <c r="AN9" s="316"/>
      <c r="AO9" s="316"/>
      <c r="AP9" s="316"/>
      <c r="AQ9" s="316"/>
      <c r="AR9" s="316"/>
      <c r="AS9" s="316"/>
      <c r="AT9" s="316"/>
      <c r="AU9" s="316"/>
      <c r="AV9" s="316"/>
      <c r="AW9" s="316"/>
      <c r="AX9" s="316"/>
      <c r="AY9" s="9"/>
    </row>
    <row r="10" spans="1:51" ht="9" customHeight="1" x14ac:dyDescent="0.2">
      <c r="B10" s="7"/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9"/>
    </row>
    <row r="11" spans="1:51" ht="12" customHeight="1" x14ac:dyDescent="0.2">
      <c r="B11" s="7"/>
      <c r="C11" s="319" t="s">
        <v>1793</v>
      </c>
      <c r="D11" s="320"/>
      <c r="E11" s="320"/>
      <c r="F11" s="320"/>
      <c r="G11" s="320"/>
      <c r="H11" s="321" t="s">
        <v>1794</v>
      </c>
      <c r="I11" s="322"/>
      <c r="J11" s="322"/>
      <c r="K11" s="322"/>
      <c r="L11" s="322"/>
      <c r="M11" s="322"/>
      <c r="N11" s="322"/>
      <c r="O11" s="322"/>
      <c r="P11" s="322"/>
      <c r="Q11" s="322"/>
      <c r="R11" s="322"/>
      <c r="S11" s="322"/>
      <c r="T11" s="322"/>
      <c r="U11" s="322"/>
      <c r="V11" s="322"/>
      <c r="W11" s="322"/>
      <c r="X11" s="322"/>
      <c r="Y11" s="322"/>
      <c r="Z11" s="322"/>
      <c r="AA11" s="322"/>
      <c r="AB11" s="322"/>
      <c r="AC11" s="322"/>
      <c r="AD11" s="322"/>
      <c r="AE11" s="322"/>
      <c r="AF11" s="324"/>
      <c r="AG11" s="324"/>
      <c r="AH11" s="324"/>
      <c r="AI11" s="323"/>
      <c r="AJ11" s="319" t="s">
        <v>1800</v>
      </c>
      <c r="AK11" s="320"/>
      <c r="AL11" s="320"/>
      <c r="AM11" s="320"/>
      <c r="AN11" s="320"/>
      <c r="AO11" s="320"/>
      <c r="AP11" s="319" t="s">
        <v>1801</v>
      </c>
      <c r="AQ11" s="320"/>
      <c r="AR11" s="320"/>
      <c r="AS11" s="320"/>
      <c r="AT11" s="320"/>
      <c r="AU11" s="320"/>
      <c r="AV11" s="320"/>
      <c r="AW11" s="320"/>
      <c r="AX11" s="320"/>
      <c r="AY11" s="9"/>
    </row>
    <row r="12" spans="1:51" ht="9.9499999999999993" customHeight="1" x14ac:dyDescent="0.2">
      <c r="B12" s="7"/>
      <c r="C12" s="320"/>
      <c r="D12" s="320"/>
      <c r="E12" s="320"/>
      <c r="F12" s="320"/>
      <c r="G12" s="320"/>
      <c r="H12" s="321" t="s">
        <v>1795</v>
      </c>
      <c r="I12" s="322"/>
      <c r="J12" s="322"/>
      <c r="K12" s="322"/>
      <c r="L12" s="322"/>
      <c r="M12" s="322"/>
      <c r="N12" s="323"/>
      <c r="O12" s="321" t="s">
        <v>1796</v>
      </c>
      <c r="P12" s="322"/>
      <c r="Q12" s="322"/>
      <c r="R12" s="322"/>
      <c r="S12" s="322"/>
      <c r="T12" s="322"/>
      <c r="U12" s="323"/>
      <c r="V12" s="321" t="s">
        <v>1797</v>
      </c>
      <c r="W12" s="322"/>
      <c r="X12" s="322"/>
      <c r="Y12" s="322"/>
      <c r="Z12" s="322"/>
      <c r="AA12" s="322"/>
      <c r="AB12" s="323"/>
      <c r="AC12" s="321" t="s">
        <v>1798</v>
      </c>
      <c r="AD12" s="322"/>
      <c r="AE12" s="322"/>
      <c r="AF12" s="322"/>
      <c r="AG12" s="322"/>
      <c r="AH12" s="322"/>
      <c r="AI12" s="323"/>
      <c r="AJ12" s="320"/>
      <c r="AK12" s="320"/>
      <c r="AL12" s="320"/>
      <c r="AM12" s="320"/>
      <c r="AN12" s="320"/>
      <c r="AO12" s="320"/>
      <c r="AP12" s="320"/>
      <c r="AQ12" s="320"/>
      <c r="AR12" s="320"/>
      <c r="AS12" s="320"/>
      <c r="AT12" s="320"/>
      <c r="AU12" s="320"/>
      <c r="AV12" s="320"/>
      <c r="AW12" s="320"/>
      <c r="AX12" s="320"/>
      <c r="AY12" s="9"/>
    </row>
    <row r="13" spans="1:51" ht="11.45" customHeight="1" x14ac:dyDescent="0.2">
      <c r="B13" s="7"/>
      <c r="C13" s="317" t="str">
        <f>LISTAS!AJ21</f>
        <v>16. LA I.E. implementó un PEAI como recurso pedagógico y para el desarrollo de la conciencia ambiental y sobre la salud.</v>
      </c>
      <c r="D13" s="318"/>
      <c r="E13" s="318"/>
      <c r="F13" s="318"/>
      <c r="G13" s="318"/>
      <c r="H13" s="334" t="str">
        <f>LISTAS!AK21</f>
        <v xml:space="preserve">El PEAI fue incluido en el PAT. </v>
      </c>
      <c r="I13" s="335"/>
      <c r="J13" s="335"/>
      <c r="K13" s="335"/>
      <c r="L13" s="335"/>
      <c r="M13" s="335"/>
      <c r="N13" s="336"/>
      <c r="O13" s="334" t="str">
        <f>LISTAS!AL21</f>
        <v xml:space="preserve">La I.E. implementó el PEAI con actividades pedagógicas articuladas mínimo a tres áreas curriculares. </v>
      </c>
      <c r="P13" s="335"/>
      <c r="Q13" s="335"/>
      <c r="R13" s="335"/>
      <c r="S13" s="335"/>
      <c r="T13" s="335"/>
      <c r="U13" s="336"/>
      <c r="V13" s="334" t="str">
        <f>LISTAS!AM21</f>
        <v>La I.E. implementó actividades institucionales para la ejecución del PEAI a lo largo de todo el año escolar.</v>
      </c>
      <c r="W13" s="335"/>
      <c r="X13" s="335"/>
      <c r="Y13" s="335"/>
      <c r="Z13" s="335"/>
      <c r="AA13" s="335"/>
      <c r="AB13" s="336"/>
      <c r="AC13" s="334" t="str">
        <f>LISTAS!AN21</f>
        <v>El PEAI se implementó con apoyo de instituciones del sector público y/o privado.</v>
      </c>
      <c r="AD13" s="335"/>
      <c r="AE13" s="335"/>
      <c r="AF13" s="335"/>
      <c r="AG13" s="335"/>
      <c r="AH13" s="335"/>
      <c r="AI13" s="336"/>
      <c r="AJ13" s="338" t="str">
        <f>LISTAS!AO21</f>
        <v>N° de hitos de aplicación del enfoque ambiental puestos en práctica en la implementación del PEAI.</v>
      </c>
      <c r="AK13" s="339"/>
      <c r="AL13" s="339"/>
      <c r="AM13" s="339"/>
      <c r="AN13" s="339"/>
      <c r="AO13" s="340"/>
      <c r="AP13" s="350"/>
      <c r="AQ13" s="351"/>
      <c r="AR13" s="351"/>
      <c r="AS13" s="351"/>
      <c r="AT13" s="351"/>
      <c r="AU13" s="351"/>
      <c r="AV13" s="351"/>
      <c r="AW13" s="351"/>
      <c r="AX13" s="351"/>
      <c r="AY13" s="9"/>
    </row>
    <row r="14" spans="1:51" ht="11.45" customHeight="1" x14ac:dyDescent="0.2">
      <c r="B14" s="7"/>
      <c r="C14" s="318"/>
      <c r="D14" s="318"/>
      <c r="E14" s="318"/>
      <c r="F14" s="318"/>
      <c r="G14" s="318"/>
      <c r="H14" s="337"/>
      <c r="I14" s="335"/>
      <c r="J14" s="335"/>
      <c r="K14" s="335"/>
      <c r="L14" s="335"/>
      <c r="M14" s="335"/>
      <c r="N14" s="336"/>
      <c r="O14" s="337"/>
      <c r="P14" s="335"/>
      <c r="Q14" s="335"/>
      <c r="R14" s="335"/>
      <c r="S14" s="335"/>
      <c r="T14" s="335"/>
      <c r="U14" s="336"/>
      <c r="V14" s="337"/>
      <c r="W14" s="335"/>
      <c r="X14" s="335"/>
      <c r="Y14" s="335"/>
      <c r="Z14" s="335"/>
      <c r="AA14" s="335"/>
      <c r="AB14" s="336"/>
      <c r="AC14" s="337"/>
      <c r="AD14" s="335"/>
      <c r="AE14" s="335"/>
      <c r="AF14" s="335"/>
      <c r="AG14" s="335"/>
      <c r="AH14" s="335"/>
      <c r="AI14" s="336"/>
      <c r="AJ14" s="341"/>
      <c r="AK14" s="342"/>
      <c r="AL14" s="342"/>
      <c r="AM14" s="342"/>
      <c r="AN14" s="342"/>
      <c r="AO14" s="343"/>
      <c r="AP14" s="351"/>
      <c r="AQ14" s="351"/>
      <c r="AR14" s="351"/>
      <c r="AS14" s="351"/>
      <c r="AT14" s="351"/>
      <c r="AU14" s="351"/>
      <c r="AV14" s="351"/>
      <c r="AW14" s="351"/>
      <c r="AX14" s="351"/>
      <c r="AY14" s="9"/>
    </row>
    <row r="15" spans="1:51" ht="11.45" customHeight="1" x14ac:dyDescent="0.2">
      <c r="B15" s="7"/>
      <c r="C15" s="318"/>
      <c r="D15" s="318"/>
      <c r="E15" s="318"/>
      <c r="F15" s="318"/>
      <c r="G15" s="318"/>
      <c r="H15" s="337"/>
      <c r="I15" s="335"/>
      <c r="J15" s="335"/>
      <c r="K15" s="335"/>
      <c r="L15" s="335"/>
      <c r="M15" s="335"/>
      <c r="N15" s="336"/>
      <c r="O15" s="337"/>
      <c r="P15" s="335"/>
      <c r="Q15" s="335"/>
      <c r="R15" s="335"/>
      <c r="S15" s="335"/>
      <c r="T15" s="335"/>
      <c r="U15" s="336"/>
      <c r="V15" s="337"/>
      <c r="W15" s="335"/>
      <c r="X15" s="335"/>
      <c r="Y15" s="335"/>
      <c r="Z15" s="335"/>
      <c r="AA15" s="335"/>
      <c r="AB15" s="336"/>
      <c r="AC15" s="337"/>
      <c r="AD15" s="335"/>
      <c r="AE15" s="335"/>
      <c r="AF15" s="335"/>
      <c r="AG15" s="335"/>
      <c r="AH15" s="335"/>
      <c r="AI15" s="336"/>
      <c r="AJ15" s="341"/>
      <c r="AK15" s="342"/>
      <c r="AL15" s="342"/>
      <c r="AM15" s="342"/>
      <c r="AN15" s="342"/>
      <c r="AO15" s="343"/>
      <c r="AP15" s="351"/>
      <c r="AQ15" s="351"/>
      <c r="AR15" s="351"/>
      <c r="AS15" s="351"/>
      <c r="AT15" s="351"/>
      <c r="AU15" s="351"/>
      <c r="AV15" s="351"/>
      <c r="AW15" s="351"/>
      <c r="AX15" s="351"/>
      <c r="AY15" s="9"/>
    </row>
    <row r="16" spans="1:51" ht="11.45" customHeight="1" x14ac:dyDescent="0.2">
      <c r="B16" s="7"/>
      <c r="C16" s="318"/>
      <c r="D16" s="318"/>
      <c r="E16" s="318"/>
      <c r="F16" s="318"/>
      <c r="G16" s="318"/>
      <c r="H16" s="337"/>
      <c r="I16" s="335"/>
      <c r="J16" s="335"/>
      <c r="K16" s="335"/>
      <c r="L16" s="335"/>
      <c r="M16" s="335"/>
      <c r="N16" s="336"/>
      <c r="O16" s="337"/>
      <c r="P16" s="335"/>
      <c r="Q16" s="335"/>
      <c r="R16" s="335"/>
      <c r="S16" s="335"/>
      <c r="T16" s="335"/>
      <c r="U16" s="336"/>
      <c r="V16" s="337"/>
      <c r="W16" s="335"/>
      <c r="X16" s="335"/>
      <c r="Y16" s="335"/>
      <c r="Z16" s="335"/>
      <c r="AA16" s="335"/>
      <c r="AB16" s="336"/>
      <c r="AC16" s="337"/>
      <c r="AD16" s="335"/>
      <c r="AE16" s="335"/>
      <c r="AF16" s="335"/>
      <c r="AG16" s="335"/>
      <c r="AH16" s="335"/>
      <c r="AI16" s="336"/>
      <c r="AJ16" s="341"/>
      <c r="AK16" s="342"/>
      <c r="AL16" s="342"/>
      <c r="AM16" s="342"/>
      <c r="AN16" s="342"/>
      <c r="AO16" s="343"/>
      <c r="AP16" s="351"/>
      <c r="AQ16" s="351"/>
      <c r="AR16" s="351"/>
      <c r="AS16" s="351"/>
      <c r="AT16" s="351"/>
      <c r="AU16" s="351"/>
      <c r="AV16" s="351"/>
      <c r="AW16" s="351"/>
      <c r="AX16" s="351"/>
      <c r="AY16" s="9"/>
    </row>
    <row r="17" spans="2:51" ht="11.45" customHeight="1" x14ac:dyDescent="0.2">
      <c r="B17" s="7"/>
      <c r="C17" s="318"/>
      <c r="D17" s="318"/>
      <c r="E17" s="318"/>
      <c r="F17" s="318"/>
      <c r="G17" s="318"/>
      <c r="H17" s="337"/>
      <c r="I17" s="335"/>
      <c r="J17" s="335"/>
      <c r="K17" s="335"/>
      <c r="L17" s="335"/>
      <c r="M17" s="335"/>
      <c r="N17" s="336"/>
      <c r="O17" s="337"/>
      <c r="P17" s="335"/>
      <c r="Q17" s="335"/>
      <c r="R17" s="335"/>
      <c r="S17" s="335"/>
      <c r="T17" s="335"/>
      <c r="U17" s="336"/>
      <c r="V17" s="337"/>
      <c r="W17" s="335"/>
      <c r="X17" s="335"/>
      <c r="Y17" s="335"/>
      <c r="Z17" s="335"/>
      <c r="AA17" s="335"/>
      <c r="AB17" s="336"/>
      <c r="AC17" s="337"/>
      <c r="AD17" s="335"/>
      <c r="AE17" s="335"/>
      <c r="AF17" s="335"/>
      <c r="AG17" s="335"/>
      <c r="AH17" s="335"/>
      <c r="AI17" s="336"/>
      <c r="AJ17" s="341"/>
      <c r="AK17" s="342"/>
      <c r="AL17" s="342"/>
      <c r="AM17" s="342"/>
      <c r="AN17" s="342"/>
      <c r="AO17" s="343"/>
      <c r="AP17" s="351"/>
      <c r="AQ17" s="351"/>
      <c r="AR17" s="351"/>
      <c r="AS17" s="351"/>
      <c r="AT17" s="351"/>
      <c r="AU17" s="351"/>
      <c r="AV17" s="351"/>
      <c r="AW17" s="351"/>
      <c r="AX17" s="351"/>
      <c r="AY17" s="9"/>
    </row>
    <row r="18" spans="2:51" ht="11.45" customHeight="1" x14ac:dyDescent="0.2">
      <c r="B18" s="7"/>
      <c r="C18" s="318"/>
      <c r="D18" s="318"/>
      <c r="E18" s="318"/>
      <c r="F18" s="318"/>
      <c r="G18" s="318"/>
      <c r="H18" s="337"/>
      <c r="I18" s="335"/>
      <c r="J18" s="335"/>
      <c r="K18" s="335"/>
      <c r="L18" s="335"/>
      <c r="M18" s="335"/>
      <c r="N18" s="336"/>
      <c r="O18" s="337"/>
      <c r="P18" s="335"/>
      <c r="Q18" s="335"/>
      <c r="R18" s="335"/>
      <c r="S18" s="335"/>
      <c r="T18" s="335"/>
      <c r="U18" s="336"/>
      <c r="V18" s="337"/>
      <c r="W18" s="335"/>
      <c r="X18" s="335"/>
      <c r="Y18" s="335"/>
      <c r="Z18" s="335"/>
      <c r="AA18" s="335"/>
      <c r="AB18" s="336"/>
      <c r="AC18" s="337"/>
      <c r="AD18" s="335"/>
      <c r="AE18" s="335"/>
      <c r="AF18" s="335"/>
      <c r="AG18" s="335"/>
      <c r="AH18" s="335"/>
      <c r="AI18" s="336"/>
      <c r="AJ18" s="341"/>
      <c r="AK18" s="342"/>
      <c r="AL18" s="342"/>
      <c r="AM18" s="342"/>
      <c r="AN18" s="342"/>
      <c r="AO18" s="343"/>
      <c r="AP18" s="351"/>
      <c r="AQ18" s="351"/>
      <c r="AR18" s="351"/>
      <c r="AS18" s="351"/>
      <c r="AT18" s="351"/>
      <c r="AU18" s="351"/>
      <c r="AV18" s="351"/>
      <c r="AW18" s="351"/>
      <c r="AX18" s="351"/>
      <c r="AY18" s="9"/>
    </row>
    <row r="19" spans="2:51" ht="11.45" customHeight="1" x14ac:dyDescent="0.2">
      <c r="B19" s="7"/>
      <c r="C19" s="318"/>
      <c r="D19" s="318"/>
      <c r="E19" s="318"/>
      <c r="F19" s="318"/>
      <c r="G19" s="318"/>
      <c r="H19" s="337"/>
      <c r="I19" s="335"/>
      <c r="J19" s="335"/>
      <c r="K19" s="335"/>
      <c r="L19" s="335"/>
      <c r="M19" s="335"/>
      <c r="N19" s="336"/>
      <c r="O19" s="337"/>
      <c r="P19" s="335"/>
      <c r="Q19" s="335"/>
      <c r="R19" s="335"/>
      <c r="S19" s="335"/>
      <c r="T19" s="335"/>
      <c r="U19" s="336"/>
      <c r="V19" s="337"/>
      <c r="W19" s="335"/>
      <c r="X19" s="335"/>
      <c r="Y19" s="335"/>
      <c r="Z19" s="335"/>
      <c r="AA19" s="335"/>
      <c r="AB19" s="336"/>
      <c r="AC19" s="337"/>
      <c r="AD19" s="335"/>
      <c r="AE19" s="335"/>
      <c r="AF19" s="335"/>
      <c r="AG19" s="335"/>
      <c r="AH19" s="335"/>
      <c r="AI19" s="336"/>
      <c r="AJ19" s="341"/>
      <c r="AK19" s="342"/>
      <c r="AL19" s="342"/>
      <c r="AM19" s="342"/>
      <c r="AN19" s="342"/>
      <c r="AO19" s="343"/>
      <c r="AP19" s="351"/>
      <c r="AQ19" s="351"/>
      <c r="AR19" s="351"/>
      <c r="AS19" s="351"/>
      <c r="AT19" s="351"/>
      <c r="AU19" s="351"/>
      <c r="AV19" s="351"/>
      <c r="AW19" s="351"/>
      <c r="AX19" s="351"/>
      <c r="AY19" s="9"/>
    </row>
    <row r="20" spans="2:51" ht="25.5" customHeight="1" x14ac:dyDescent="0.2">
      <c r="B20" s="7"/>
      <c r="C20" s="318"/>
      <c r="D20" s="318"/>
      <c r="E20" s="318"/>
      <c r="F20" s="318"/>
      <c r="G20" s="318"/>
      <c r="H20" s="337"/>
      <c r="I20" s="335"/>
      <c r="J20" s="335"/>
      <c r="K20" s="335"/>
      <c r="L20" s="335"/>
      <c r="M20" s="335"/>
      <c r="N20" s="336"/>
      <c r="O20" s="337"/>
      <c r="P20" s="335"/>
      <c r="Q20" s="335"/>
      <c r="R20" s="335"/>
      <c r="S20" s="335"/>
      <c r="T20" s="335"/>
      <c r="U20" s="336"/>
      <c r="V20" s="337"/>
      <c r="W20" s="335"/>
      <c r="X20" s="335"/>
      <c r="Y20" s="335"/>
      <c r="Z20" s="335"/>
      <c r="AA20" s="335"/>
      <c r="AB20" s="336"/>
      <c r="AC20" s="337"/>
      <c r="AD20" s="335"/>
      <c r="AE20" s="335"/>
      <c r="AF20" s="335"/>
      <c r="AG20" s="335"/>
      <c r="AH20" s="335"/>
      <c r="AI20" s="336"/>
      <c r="AJ20" s="341"/>
      <c r="AK20" s="342"/>
      <c r="AL20" s="342"/>
      <c r="AM20" s="342"/>
      <c r="AN20" s="342"/>
      <c r="AO20" s="343"/>
      <c r="AP20" s="351"/>
      <c r="AQ20" s="351"/>
      <c r="AR20" s="351"/>
      <c r="AS20" s="351"/>
      <c r="AT20" s="351"/>
      <c r="AU20" s="351"/>
      <c r="AV20" s="351"/>
      <c r="AW20" s="351"/>
      <c r="AX20" s="351"/>
      <c r="AY20" s="9"/>
    </row>
    <row r="21" spans="2:51" ht="6.95" customHeight="1" x14ac:dyDescent="0.2">
      <c r="B21" s="7"/>
      <c r="C21" s="318"/>
      <c r="D21" s="318"/>
      <c r="E21" s="318"/>
      <c r="F21" s="318"/>
      <c r="G21" s="318"/>
      <c r="H21" s="325"/>
      <c r="I21" s="326"/>
      <c r="J21" s="326"/>
      <c r="K21" s="326"/>
      <c r="L21" s="326"/>
      <c r="M21" s="326"/>
      <c r="N21" s="327"/>
      <c r="O21" s="325"/>
      <c r="P21" s="326"/>
      <c r="Q21" s="326"/>
      <c r="R21" s="326"/>
      <c r="S21" s="326"/>
      <c r="T21" s="326"/>
      <c r="U21" s="327"/>
      <c r="V21" s="325"/>
      <c r="W21" s="326"/>
      <c r="X21" s="326"/>
      <c r="Y21" s="326"/>
      <c r="Z21" s="326"/>
      <c r="AA21" s="326"/>
      <c r="AB21" s="327"/>
      <c r="AC21" s="325"/>
      <c r="AD21" s="326"/>
      <c r="AE21" s="326"/>
      <c r="AF21" s="326"/>
      <c r="AG21" s="326"/>
      <c r="AH21" s="326"/>
      <c r="AI21" s="327"/>
      <c r="AJ21" s="341"/>
      <c r="AK21" s="342"/>
      <c r="AL21" s="342"/>
      <c r="AM21" s="342"/>
      <c r="AN21" s="342"/>
      <c r="AO21" s="343"/>
      <c r="AP21" s="351"/>
      <c r="AQ21" s="351"/>
      <c r="AR21" s="351"/>
      <c r="AS21" s="351"/>
      <c r="AT21" s="351"/>
      <c r="AU21" s="351"/>
      <c r="AV21" s="351"/>
      <c r="AW21" s="351"/>
      <c r="AX21" s="351"/>
      <c r="AY21" s="9"/>
    </row>
    <row r="22" spans="2:51" ht="6.95" customHeight="1" x14ac:dyDescent="0.2">
      <c r="B22" s="7"/>
      <c r="C22" s="318"/>
      <c r="D22" s="318"/>
      <c r="E22" s="318"/>
      <c r="F22" s="318"/>
      <c r="G22" s="318"/>
      <c r="H22" s="328"/>
      <c r="I22" s="326"/>
      <c r="J22" s="326"/>
      <c r="K22" s="326"/>
      <c r="L22" s="326"/>
      <c r="M22" s="326"/>
      <c r="N22" s="327"/>
      <c r="O22" s="328"/>
      <c r="P22" s="326"/>
      <c r="Q22" s="326"/>
      <c r="R22" s="326"/>
      <c r="S22" s="326"/>
      <c r="T22" s="326"/>
      <c r="U22" s="327"/>
      <c r="V22" s="328"/>
      <c r="W22" s="326"/>
      <c r="X22" s="326"/>
      <c r="Y22" s="326"/>
      <c r="Z22" s="326"/>
      <c r="AA22" s="326"/>
      <c r="AB22" s="327"/>
      <c r="AC22" s="328"/>
      <c r="AD22" s="326"/>
      <c r="AE22" s="326"/>
      <c r="AF22" s="326"/>
      <c r="AG22" s="326"/>
      <c r="AH22" s="326"/>
      <c r="AI22" s="327"/>
      <c r="AJ22" s="341"/>
      <c r="AK22" s="342"/>
      <c r="AL22" s="342"/>
      <c r="AM22" s="342"/>
      <c r="AN22" s="342"/>
      <c r="AO22" s="343"/>
      <c r="AP22" s="351"/>
      <c r="AQ22" s="351"/>
      <c r="AR22" s="351"/>
      <c r="AS22" s="351"/>
      <c r="AT22" s="351"/>
      <c r="AU22" s="351"/>
      <c r="AV22" s="351"/>
      <c r="AW22" s="351"/>
      <c r="AX22" s="351"/>
      <c r="AY22" s="9"/>
    </row>
    <row r="23" spans="2:51" ht="11.45" customHeight="1" x14ac:dyDescent="0.2">
      <c r="B23" s="7"/>
      <c r="C23" s="360" t="s">
        <v>4107</v>
      </c>
      <c r="D23" s="360"/>
      <c r="E23" s="360"/>
      <c r="F23" s="360"/>
      <c r="G23" s="360"/>
      <c r="H23" s="329" t="str">
        <f>LISTAS!AP21</f>
        <v>PAT.</v>
      </c>
      <c r="I23" s="330"/>
      <c r="J23" s="330"/>
      <c r="K23" s="330"/>
      <c r="L23" s="330"/>
      <c r="M23" s="330"/>
      <c r="N23" s="330"/>
      <c r="O23" s="329" t="str">
        <f>LISTAS!AQ21</f>
        <v>Plan de Trabajo del PEAI. PCI.</v>
      </c>
      <c r="P23" s="330"/>
      <c r="Q23" s="330"/>
      <c r="R23" s="330"/>
      <c r="S23" s="330"/>
      <c r="T23" s="330"/>
      <c r="U23" s="330"/>
      <c r="V23" s="329" t="str">
        <f>LISTAS!AR21</f>
        <v>PAT.</v>
      </c>
      <c r="W23" s="330"/>
      <c r="X23" s="330"/>
      <c r="Y23" s="330"/>
      <c r="Z23" s="330"/>
      <c r="AA23" s="330"/>
      <c r="AB23" s="330"/>
      <c r="AC23" s="329" t="str">
        <f>LISTAS!AS21</f>
        <v>Documentos administrativos: Cartas, Oficios, Memo. Actas, Convenios, Acuerdos.</v>
      </c>
      <c r="AD23" s="330"/>
      <c r="AE23" s="330"/>
      <c r="AF23" s="330"/>
      <c r="AG23" s="330"/>
      <c r="AH23" s="330"/>
      <c r="AI23" s="330"/>
      <c r="AJ23" s="344"/>
      <c r="AK23" s="345"/>
      <c r="AL23" s="345"/>
      <c r="AM23" s="345"/>
      <c r="AN23" s="345"/>
      <c r="AO23" s="346"/>
      <c r="AP23" s="329" t="s">
        <v>3721</v>
      </c>
      <c r="AQ23" s="329"/>
      <c r="AR23" s="329"/>
      <c r="AS23" s="329"/>
      <c r="AT23" s="329"/>
      <c r="AU23" s="329"/>
      <c r="AV23" s="329"/>
      <c r="AW23" s="329"/>
      <c r="AX23" s="329"/>
      <c r="AY23" s="9"/>
    </row>
    <row r="24" spans="2:51" ht="11.45" customHeight="1" x14ac:dyDescent="0.2">
      <c r="B24" s="7"/>
      <c r="C24" s="361"/>
      <c r="D24" s="361"/>
      <c r="E24" s="361"/>
      <c r="F24" s="361"/>
      <c r="G24" s="361"/>
      <c r="H24" s="331"/>
      <c r="I24" s="332"/>
      <c r="J24" s="332"/>
      <c r="K24" s="332"/>
      <c r="L24" s="332"/>
      <c r="M24" s="332"/>
      <c r="N24" s="332"/>
      <c r="O24" s="331"/>
      <c r="P24" s="332"/>
      <c r="Q24" s="332"/>
      <c r="R24" s="332"/>
      <c r="S24" s="332"/>
      <c r="T24" s="332"/>
      <c r="U24" s="332"/>
      <c r="V24" s="331"/>
      <c r="W24" s="332"/>
      <c r="X24" s="332"/>
      <c r="Y24" s="332"/>
      <c r="Z24" s="332"/>
      <c r="AA24" s="332"/>
      <c r="AB24" s="332"/>
      <c r="AC24" s="331"/>
      <c r="AD24" s="332"/>
      <c r="AE24" s="332"/>
      <c r="AF24" s="332"/>
      <c r="AG24" s="332"/>
      <c r="AH24" s="332"/>
      <c r="AI24" s="332"/>
      <c r="AJ24" s="344"/>
      <c r="AK24" s="345"/>
      <c r="AL24" s="345"/>
      <c r="AM24" s="345"/>
      <c r="AN24" s="345"/>
      <c r="AO24" s="346"/>
      <c r="AP24" s="331"/>
      <c r="AQ24" s="331"/>
      <c r="AR24" s="331"/>
      <c r="AS24" s="331"/>
      <c r="AT24" s="331"/>
      <c r="AU24" s="331"/>
      <c r="AV24" s="331"/>
      <c r="AW24" s="331"/>
      <c r="AX24" s="331"/>
      <c r="AY24" s="9"/>
    </row>
    <row r="25" spans="2:51" ht="11.45" customHeight="1" x14ac:dyDescent="0.2">
      <c r="B25" s="7"/>
      <c r="C25" s="361"/>
      <c r="D25" s="361"/>
      <c r="E25" s="361"/>
      <c r="F25" s="361"/>
      <c r="G25" s="361"/>
      <c r="H25" s="331"/>
      <c r="I25" s="332"/>
      <c r="J25" s="332"/>
      <c r="K25" s="332"/>
      <c r="L25" s="332"/>
      <c r="M25" s="332"/>
      <c r="N25" s="332"/>
      <c r="O25" s="331"/>
      <c r="P25" s="332"/>
      <c r="Q25" s="332"/>
      <c r="R25" s="332"/>
      <c r="S25" s="332"/>
      <c r="T25" s="332"/>
      <c r="U25" s="332"/>
      <c r="V25" s="331"/>
      <c r="W25" s="332"/>
      <c r="X25" s="332"/>
      <c r="Y25" s="332"/>
      <c r="Z25" s="332"/>
      <c r="AA25" s="332"/>
      <c r="AB25" s="332"/>
      <c r="AC25" s="331"/>
      <c r="AD25" s="332"/>
      <c r="AE25" s="332"/>
      <c r="AF25" s="332"/>
      <c r="AG25" s="332"/>
      <c r="AH25" s="332"/>
      <c r="AI25" s="332"/>
      <c r="AJ25" s="344"/>
      <c r="AK25" s="345"/>
      <c r="AL25" s="345"/>
      <c r="AM25" s="345"/>
      <c r="AN25" s="345"/>
      <c r="AO25" s="346"/>
      <c r="AP25" s="331"/>
      <c r="AQ25" s="331"/>
      <c r="AR25" s="331"/>
      <c r="AS25" s="331"/>
      <c r="AT25" s="331"/>
      <c r="AU25" s="331"/>
      <c r="AV25" s="331"/>
      <c r="AW25" s="331"/>
      <c r="AX25" s="331"/>
      <c r="AY25" s="9"/>
    </row>
    <row r="26" spans="2:51" ht="11.45" customHeight="1" x14ac:dyDescent="0.2">
      <c r="B26" s="7"/>
      <c r="C26" s="362"/>
      <c r="D26" s="362"/>
      <c r="E26" s="362"/>
      <c r="F26" s="362"/>
      <c r="G26" s="362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3"/>
      <c r="AC26" s="333"/>
      <c r="AD26" s="333"/>
      <c r="AE26" s="333"/>
      <c r="AF26" s="333"/>
      <c r="AG26" s="333"/>
      <c r="AH26" s="333"/>
      <c r="AI26" s="333"/>
      <c r="AJ26" s="347"/>
      <c r="AK26" s="348"/>
      <c r="AL26" s="348"/>
      <c r="AM26" s="348"/>
      <c r="AN26" s="348"/>
      <c r="AO26" s="349"/>
      <c r="AP26" s="352"/>
      <c r="AQ26" s="352"/>
      <c r="AR26" s="352"/>
      <c r="AS26" s="352"/>
      <c r="AT26" s="352"/>
      <c r="AU26" s="352"/>
      <c r="AV26" s="352"/>
      <c r="AW26" s="352"/>
      <c r="AX26" s="352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55"/>
      <c r="D28" s="56"/>
      <c r="E28" s="56"/>
      <c r="F28" s="56"/>
      <c r="G28" s="56"/>
      <c r="H28" s="57"/>
      <c r="I28" s="58"/>
      <c r="J28" s="58"/>
      <c r="K28" s="58"/>
      <c r="L28" s="58"/>
      <c r="M28" s="58"/>
      <c r="N28" s="48"/>
      <c r="O28" s="57"/>
      <c r="P28" s="58"/>
      <c r="Q28" s="58"/>
      <c r="R28" s="58"/>
      <c r="S28" s="58"/>
      <c r="T28" s="58"/>
      <c r="U28" s="48"/>
      <c r="V28" s="57"/>
      <c r="W28" s="58"/>
      <c r="X28" s="58"/>
      <c r="Y28" s="58"/>
      <c r="Z28" s="58"/>
      <c r="AA28" s="58"/>
      <c r="AB28" s="48"/>
      <c r="AC28" s="57"/>
      <c r="AD28" s="58"/>
      <c r="AE28" s="58"/>
      <c r="AF28" s="58"/>
      <c r="AG28" s="58"/>
      <c r="AH28" s="58"/>
      <c r="AI28" s="48"/>
      <c r="AJ28" s="59"/>
      <c r="AK28" s="60"/>
      <c r="AL28" s="60"/>
      <c r="AM28" s="60"/>
      <c r="AN28" s="60"/>
      <c r="AO28" s="61"/>
      <c r="AP28" s="62"/>
      <c r="AQ28" s="63"/>
      <c r="AR28" s="63"/>
      <c r="AS28" s="63"/>
      <c r="AT28" s="63"/>
      <c r="AU28" s="63"/>
      <c r="AV28" s="63"/>
      <c r="AW28" s="63"/>
      <c r="AX28" s="63"/>
      <c r="AY28" s="9"/>
    </row>
    <row r="29" spans="2:51" ht="11.45" customHeight="1" x14ac:dyDescent="0.2">
      <c r="B29" s="7"/>
      <c r="C29" s="56"/>
      <c r="D29" s="56"/>
      <c r="E29" s="56"/>
      <c r="F29" s="56"/>
      <c r="G29" s="56"/>
      <c r="H29" s="64"/>
      <c r="I29" s="58"/>
      <c r="J29" s="58"/>
      <c r="K29" s="58"/>
      <c r="L29" s="58"/>
      <c r="M29" s="58"/>
      <c r="N29" s="48"/>
      <c r="O29" s="64"/>
      <c r="P29" s="58"/>
      <c r="Q29" s="58"/>
      <c r="R29" s="58"/>
      <c r="S29" s="58"/>
      <c r="T29" s="58"/>
      <c r="U29" s="48"/>
      <c r="V29" s="64"/>
      <c r="W29" s="58"/>
      <c r="X29" s="58"/>
      <c r="Y29" s="58"/>
      <c r="Z29" s="58"/>
      <c r="AA29" s="58"/>
      <c r="AB29" s="48"/>
      <c r="AC29" s="64"/>
      <c r="AD29" s="58"/>
      <c r="AE29" s="58"/>
      <c r="AF29" s="58"/>
      <c r="AG29" s="58"/>
      <c r="AH29" s="58"/>
      <c r="AI29" s="48"/>
      <c r="AJ29" s="65"/>
      <c r="AK29" s="66"/>
      <c r="AL29" s="66"/>
      <c r="AM29" s="66"/>
      <c r="AN29" s="66"/>
      <c r="AO29" s="67"/>
      <c r="AP29" s="63"/>
      <c r="AQ29" s="63"/>
      <c r="AR29" s="63"/>
      <c r="AS29" s="63"/>
      <c r="AT29" s="63"/>
      <c r="AU29" s="63"/>
      <c r="AV29" s="63"/>
      <c r="AW29" s="63"/>
      <c r="AX29" s="63"/>
      <c r="AY29" s="9"/>
    </row>
    <row r="30" spans="2:51" ht="11.45" customHeight="1" x14ac:dyDescent="0.2">
      <c r="B30" s="7"/>
      <c r="C30" s="56"/>
      <c r="D30" s="56"/>
      <c r="E30" s="56"/>
      <c r="F30" s="56"/>
      <c r="G30" s="56"/>
      <c r="H30" s="64"/>
      <c r="I30" s="58"/>
      <c r="J30" s="58"/>
      <c r="K30" s="58"/>
      <c r="L30" s="58"/>
      <c r="M30" s="58"/>
      <c r="N30" s="48"/>
      <c r="O30" s="64"/>
      <c r="P30" s="58"/>
      <c r="Q30" s="58"/>
      <c r="R30" s="58"/>
      <c r="S30" s="58"/>
      <c r="T30" s="58"/>
      <c r="U30" s="48"/>
      <c r="V30" s="64"/>
      <c r="W30" s="58"/>
      <c r="X30" s="58"/>
      <c r="Y30" s="58"/>
      <c r="Z30" s="58"/>
      <c r="AA30" s="58"/>
      <c r="AB30" s="48"/>
      <c r="AC30" s="64"/>
      <c r="AD30" s="58"/>
      <c r="AE30" s="58"/>
      <c r="AF30" s="58"/>
      <c r="AG30" s="58"/>
      <c r="AH30" s="58"/>
      <c r="AI30" s="48"/>
      <c r="AJ30" s="65"/>
      <c r="AK30" s="66"/>
      <c r="AL30" s="66"/>
      <c r="AM30" s="66"/>
      <c r="AN30" s="66"/>
      <c r="AO30" s="67"/>
      <c r="AP30" s="63"/>
      <c r="AQ30" s="63"/>
      <c r="AR30" s="63"/>
      <c r="AS30" s="63"/>
      <c r="AT30" s="63"/>
      <c r="AU30" s="63"/>
      <c r="AV30" s="63"/>
      <c r="AW30" s="63"/>
      <c r="AX30" s="63"/>
      <c r="AY30" s="9"/>
    </row>
    <row r="31" spans="2:51" ht="11.45" customHeight="1" x14ac:dyDescent="0.2">
      <c r="B31" s="7"/>
      <c r="C31" s="56"/>
      <c r="D31" s="56"/>
      <c r="E31" s="56"/>
      <c r="F31" s="56"/>
      <c r="G31" s="56"/>
      <c r="H31" s="64"/>
      <c r="I31" s="58"/>
      <c r="J31" s="58"/>
      <c r="K31" s="58"/>
      <c r="L31" s="58"/>
      <c r="M31" s="58"/>
      <c r="N31" s="48"/>
      <c r="O31" s="64"/>
      <c r="P31" s="58"/>
      <c r="Q31" s="58"/>
      <c r="R31" s="58"/>
      <c r="S31" s="58"/>
      <c r="T31" s="58"/>
      <c r="U31" s="48"/>
      <c r="V31" s="64"/>
      <c r="W31" s="58"/>
      <c r="X31" s="58"/>
      <c r="Y31" s="58"/>
      <c r="Z31" s="58"/>
      <c r="AA31" s="58"/>
      <c r="AB31" s="48"/>
      <c r="AC31" s="64"/>
      <c r="AD31" s="58"/>
      <c r="AE31" s="58"/>
      <c r="AF31" s="58"/>
      <c r="AG31" s="58"/>
      <c r="AH31" s="58"/>
      <c r="AI31" s="48"/>
      <c r="AJ31" s="65"/>
      <c r="AK31" s="66"/>
      <c r="AL31" s="66"/>
      <c r="AM31" s="66"/>
      <c r="AN31" s="66"/>
      <c r="AO31" s="67"/>
      <c r="AP31" s="63"/>
      <c r="AQ31" s="63"/>
      <c r="AR31" s="63"/>
      <c r="AS31" s="63"/>
      <c r="AT31" s="63"/>
      <c r="AU31" s="63"/>
      <c r="AV31" s="63"/>
      <c r="AW31" s="63"/>
      <c r="AX31" s="63"/>
      <c r="AY31" s="9"/>
    </row>
    <row r="32" spans="2:51" ht="11.45" customHeight="1" x14ac:dyDescent="0.2">
      <c r="B32" s="7"/>
      <c r="C32" s="56"/>
      <c r="D32" s="56"/>
      <c r="E32" s="56"/>
      <c r="F32" s="56"/>
      <c r="G32" s="56"/>
      <c r="H32" s="64"/>
      <c r="I32" s="58"/>
      <c r="J32" s="58"/>
      <c r="K32" s="58"/>
      <c r="L32" s="58"/>
      <c r="M32" s="58"/>
      <c r="N32" s="48"/>
      <c r="O32" s="64"/>
      <c r="P32" s="58"/>
      <c r="Q32" s="58"/>
      <c r="R32" s="58"/>
      <c r="S32" s="58"/>
      <c r="T32" s="58"/>
      <c r="U32" s="48"/>
      <c r="V32" s="64"/>
      <c r="W32" s="58"/>
      <c r="X32" s="58"/>
      <c r="Y32" s="58"/>
      <c r="Z32" s="58"/>
      <c r="AA32" s="58"/>
      <c r="AB32" s="48"/>
      <c r="AC32" s="64"/>
      <c r="AD32" s="58"/>
      <c r="AE32" s="58"/>
      <c r="AF32" s="58"/>
      <c r="AG32" s="58"/>
      <c r="AH32" s="58"/>
      <c r="AI32" s="48"/>
      <c r="AJ32" s="65"/>
      <c r="AK32" s="66"/>
      <c r="AL32" s="66"/>
      <c r="AM32" s="66"/>
      <c r="AN32" s="66"/>
      <c r="AO32" s="67"/>
      <c r="AP32" s="63"/>
      <c r="AQ32" s="63"/>
      <c r="AR32" s="63"/>
      <c r="AS32" s="63"/>
      <c r="AT32" s="63"/>
      <c r="AU32" s="63"/>
      <c r="AV32" s="63"/>
      <c r="AW32" s="63"/>
      <c r="AX32" s="63"/>
      <c r="AY32" s="9"/>
    </row>
    <row r="33" spans="2:51" ht="11.45" customHeight="1" x14ac:dyDescent="0.2">
      <c r="B33" s="7"/>
      <c r="C33" s="56"/>
      <c r="D33" s="56"/>
      <c r="E33" s="56"/>
      <c r="F33" s="56"/>
      <c r="G33" s="56"/>
      <c r="H33" s="64"/>
      <c r="I33" s="58"/>
      <c r="J33" s="58"/>
      <c r="K33" s="58"/>
      <c r="L33" s="58"/>
      <c r="M33" s="58"/>
      <c r="N33" s="48"/>
      <c r="O33" s="64"/>
      <c r="P33" s="58"/>
      <c r="Q33" s="58"/>
      <c r="R33" s="58"/>
      <c r="S33" s="58"/>
      <c r="T33" s="58"/>
      <c r="U33" s="48"/>
      <c r="V33" s="64"/>
      <c r="W33" s="58"/>
      <c r="X33" s="58"/>
      <c r="Y33" s="58"/>
      <c r="Z33" s="58"/>
      <c r="AA33" s="58"/>
      <c r="AB33" s="48"/>
      <c r="AC33" s="64"/>
      <c r="AD33" s="58"/>
      <c r="AE33" s="58"/>
      <c r="AF33" s="58"/>
      <c r="AG33" s="58"/>
      <c r="AH33" s="58"/>
      <c r="AI33" s="48"/>
      <c r="AJ33" s="65"/>
      <c r="AK33" s="66"/>
      <c r="AL33" s="66"/>
      <c r="AM33" s="66"/>
      <c r="AN33" s="66"/>
      <c r="AO33" s="67"/>
      <c r="AP33" s="63"/>
      <c r="AQ33" s="63"/>
      <c r="AR33" s="63"/>
      <c r="AS33" s="63"/>
      <c r="AT33" s="63"/>
      <c r="AU33" s="63"/>
      <c r="AV33" s="63"/>
      <c r="AW33" s="63"/>
      <c r="AX33" s="63"/>
      <c r="AY33" s="9"/>
    </row>
    <row r="34" spans="2:51" ht="11.45" customHeight="1" x14ac:dyDescent="0.2">
      <c r="B34" s="7"/>
      <c r="C34" s="56"/>
      <c r="D34" s="56"/>
      <c r="E34" s="56"/>
      <c r="F34" s="56"/>
      <c r="G34" s="56"/>
      <c r="H34" s="64"/>
      <c r="I34" s="58"/>
      <c r="J34" s="58"/>
      <c r="K34" s="58"/>
      <c r="L34" s="58"/>
      <c r="M34" s="58"/>
      <c r="N34" s="48"/>
      <c r="O34" s="64"/>
      <c r="P34" s="58"/>
      <c r="Q34" s="58"/>
      <c r="R34" s="58"/>
      <c r="S34" s="58"/>
      <c r="T34" s="58"/>
      <c r="U34" s="48"/>
      <c r="V34" s="64"/>
      <c r="W34" s="58"/>
      <c r="X34" s="58"/>
      <c r="Y34" s="58"/>
      <c r="Z34" s="58"/>
      <c r="AA34" s="58"/>
      <c r="AB34" s="48"/>
      <c r="AC34" s="64"/>
      <c r="AD34" s="58"/>
      <c r="AE34" s="58"/>
      <c r="AF34" s="58"/>
      <c r="AG34" s="58"/>
      <c r="AH34" s="58"/>
      <c r="AI34" s="48"/>
      <c r="AJ34" s="65"/>
      <c r="AK34" s="66"/>
      <c r="AL34" s="66"/>
      <c r="AM34" s="66"/>
      <c r="AN34" s="66"/>
      <c r="AO34" s="67"/>
      <c r="AP34" s="63"/>
      <c r="AQ34" s="63"/>
      <c r="AR34" s="63"/>
      <c r="AS34" s="63"/>
      <c r="AT34" s="63"/>
      <c r="AU34" s="63"/>
      <c r="AV34" s="63"/>
      <c r="AW34" s="63"/>
      <c r="AX34" s="63"/>
      <c r="AY34" s="9"/>
    </row>
    <row r="35" spans="2:51" ht="25.5" customHeight="1" x14ac:dyDescent="0.2">
      <c r="B35" s="7"/>
      <c r="C35" s="56"/>
      <c r="D35" s="56"/>
      <c r="E35" s="56"/>
      <c r="F35" s="56"/>
      <c r="G35" s="56"/>
      <c r="H35" s="64"/>
      <c r="I35" s="58"/>
      <c r="J35" s="58"/>
      <c r="K35" s="58"/>
      <c r="L35" s="58"/>
      <c r="M35" s="58"/>
      <c r="N35" s="48"/>
      <c r="O35" s="64"/>
      <c r="P35" s="58"/>
      <c r="Q35" s="58"/>
      <c r="R35" s="58"/>
      <c r="S35" s="58"/>
      <c r="T35" s="58"/>
      <c r="U35" s="48"/>
      <c r="V35" s="64"/>
      <c r="W35" s="58"/>
      <c r="X35" s="58"/>
      <c r="Y35" s="58"/>
      <c r="Z35" s="58"/>
      <c r="AA35" s="58"/>
      <c r="AB35" s="48"/>
      <c r="AC35" s="64"/>
      <c r="AD35" s="58"/>
      <c r="AE35" s="58"/>
      <c r="AF35" s="58"/>
      <c r="AG35" s="58"/>
      <c r="AH35" s="58"/>
      <c r="AI35" s="48"/>
      <c r="AJ35" s="65"/>
      <c r="AK35" s="66"/>
      <c r="AL35" s="66"/>
      <c r="AM35" s="66"/>
      <c r="AN35" s="66"/>
      <c r="AO35" s="67"/>
      <c r="AP35" s="63"/>
      <c r="AQ35" s="63"/>
      <c r="AR35" s="63"/>
      <c r="AS35" s="63"/>
      <c r="AT35" s="63"/>
      <c r="AU35" s="63"/>
      <c r="AV35" s="63"/>
      <c r="AW35" s="63"/>
      <c r="AX35" s="63"/>
      <c r="AY35" s="9"/>
    </row>
    <row r="36" spans="2:51" ht="6.95" customHeight="1" x14ac:dyDescent="0.2">
      <c r="B36" s="7"/>
      <c r="C36" s="56"/>
      <c r="D36" s="56"/>
      <c r="E36" s="56"/>
      <c r="F36" s="56"/>
      <c r="G36" s="56"/>
      <c r="H36" s="68"/>
      <c r="I36" s="69"/>
      <c r="J36" s="69"/>
      <c r="K36" s="69"/>
      <c r="L36" s="69"/>
      <c r="M36" s="69"/>
      <c r="N36" s="49"/>
      <c r="O36" s="68"/>
      <c r="P36" s="69"/>
      <c r="Q36" s="69"/>
      <c r="R36" s="69"/>
      <c r="S36" s="69"/>
      <c r="T36" s="69"/>
      <c r="U36" s="49"/>
      <c r="V36" s="68"/>
      <c r="W36" s="69"/>
      <c r="X36" s="69"/>
      <c r="Y36" s="69"/>
      <c r="Z36" s="69"/>
      <c r="AA36" s="69"/>
      <c r="AB36" s="49"/>
      <c r="AC36" s="68"/>
      <c r="AD36" s="69"/>
      <c r="AE36" s="69"/>
      <c r="AF36" s="69"/>
      <c r="AG36" s="69"/>
      <c r="AH36" s="69"/>
      <c r="AI36" s="49"/>
      <c r="AJ36" s="65"/>
      <c r="AK36" s="66"/>
      <c r="AL36" s="66"/>
      <c r="AM36" s="66"/>
      <c r="AN36" s="66"/>
      <c r="AO36" s="67"/>
      <c r="AP36" s="63"/>
      <c r="AQ36" s="63"/>
      <c r="AR36" s="63"/>
      <c r="AS36" s="63"/>
      <c r="AT36" s="63"/>
      <c r="AU36" s="63"/>
      <c r="AV36" s="63"/>
      <c r="AW36" s="63"/>
      <c r="AX36" s="63"/>
      <c r="AY36" s="9"/>
    </row>
    <row r="37" spans="2:51" ht="6.95" customHeight="1" x14ac:dyDescent="0.2">
      <c r="B37" s="7"/>
      <c r="C37" s="56"/>
      <c r="D37" s="56"/>
      <c r="E37" s="56"/>
      <c r="F37" s="56"/>
      <c r="G37" s="56"/>
      <c r="H37" s="70"/>
      <c r="I37" s="69"/>
      <c r="J37" s="69"/>
      <c r="K37" s="69"/>
      <c r="L37" s="69"/>
      <c r="M37" s="69"/>
      <c r="N37" s="49"/>
      <c r="O37" s="70"/>
      <c r="P37" s="69"/>
      <c r="Q37" s="69"/>
      <c r="R37" s="69"/>
      <c r="S37" s="69"/>
      <c r="T37" s="69"/>
      <c r="U37" s="49"/>
      <c r="V37" s="70"/>
      <c r="W37" s="69"/>
      <c r="X37" s="69"/>
      <c r="Y37" s="69"/>
      <c r="Z37" s="69"/>
      <c r="AA37" s="69"/>
      <c r="AB37" s="49"/>
      <c r="AC37" s="70"/>
      <c r="AD37" s="69"/>
      <c r="AE37" s="69"/>
      <c r="AF37" s="69"/>
      <c r="AG37" s="69"/>
      <c r="AH37" s="69"/>
      <c r="AI37" s="49"/>
      <c r="AJ37" s="65"/>
      <c r="AK37" s="66"/>
      <c r="AL37" s="66"/>
      <c r="AM37" s="66"/>
      <c r="AN37" s="66"/>
      <c r="AO37" s="67"/>
      <c r="AP37" s="63"/>
      <c r="AQ37" s="63"/>
      <c r="AR37" s="63"/>
      <c r="AS37" s="63"/>
      <c r="AT37" s="63"/>
      <c r="AU37" s="63"/>
      <c r="AV37" s="63"/>
      <c r="AW37" s="63"/>
      <c r="AX37" s="63"/>
      <c r="AY37" s="9"/>
    </row>
    <row r="38" spans="2:51" ht="11.45" customHeight="1" x14ac:dyDescent="0.2">
      <c r="B38" s="7"/>
      <c r="C38" s="71"/>
      <c r="D38" s="71"/>
      <c r="E38" s="71"/>
      <c r="F38" s="71"/>
      <c r="G38" s="71"/>
      <c r="H38" s="72"/>
      <c r="I38" s="73"/>
      <c r="J38" s="73"/>
      <c r="K38" s="73"/>
      <c r="L38" s="73"/>
      <c r="M38" s="73"/>
      <c r="N38" s="73"/>
      <c r="O38" s="72"/>
      <c r="P38" s="73"/>
      <c r="Q38" s="73"/>
      <c r="R38" s="73"/>
      <c r="S38" s="73"/>
      <c r="T38" s="73"/>
      <c r="U38" s="73"/>
      <c r="V38" s="72"/>
      <c r="W38" s="73"/>
      <c r="X38" s="73"/>
      <c r="Y38" s="73"/>
      <c r="Z38" s="73"/>
      <c r="AA38" s="73"/>
      <c r="AB38" s="73"/>
      <c r="AC38" s="72"/>
      <c r="AD38" s="73"/>
      <c r="AE38" s="73"/>
      <c r="AF38" s="73"/>
      <c r="AG38" s="73"/>
      <c r="AH38" s="73"/>
      <c r="AI38" s="73"/>
      <c r="AJ38" s="74"/>
      <c r="AK38" s="75"/>
      <c r="AL38" s="75"/>
      <c r="AM38" s="75"/>
      <c r="AN38" s="75"/>
      <c r="AO38" s="76"/>
      <c r="AP38" s="72"/>
      <c r="AQ38" s="72"/>
      <c r="AR38" s="72"/>
      <c r="AS38" s="72"/>
      <c r="AT38" s="72"/>
      <c r="AU38" s="72"/>
      <c r="AV38" s="72"/>
      <c r="AW38" s="72"/>
      <c r="AX38" s="72"/>
      <c r="AY38" s="9"/>
    </row>
    <row r="39" spans="2:51" ht="11.45" customHeight="1" x14ac:dyDescent="0.2">
      <c r="B39" s="7"/>
      <c r="C39" s="77"/>
      <c r="D39" s="77"/>
      <c r="E39" s="77"/>
      <c r="F39" s="77"/>
      <c r="G39" s="77"/>
      <c r="H39" s="78"/>
      <c r="I39" s="79"/>
      <c r="J39" s="79"/>
      <c r="K39" s="79"/>
      <c r="L39" s="79"/>
      <c r="M39" s="79"/>
      <c r="N39" s="79"/>
      <c r="O39" s="78"/>
      <c r="P39" s="79"/>
      <c r="Q39" s="79"/>
      <c r="R39" s="79"/>
      <c r="S39" s="79"/>
      <c r="T39" s="79"/>
      <c r="U39" s="79"/>
      <c r="V39" s="78"/>
      <c r="W39" s="79"/>
      <c r="X39" s="79"/>
      <c r="Y39" s="79"/>
      <c r="Z39" s="79"/>
      <c r="AA39" s="79"/>
      <c r="AB39" s="79"/>
      <c r="AC39" s="78"/>
      <c r="AD39" s="79"/>
      <c r="AE39" s="79"/>
      <c r="AF39" s="79"/>
      <c r="AG39" s="79"/>
      <c r="AH39" s="79"/>
      <c r="AI39" s="79"/>
      <c r="AJ39" s="74"/>
      <c r="AK39" s="75"/>
      <c r="AL39" s="75"/>
      <c r="AM39" s="75"/>
      <c r="AN39" s="75"/>
      <c r="AO39" s="76"/>
      <c r="AP39" s="78"/>
      <c r="AQ39" s="78"/>
      <c r="AR39" s="78"/>
      <c r="AS39" s="78"/>
      <c r="AT39" s="78"/>
      <c r="AU39" s="78"/>
      <c r="AV39" s="78"/>
      <c r="AW39" s="78"/>
      <c r="AX39" s="78"/>
      <c r="AY39" s="9"/>
    </row>
    <row r="40" spans="2:51" ht="11.45" customHeight="1" x14ac:dyDescent="0.2">
      <c r="B40" s="7"/>
      <c r="C40" s="77"/>
      <c r="D40" s="77"/>
      <c r="E40" s="77"/>
      <c r="F40" s="77"/>
      <c r="G40" s="77"/>
      <c r="H40" s="78"/>
      <c r="I40" s="79"/>
      <c r="J40" s="79"/>
      <c r="K40" s="79"/>
      <c r="L40" s="79"/>
      <c r="M40" s="79"/>
      <c r="N40" s="79"/>
      <c r="O40" s="78"/>
      <c r="P40" s="79"/>
      <c r="Q40" s="79"/>
      <c r="R40" s="79"/>
      <c r="S40" s="79"/>
      <c r="T40" s="79"/>
      <c r="U40" s="79"/>
      <c r="V40" s="78"/>
      <c r="W40" s="79"/>
      <c r="X40" s="79"/>
      <c r="Y40" s="79"/>
      <c r="Z40" s="79"/>
      <c r="AA40" s="79"/>
      <c r="AB40" s="79"/>
      <c r="AC40" s="78"/>
      <c r="AD40" s="79"/>
      <c r="AE40" s="79"/>
      <c r="AF40" s="79"/>
      <c r="AG40" s="79"/>
      <c r="AH40" s="79"/>
      <c r="AI40" s="79"/>
      <c r="AJ40" s="74"/>
      <c r="AK40" s="75"/>
      <c r="AL40" s="75"/>
      <c r="AM40" s="75"/>
      <c r="AN40" s="75"/>
      <c r="AO40" s="76"/>
      <c r="AP40" s="78"/>
      <c r="AQ40" s="78"/>
      <c r="AR40" s="78"/>
      <c r="AS40" s="78"/>
      <c r="AT40" s="78"/>
      <c r="AU40" s="78"/>
      <c r="AV40" s="78"/>
      <c r="AW40" s="78"/>
      <c r="AX40" s="78"/>
      <c r="AY40" s="9"/>
    </row>
    <row r="41" spans="2:51" ht="11.45" customHeight="1" x14ac:dyDescent="0.2">
      <c r="B41" s="7"/>
      <c r="C41" s="80"/>
      <c r="D41" s="80"/>
      <c r="E41" s="80"/>
      <c r="F41" s="80"/>
      <c r="G41" s="80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2"/>
      <c r="AK41" s="83"/>
      <c r="AL41" s="83"/>
      <c r="AM41" s="83"/>
      <c r="AN41" s="83"/>
      <c r="AO41" s="84"/>
      <c r="AP41" s="85"/>
      <c r="AQ41" s="85"/>
      <c r="AR41" s="85"/>
      <c r="AS41" s="85"/>
      <c r="AT41" s="85"/>
      <c r="AU41" s="85"/>
      <c r="AV41" s="85"/>
      <c r="AW41" s="85"/>
      <c r="AX41" s="85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0.5" customHeight="1" x14ac:dyDescent="0.2">
      <c r="B43" s="7"/>
      <c r="C43" s="8"/>
      <c r="D43" s="358" t="str">
        <f>REPT(CHAR(73),42*(COUNTIF(H21:AI22,"*")))</f>
        <v/>
      </c>
      <c r="E43" s="359"/>
      <c r="F43" s="359"/>
      <c r="G43" s="359"/>
      <c r="H43" s="359"/>
      <c r="I43" s="359"/>
      <c r="J43" s="359"/>
      <c r="K43" s="359"/>
      <c r="L43" s="359"/>
      <c r="M43" s="359"/>
      <c r="N43" s="359"/>
      <c r="O43" s="359"/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59"/>
      <c r="AC43" s="359"/>
      <c r="AD43" s="155" t="str">
        <f>IF(COUNTIF(H21:AI22,"*")=4,"a","")</f>
        <v/>
      </c>
      <c r="AE43" s="155"/>
      <c r="AF43" s="8"/>
      <c r="AG43" s="370"/>
      <c r="AH43" s="371"/>
      <c r="AI43" s="372"/>
      <c r="AJ43" s="372"/>
      <c r="AK43" s="373"/>
      <c r="AL43" s="8"/>
      <c r="AM43" s="363" t="str">
        <f>"PEAI"</f>
        <v>PEAI</v>
      </c>
      <c r="AN43" s="364"/>
      <c r="AO43" s="365"/>
      <c r="AP43" s="365"/>
      <c r="AQ43" s="366"/>
      <c r="AR43" s="8"/>
      <c r="AS43" s="370"/>
      <c r="AT43" s="371"/>
      <c r="AU43" s="372"/>
      <c r="AV43" s="372"/>
      <c r="AW43" s="373"/>
      <c r="AX43" s="8"/>
      <c r="AY43" s="9"/>
    </row>
    <row r="44" spans="2:51" ht="10.5" customHeight="1" x14ac:dyDescent="0.2">
      <c r="B44" s="7"/>
      <c r="C44" s="8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59"/>
      <c r="AC44" s="359"/>
      <c r="AD44" s="353"/>
      <c r="AE44" s="353"/>
      <c r="AF44" s="8"/>
      <c r="AG44" s="374"/>
      <c r="AH44" s="375"/>
      <c r="AI44" s="375"/>
      <c r="AJ44" s="375"/>
      <c r="AK44" s="376"/>
      <c r="AL44" s="8"/>
      <c r="AM44" s="367"/>
      <c r="AN44" s="368"/>
      <c r="AO44" s="368"/>
      <c r="AP44" s="368"/>
      <c r="AQ44" s="369"/>
      <c r="AR44" s="8"/>
      <c r="AS44" s="374"/>
      <c r="AT44" s="375"/>
      <c r="AU44" s="375"/>
      <c r="AV44" s="375"/>
      <c r="AW44" s="376"/>
      <c r="AX44" s="8"/>
      <c r="AY44" s="9"/>
    </row>
    <row r="45" spans="2:51" ht="3.95" customHeight="1" x14ac:dyDescent="0.2">
      <c r="B45" s="7"/>
      <c r="C45" s="8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39" t="s">
        <v>4176</v>
      </c>
      <c r="D46" s="139"/>
      <c r="E46" s="139" t="s">
        <v>4177</v>
      </c>
      <c r="F46" s="139"/>
      <c r="G46" s="139" t="s">
        <v>4126</v>
      </c>
      <c r="H46" s="139"/>
      <c r="I46" s="139" t="s">
        <v>4178</v>
      </c>
      <c r="J46" s="139"/>
      <c r="K46" s="139" t="s">
        <v>4179</v>
      </c>
      <c r="L46" s="139"/>
      <c r="M46" s="139" t="s">
        <v>4180</v>
      </c>
      <c r="N46" s="139"/>
      <c r="O46" s="139" t="s">
        <v>4181</v>
      </c>
      <c r="P46" s="139"/>
      <c r="Q46" s="139" t="s">
        <v>4182</v>
      </c>
      <c r="R46" s="139"/>
      <c r="S46" s="139" t="s">
        <v>4183</v>
      </c>
      <c r="T46" s="139"/>
      <c r="U46" s="139" t="s">
        <v>4184</v>
      </c>
      <c r="V46" s="139"/>
      <c r="W46" s="139" t="s">
        <v>4185</v>
      </c>
      <c r="X46" s="139"/>
      <c r="Y46" s="139" t="s">
        <v>4186</v>
      </c>
      <c r="Z46" s="139"/>
      <c r="AA46" s="139" t="s">
        <v>1780</v>
      </c>
      <c r="AB46" s="139"/>
      <c r="AC46" s="139" t="s">
        <v>4187</v>
      </c>
      <c r="AD46" s="139"/>
      <c r="AE46" s="139" t="s">
        <v>1781</v>
      </c>
      <c r="AF46" s="139"/>
      <c r="AG46" s="139" t="s">
        <v>4188</v>
      </c>
      <c r="AH46" s="139"/>
      <c r="AI46" s="139" t="s">
        <v>4189</v>
      </c>
      <c r="AJ46" s="139"/>
      <c r="AK46" s="139" t="s">
        <v>4190</v>
      </c>
      <c r="AL46" s="139"/>
      <c r="AM46" s="139" t="s">
        <v>4191</v>
      </c>
      <c r="AN46" s="139"/>
      <c r="AO46" s="139" t="s">
        <v>4192</v>
      </c>
      <c r="AP46" s="139"/>
      <c r="AQ46" s="139" t="s">
        <v>4176</v>
      </c>
      <c r="AR46" s="139"/>
      <c r="AS46" s="139" t="s">
        <v>4177</v>
      </c>
      <c r="AT46" s="139"/>
      <c r="AU46" s="139" t="s">
        <v>4126</v>
      </c>
      <c r="AV46" s="139"/>
      <c r="AW46" s="139" t="s">
        <v>4178</v>
      </c>
      <c r="AX46" s="139"/>
      <c r="AY46" s="9"/>
    </row>
    <row r="47" spans="2:51" ht="12" customHeight="1" x14ac:dyDescent="0.2">
      <c r="B47" s="7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  <c r="AJ47" s="139"/>
      <c r="AK47" s="139"/>
      <c r="AL47" s="139"/>
      <c r="AM47" s="139"/>
      <c r="AN47" s="139"/>
      <c r="AO47" s="139"/>
      <c r="AP47" s="139"/>
      <c r="AQ47" s="139"/>
      <c r="AR47" s="139"/>
      <c r="AS47" s="139"/>
      <c r="AT47" s="139"/>
      <c r="AU47" s="139"/>
      <c r="AV47" s="139"/>
      <c r="AW47" s="139"/>
      <c r="AX47" s="139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IF('MOD1'!$AY$49="","",'MOD1'!$AY$49)</f>
        <v>*Equipo de Gestión de la Información - EBR - Ministerio de Educación</v>
      </c>
    </row>
  </sheetData>
  <sheetProtection algorithmName="SHA-512" hashValue="Hd8y3M41oUAGkduT4tg6R4d5Mt7swjf3ki/DdE8zA2Kxid1BURBtAChTIEWIBOwVHvaXRNAgDaU0KXLIYIXCOw==" saltValue="WNGfTUAB4IqBEovvTxrf8A==" spinCount="100000" sheet="1" objects="1" scenarios="1"/>
  <mergeCells count="55"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  <mergeCell ref="C13:G22"/>
    <mergeCell ref="H13:N20"/>
    <mergeCell ref="O13:U20"/>
    <mergeCell ref="V13:AB20"/>
    <mergeCell ref="AC13:AI20"/>
    <mergeCell ref="AP13:AX22"/>
    <mergeCell ref="H21:N22"/>
    <mergeCell ref="O21:U22"/>
    <mergeCell ref="V21:AB22"/>
    <mergeCell ref="AC21:AI22"/>
    <mergeCell ref="AJ13:AO26"/>
    <mergeCell ref="AP23:AX26"/>
    <mergeCell ref="D43:AC44"/>
    <mergeCell ref="AD43:AE44"/>
    <mergeCell ref="AG43:AK44"/>
    <mergeCell ref="AM43:AQ44"/>
    <mergeCell ref="AS43:AW44"/>
    <mergeCell ref="C23:G26"/>
    <mergeCell ref="H23:N26"/>
    <mergeCell ref="O23:U26"/>
    <mergeCell ref="V23:AB26"/>
    <mergeCell ref="AC23:AI26"/>
    <mergeCell ref="Y46:Z47"/>
    <mergeCell ref="C46:D47"/>
    <mergeCell ref="E46:F47"/>
    <mergeCell ref="G46:H47"/>
    <mergeCell ref="I46:J47"/>
    <mergeCell ref="K46:L47"/>
    <mergeCell ref="M46:N47"/>
    <mergeCell ref="O46:P47"/>
    <mergeCell ref="Q46:R47"/>
    <mergeCell ref="S46:T47"/>
    <mergeCell ref="U46:V47"/>
    <mergeCell ref="W46:X47"/>
    <mergeCell ref="AW46:AX47"/>
    <mergeCell ref="AA46:AB47"/>
    <mergeCell ref="AC46:AD47"/>
    <mergeCell ref="AE46:AF47"/>
    <mergeCell ref="AG46:AH47"/>
    <mergeCell ref="AI46:AJ47"/>
    <mergeCell ref="AK46:AL47"/>
    <mergeCell ref="AM46:AN47"/>
    <mergeCell ref="AO46:AP47"/>
    <mergeCell ref="AQ46:AR47"/>
    <mergeCell ref="AS46:AT47"/>
    <mergeCell ref="AU46:AV47"/>
  </mergeCells>
  <conditionalFormatting sqref="AG43:AK44">
    <cfRule type="cellIs" dxfId="47" priority="15" operator="equal">
      <formula>""</formula>
    </cfRule>
  </conditionalFormatting>
  <conditionalFormatting sqref="AS43:AW44">
    <cfRule type="cellIs" dxfId="46" priority="14" operator="equal">
      <formula>""</formula>
    </cfRule>
  </conditionalFormatting>
  <conditionalFormatting sqref="C28:AX41">
    <cfRule type="expression" dxfId="45" priority="13">
      <formula>$C$38=""</formula>
    </cfRule>
  </conditionalFormatting>
  <conditionalFormatting sqref="C23:G26 H21:AI22 AP13:AX26">
    <cfRule type="expression" dxfId="44" priority="12">
      <formula>$C$13=""</formula>
    </cfRule>
  </conditionalFormatting>
  <conditionalFormatting sqref="C13:G22">
    <cfRule type="expression" dxfId="43" priority="8">
      <formula>$C$13=""</formula>
    </cfRule>
  </conditionalFormatting>
  <conditionalFormatting sqref="H13:AI20">
    <cfRule type="expression" dxfId="42" priority="7">
      <formula>$C$13=""</formula>
    </cfRule>
  </conditionalFormatting>
  <conditionalFormatting sqref="H23:AI26">
    <cfRule type="expression" dxfId="41" priority="6">
      <formula>$C$13=""</formula>
    </cfRule>
  </conditionalFormatting>
  <conditionalFormatting sqref="AJ13:AO26">
    <cfRule type="expression" dxfId="40" priority="5">
      <formula>$C$13=""</formula>
    </cfRule>
  </conditionalFormatting>
  <conditionalFormatting sqref="AM43:AQ44">
    <cfRule type="cellIs" dxfId="39" priority="4" operator="equal">
      <formula>"PEAI"</formula>
    </cfRule>
  </conditionalFormatting>
  <conditionalFormatting sqref="C46:AX47">
    <cfRule type="expression" dxfId="38" priority="1">
      <formula>IF(CODE(C46)=38,1,0)</formula>
    </cfRule>
    <cfRule type="expression" dxfId="37" priority="2">
      <formula>IF(CODE(C46)=37,1,0)</formula>
    </cfRule>
    <cfRule type="expression" dxfId="36" priority="3">
      <formula>IF(OR(CODE(C46)=143,CODE(C46)=167,CODE(C46)=168,CODE(C46)=254),1,0)</formula>
    </cfRule>
  </conditionalFormatting>
  <dataValidations count="10">
    <dataValidation allowBlank="1" showInputMessage="1" showErrorMessage="1" promptTitle="Mensaje" prompt="Indicador" sqref="AJ11:AO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Hitos de aplicación del enfoque ambiental" sqref="H11:AE11 H12:M12 O12:T12 V12:AA12 AC12:AH12"/>
    <dataValidation type="list" allowBlank="1" showInputMessage="1" showErrorMessage="1" errorTitle="Mensaje de validación" error="Solo se permite datos de la lista desplegable._x000a__x000a_Intente de nuevo." promptTitle="Seleccionar" prompt="SI o NO" sqref="H21:AI22">
      <formula1>"SI, NO"</formula1>
    </dataValidation>
    <dataValidation allowBlank="1" showInputMessage="1" showErrorMessage="1" promptTitle="Información" prompt="Medios de verificación" sqref="AP23:AX26 C23:AI26"/>
    <dataValidation allowBlank="1" showInputMessage="1" showErrorMessage="1" promptTitle="Información" prompt="Hitos de aplicación" sqref="H13:AI20"/>
    <dataValidation allowBlank="1" showInputMessage="1" showErrorMessage="1" promptTitle="Información" prompt="Indicador de la actividad" sqref="AJ13:AO26"/>
    <dataValidation allowBlank="1" showInputMessage="1" showErrorMessage="1" promptTitle="Información" prompt="Actividad ambiental" sqref="C13:G22"/>
    <dataValidation allowBlank="1" showInputMessage="1" showErrorMessage="1" promptTitle="Ingrese" prompt="Describir principales aspectos que facilitaron que la IIEE llegara a este logro, así como dificultades." sqref="AP13:AX2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7" tint="-0.249977111117893"/>
    <pageSetUpPr fitToPage="1"/>
  </sheetPr>
  <dimension ref="A1:AY49"/>
  <sheetViews>
    <sheetView showGridLines="0" topLeftCell="A7" zoomScaleNormal="100" zoomScaleSheetLayoutView="100" workbookViewId="0">
      <selection activeCell="C46" sqref="C46:AX47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15" t="str">
        <f>LISTAS!AI22</f>
        <v/>
      </c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  <c r="W9" s="316"/>
      <c r="X9" s="316"/>
      <c r="Y9" s="316"/>
      <c r="Z9" s="316"/>
      <c r="AA9" s="316"/>
      <c r="AB9" s="316"/>
      <c r="AC9" s="316"/>
      <c r="AD9" s="316"/>
      <c r="AE9" s="316"/>
      <c r="AF9" s="316"/>
      <c r="AG9" s="316"/>
      <c r="AH9" s="316"/>
      <c r="AI9" s="316"/>
      <c r="AJ9" s="316"/>
      <c r="AK9" s="316"/>
      <c r="AL9" s="316"/>
      <c r="AM9" s="316"/>
      <c r="AN9" s="316"/>
      <c r="AO9" s="316"/>
      <c r="AP9" s="316"/>
      <c r="AQ9" s="316"/>
      <c r="AR9" s="316"/>
      <c r="AS9" s="316"/>
      <c r="AT9" s="316"/>
      <c r="AU9" s="316"/>
      <c r="AV9" s="316"/>
      <c r="AW9" s="316"/>
      <c r="AX9" s="316"/>
      <c r="AY9" s="9"/>
    </row>
    <row r="10" spans="1:51" ht="9" customHeight="1" x14ac:dyDescent="0.2">
      <c r="B10" s="7"/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9"/>
    </row>
    <row r="11" spans="1:51" ht="12" customHeight="1" x14ac:dyDescent="0.2">
      <c r="B11" s="7"/>
      <c r="C11" s="319" t="s">
        <v>1793</v>
      </c>
      <c r="D11" s="320"/>
      <c r="E11" s="320"/>
      <c r="F11" s="320"/>
      <c r="G11" s="320"/>
      <c r="H11" s="321" t="s">
        <v>1794</v>
      </c>
      <c r="I11" s="322"/>
      <c r="J11" s="322"/>
      <c r="K11" s="322"/>
      <c r="L11" s="322"/>
      <c r="M11" s="322"/>
      <c r="N11" s="322"/>
      <c r="O11" s="322"/>
      <c r="P11" s="322"/>
      <c r="Q11" s="322"/>
      <c r="R11" s="322"/>
      <c r="S11" s="322"/>
      <c r="T11" s="322"/>
      <c r="U11" s="322"/>
      <c r="V11" s="322"/>
      <c r="W11" s="322"/>
      <c r="X11" s="322"/>
      <c r="Y11" s="322"/>
      <c r="Z11" s="322"/>
      <c r="AA11" s="322"/>
      <c r="AB11" s="322"/>
      <c r="AC11" s="322"/>
      <c r="AD11" s="322"/>
      <c r="AE11" s="322"/>
      <c r="AF11" s="324"/>
      <c r="AG11" s="324"/>
      <c r="AH11" s="324"/>
      <c r="AI11" s="323"/>
      <c r="AJ11" s="319" t="s">
        <v>1800</v>
      </c>
      <c r="AK11" s="320"/>
      <c r="AL11" s="320"/>
      <c r="AM11" s="320"/>
      <c r="AN11" s="320"/>
      <c r="AO11" s="320"/>
      <c r="AP11" s="319" t="s">
        <v>1801</v>
      </c>
      <c r="AQ11" s="320"/>
      <c r="AR11" s="320"/>
      <c r="AS11" s="320"/>
      <c r="AT11" s="320"/>
      <c r="AU11" s="320"/>
      <c r="AV11" s="320"/>
      <c r="AW11" s="320"/>
      <c r="AX11" s="320"/>
      <c r="AY11" s="9"/>
    </row>
    <row r="12" spans="1:51" ht="9.9499999999999993" customHeight="1" x14ac:dyDescent="0.2">
      <c r="B12" s="7"/>
      <c r="C12" s="320"/>
      <c r="D12" s="320"/>
      <c r="E12" s="320"/>
      <c r="F12" s="320"/>
      <c r="G12" s="320"/>
      <c r="H12" s="321" t="s">
        <v>1795</v>
      </c>
      <c r="I12" s="322"/>
      <c r="J12" s="322"/>
      <c r="K12" s="322"/>
      <c r="L12" s="322"/>
      <c r="M12" s="322"/>
      <c r="N12" s="323"/>
      <c r="O12" s="321" t="s">
        <v>1796</v>
      </c>
      <c r="P12" s="322"/>
      <c r="Q12" s="322"/>
      <c r="R12" s="322"/>
      <c r="S12" s="322"/>
      <c r="T12" s="322"/>
      <c r="U12" s="323"/>
      <c r="V12" s="321" t="s">
        <v>1797</v>
      </c>
      <c r="W12" s="322"/>
      <c r="X12" s="322"/>
      <c r="Y12" s="322"/>
      <c r="Z12" s="322"/>
      <c r="AA12" s="322"/>
      <c r="AB12" s="323"/>
      <c r="AC12" s="321" t="s">
        <v>1798</v>
      </c>
      <c r="AD12" s="322"/>
      <c r="AE12" s="322"/>
      <c r="AF12" s="322"/>
      <c r="AG12" s="322"/>
      <c r="AH12" s="322"/>
      <c r="AI12" s="323"/>
      <c r="AJ12" s="320"/>
      <c r="AK12" s="320"/>
      <c r="AL12" s="320"/>
      <c r="AM12" s="320"/>
      <c r="AN12" s="320"/>
      <c r="AO12" s="320"/>
      <c r="AP12" s="320"/>
      <c r="AQ12" s="320"/>
      <c r="AR12" s="320"/>
      <c r="AS12" s="320"/>
      <c r="AT12" s="320"/>
      <c r="AU12" s="320"/>
      <c r="AV12" s="320"/>
      <c r="AW12" s="320"/>
      <c r="AX12" s="320"/>
      <c r="AY12" s="9"/>
    </row>
    <row r="13" spans="1:51" ht="11.45" customHeight="1" x14ac:dyDescent="0.2">
      <c r="B13" s="7"/>
      <c r="C13" s="317" t="str">
        <f>LISTAS!AJ22</f>
        <v>16. LA I.E. implementó un PEAI como recurso pedagógico y para el desarrollo de la conciencia ambiental y sobre la salud.</v>
      </c>
      <c r="D13" s="318"/>
      <c r="E13" s="318"/>
      <c r="F13" s="318"/>
      <c r="G13" s="318"/>
      <c r="H13" s="334" t="str">
        <f>LISTAS!AK22</f>
        <v xml:space="preserve">El PEAI fue incluido en el PAT. </v>
      </c>
      <c r="I13" s="335"/>
      <c r="J13" s="335"/>
      <c r="K13" s="335"/>
      <c r="L13" s="335"/>
      <c r="M13" s="335"/>
      <c r="N13" s="336"/>
      <c r="O13" s="334" t="str">
        <f>LISTAS!AL22</f>
        <v xml:space="preserve">La I.E. implementó el PEAI con actividades pedagógicas articuladas mínimo a tres áreas curriculares. </v>
      </c>
      <c r="P13" s="335"/>
      <c r="Q13" s="335"/>
      <c r="R13" s="335"/>
      <c r="S13" s="335"/>
      <c r="T13" s="335"/>
      <c r="U13" s="336"/>
      <c r="V13" s="334" t="str">
        <f>LISTAS!AM22</f>
        <v>La I.E. implementó actividades institucionales para la ejecución del PEAI a lo largo de todo el año escolar.</v>
      </c>
      <c r="W13" s="335"/>
      <c r="X13" s="335"/>
      <c r="Y13" s="335"/>
      <c r="Z13" s="335"/>
      <c r="AA13" s="335"/>
      <c r="AB13" s="336"/>
      <c r="AC13" s="334" t="str">
        <f>LISTAS!AN22</f>
        <v>El PEAI se implementó con apoyo de instituciones del sector público y/o privado.</v>
      </c>
      <c r="AD13" s="335"/>
      <c r="AE13" s="335"/>
      <c r="AF13" s="335"/>
      <c r="AG13" s="335"/>
      <c r="AH13" s="335"/>
      <c r="AI13" s="336"/>
      <c r="AJ13" s="338" t="str">
        <f>LISTAS!AO22</f>
        <v>N° de hitos de aplicación del enfoque ambiental puestos en práctica en la implementación del PEAI.</v>
      </c>
      <c r="AK13" s="339"/>
      <c r="AL13" s="339"/>
      <c r="AM13" s="339"/>
      <c r="AN13" s="339"/>
      <c r="AO13" s="340"/>
      <c r="AP13" s="350"/>
      <c r="AQ13" s="351"/>
      <c r="AR13" s="351"/>
      <c r="AS13" s="351"/>
      <c r="AT13" s="351"/>
      <c r="AU13" s="351"/>
      <c r="AV13" s="351"/>
      <c r="AW13" s="351"/>
      <c r="AX13" s="351"/>
      <c r="AY13" s="9"/>
    </row>
    <row r="14" spans="1:51" ht="11.45" customHeight="1" x14ac:dyDescent="0.2">
      <c r="B14" s="7"/>
      <c r="C14" s="318"/>
      <c r="D14" s="318"/>
      <c r="E14" s="318"/>
      <c r="F14" s="318"/>
      <c r="G14" s="318"/>
      <c r="H14" s="337"/>
      <c r="I14" s="335"/>
      <c r="J14" s="335"/>
      <c r="K14" s="335"/>
      <c r="L14" s="335"/>
      <c r="M14" s="335"/>
      <c r="N14" s="336"/>
      <c r="O14" s="337"/>
      <c r="P14" s="335"/>
      <c r="Q14" s="335"/>
      <c r="R14" s="335"/>
      <c r="S14" s="335"/>
      <c r="T14" s="335"/>
      <c r="U14" s="336"/>
      <c r="V14" s="337"/>
      <c r="W14" s="335"/>
      <c r="X14" s="335"/>
      <c r="Y14" s="335"/>
      <c r="Z14" s="335"/>
      <c r="AA14" s="335"/>
      <c r="AB14" s="336"/>
      <c r="AC14" s="337"/>
      <c r="AD14" s="335"/>
      <c r="AE14" s="335"/>
      <c r="AF14" s="335"/>
      <c r="AG14" s="335"/>
      <c r="AH14" s="335"/>
      <c r="AI14" s="336"/>
      <c r="AJ14" s="341"/>
      <c r="AK14" s="342"/>
      <c r="AL14" s="342"/>
      <c r="AM14" s="342"/>
      <c r="AN14" s="342"/>
      <c r="AO14" s="343"/>
      <c r="AP14" s="351"/>
      <c r="AQ14" s="351"/>
      <c r="AR14" s="351"/>
      <c r="AS14" s="351"/>
      <c r="AT14" s="351"/>
      <c r="AU14" s="351"/>
      <c r="AV14" s="351"/>
      <c r="AW14" s="351"/>
      <c r="AX14" s="351"/>
      <c r="AY14" s="9"/>
    </row>
    <row r="15" spans="1:51" ht="11.45" customHeight="1" x14ac:dyDescent="0.2">
      <c r="B15" s="7"/>
      <c r="C15" s="318"/>
      <c r="D15" s="318"/>
      <c r="E15" s="318"/>
      <c r="F15" s="318"/>
      <c r="G15" s="318"/>
      <c r="H15" s="337"/>
      <c r="I15" s="335"/>
      <c r="J15" s="335"/>
      <c r="K15" s="335"/>
      <c r="L15" s="335"/>
      <c r="M15" s="335"/>
      <c r="N15" s="336"/>
      <c r="O15" s="337"/>
      <c r="P15" s="335"/>
      <c r="Q15" s="335"/>
      <c r="R15" s="335"/>
      <c r="S15" s="335"/>
      <c r="T15" s="335"/>
      <c r="U15" s="336"/>
      <c r="V15" s="337"/>
      <c r="W15" s="335"/>
      <c r="X15" s="335"/>
      <c r="Y15" s="335"/>
      <c r="Z15" s="335"/>
      <c r="AA15" s="335"/>
      <c r="AB15" s="336"/>
      <c r="AC15" s="337"/>
      <c r="AD15" s="335"/>
      <c r="AE15" s="335"/>
      <c r="AF15" s="335"/>
      <c r="AG15" s="335"/>
      <c r="AH15" s="335"/>
      <c r="AI15" s="336"/>
      <c r="AJ15" s="341"/>
      <c r="AK15" s="342"/>
      <c r="AL15" s="342"/>
      <c r="AM15" s="342"/>
      <c r="AN15" s="342"/>
      <c r="AO15" s="343"/>
      <c r="AP15" s="351"/>
      <c r="AQ15" s="351"/>
      <c r="AR15" s="351"/>
      <c r="AS15" s="351"/>
      <c r="AT15" s="351"/>
      <c r="AU15" s="351"/>
      <c r="AV15" s="351"/>
      <c r="AW15" s="351"/>
      <c r="AX15" s="351"/>
      <c r="AY15" s="9"/>
    </row>
    <row r="16" spans="1:51" ht="11.45" customHeight="1" x14ac:dyDescent="0.2">
      <c r="B16" s="7"/>
      <c r="C16" s="318"/>
      <c r="D16" s="318"/>
      <c r="E16" s="318"/>
      <c r="F16" s="318"/>
      <c r="G16" s="318"/>
      <c r="H16" s="337"/>
      <c r="I16" s="335"/>
      <c r="J16" s="335"/>
      <c r="K16" s="335"/>
      <c r="L16" s="335"/>
      <c r="M16" s="335"/>
      <c r="N16" s="336"/>
      <c r="O16" s="337"/>
      <c r="P16" s="335"/>
      <c r="Q16" s="335"/>
      <c r="R16" s="335"/>
      <c r="S16" s="335"/>
      <c r="T16" s="335"/>
      <c r="U16" s="336"/>
      <c r="V16" s="337"/>
      <c r="W16" s="335"/>
      <c r="X16" s="335"/>
      <c r="Y16" s="335"/>
      <c r="Z16" s="335"/>
      <c r="AA16" s="335"/>
      <c r="AB16" s="336"/>
      <c r="AC16" s="337"/>
      <c r="AD16" s="335"/>
      <c r="AE16" s="335"/>
      <c r="AF16" s="335"/>
      <c r="AG16" s="335"/>
      <c r="AH16" s="335"/>
      <c r="AI16" s="336"/>
      <c r="AJ16" s="341"/>
      <c r="AK16" s="342"/>
      <c r="AL16" s="342"/>
      <c r="AM16" s="342"/>
      <c r="AN16" s="342"/>
      <c r="AO16" s="343"/>
      <c r="AP16" s="351"/>
      <c r="AQ16" s="351"/>
      <c r="AR16" s="351"/>
      <c r="AS16" s="351"/>
      <c r="AT16" s="351"/>
      <c r="AU16" s="351"/>
      <c r="AV16" s="351"/>
      <c r="AW16" s="351"/>
      <c r="AX16" s="351"/>
      <c r="AY16" s="9"/>
    </row>
    <row r="17" spans="2:51" ht="11.45" customHeight="1" x14ac:dyDescent="0.2">
      <c r="B17" s="7"/>
      <c r="C17" s="318"/>
      <c r="D17" s="318"/>
      <c r="E17" s="318"/>
      <c r="F17" s="318"/>
      <c r="G17" s="318"/>
      <c r="H17" s="337"/>
      <c r="I17" s="335"/>
      <c r="J17" s="335"/>
      <c r="K17" s="335"/>
      <c r="L17" s="335"/>
      <c r="M17" s="335"/>
      <c r="N17" s="336"/>
      <c r="O17" s="337"/>
      <c r="P17" s="335"/>
      <c r="Q17" s="335"/>
      <c r="R17" s="335"/>
      <c r="S17" s="335"/>
      <c r="T17" s="335"/>
      <c r="U17" s="336"/>
      <c r="V17" s="337"/>
      <c r="W17" s="335"/>
      <c r="X17" s="335"/>
      <c r="Y17" s="335"/>
      <c r="Z17" s="335"/>
      <c r="AA17" s="335"/>
      <c r="AB17" s="336"/>
      <c r="AC17" s="337"/>
      <c r="AD17" s="335"/>
      <c r="AE17" s="335"/>
      <c r="AF17" s="335"/>
      <c r="AG17" s="335"/>
      <c r="AH17" s="335"/>
      <c r="AI17" s="336"/>
      <c r="AJ17" s="341"/>
      <c r="AK17" s="342"/>
      <c r="AL17" s="342"/>
      <c r="AM17" s="342"/>
      <c r="AN17" s="342"/>
      <c r="AO17" s="343"/>
      <c r="AP17" s="351"/>
      <c r="AQ17" s="351"/>
      <c r="AR17" s="351"/>
      <c r="AS17" s="351"/>
      <c r="AT17" s="351"/>
      <c r="AU17" s="351"/>
      <c r="AV17" s="351"/>
      <c r="AW17" s="351"/>
      <c r="AX17" s="351"/>
      <c r="AY17" s="9"/>
    </row>
    <row r="18" spans="2:51" ht="11.45" customHeight="1" x14ac:dyDescent="0.2">
      <c r="B18" s="7"/>
      <c r="C18" s="318"/>
      <c r="D18" s="318"/>
      <c r="E18" s="318"/>
      <c r="F18" s="318"/>
      <c r="G18" s="318"/>
      <c r="H18" s="337"/>
      <c r="I18" s="335"/>
      <c r="J18" s="335"/>
      <c r="K18" s="335"/>
      <c r="L18" s="335"/>
      <c r="M18" s="335"/>
      <c r="N18" s="336"/>
      <c r="O18" s="337"/>
      <c r="P18" s="335"/>
      <c r="Q18" s="335"/>
      <c r="R18" s="335"/>
      <c r="S18" s="335"/>
      <c r="T18" s="335"/>
      <c r="U18" s="336"/>
      <c r="V18" s="337"/>
      <c r="W18" s="335"/>
      <c r="X18" s="335"/>
      <c r="Y18" s="335"/>
      <c r="Z18" s="335"/>
      <c r="AA18" s="335"/>
      <c r="AB18" s="336"/>
      <c r="AC18" s="337"/>
      <c r="AD18" s="335"/>
      <c r="AE18" s="335"/>
      <c r="AF18" s="335"/>
      <c r="AG18" s="335"/>
      <c r="AH18" s="335"/>
      <c r="AI18" s="336"/>
      <c r="AJ18" s="341"/>
      <c r="AK18" s="342"/>
      <c r="AL18" s="342"/>
      <c r="AM18" s="342"/>
      <c r="AN18" s="342"/>
      <c r="AO18" s="343"/>
      <c r="AP18" s="351"/>
      <c r="AQ18" s="351"/>
      <c r="AR18" s="351"/>
      <c r="AS18" s="351"/>
      <c r="AT18" s="351"/>
      <c r="AU18" s="351"/>
      <c r="AV18" s="351"/>
      <c r="AW18" s="351"/>
      <c r="AX18" s="351"/>
      <c r="AY18" s="9"/>
    </row>
    <row r="19" spans="2:51" ht="11.45" customHeight="1" x14ac:dyDescent="0.2">
      <c r="B19" s="7"/>
      <c r="C19" s="318"/>
      <c r="D19" s="318"/>
      <c r="E19" s="318"/>
      <c r="F19" s="318"/>
      <c r="G19" s="318"/>
      <c r="H19" s="337"/>
      <c r="I19" s="335"/>
      <c r="J19" s="335"/>
      <c r="K19" s="335"/>
      <c r="L19" s="335"/>
      <c r="M19" s="335"/>
      <c r="N19" s="336"/>
      <c r="O19" s="337"/>
      <c r="P19" s="335"/>
      <c r="Q19" s="335"/>
      <c r="R19" s="335"/>
      <c r="S19" s="335"/>
      <c r="T19" s="335"/>
      <c r="U19" s="336"/>
      <c r="V19" s="337"/>
      <c r="W19" s="335"/>
      <c r="X19" s="335"/>
      <c r="Y19" s="335"/>
      <c r="Z19" s="335"/>
      <c r="AA19" s="335"/>
      <c r="AB19" s="336"/>
      <c r="AC19" s="337"/>
      <c r="AD19" s="335"/>
      <c r="AE19" s="335"/>
      <c r="AF19" s="335"/>
      <c r="AG19" s="335"/>
      <c r="AH19" s="335"/>
      <c r="AI19" s="336"/>
      <c r="AJ19" s="341"/>
      <c r="AK19" s="342"/>
      <c r="AL19" s="342"/>
      <c r="AM19" s="342"/>
      <c r="AN19" s="342"/>
      <c r="AO19" s="343"/>
      <c r="AP19" s="351"/>
      <c r="AQ19" s="351"/>
      <c r="AR19" s="351"/>
      <c r="AS19" s="351"/>
      <c r="AT19" s="351"/>
      <c r="AU19" s="351"/>
      <c r="AV19" s="351"/>
      <c r="AW19" s="351"/>
      <c r="AX19" s="351"/>
      <c r="AY19" s="9"/>
    </row>
    <row r="20" spans="2:51" ht="25.5" customHeight="1" x14ac:dyDescent="0.2">
      <c r="B20" s="7"/>
      <c r="C20" s="318"/>
      <c r="D20" s="318"/>
      <c r="E20" s="318"/>
      <c r="F20" s="318"/>
      <c r="G20" s="318"/>
      <c r="H20" s="337"/>
      <c r="I20" s="335"/>
      <c r="J20" s="335"/>
      <c r="K20" s="335"/>
      <c r="L20" s="335"/>
      <c r="M20" s="335"/>
      <c r="N20" s="336"/>
      <c r="O20" s="337"/>
      <c r="P20" s="335"/>
      <c r="Q20" s="335"/>
      <c r="R20" s="335"/>
      <c r="S20" s="335"/>
      <c r="T20" s="335"/>
      <c r="U20" s="336"/>
      <c r="V20" s="337"/>
      <c r="W20" s="335"/>
      <c r="X20" s="335"/>
      <c r="Y20" s="335"/>
      <c r="Z20" s="335"/>
      <c r="AA20" s="335"/>
      <c r="AB20" s="336"/>
      <c r="AC20" s="337"/>
      <c r="AD20" s="335"/>
      <c r="AE20" s="335"/>
      <c r="AF20" s="335"/>
      <c r="AG20" s="335"/>
      <c r="AH20" s="335"/>
      <c r="AI20" s="336"/>
      <c r="AJ20" s="341"/>
      <c r="AK20" s="342"/>
      <c r="AL20" s="342"/>
      <c r="AM20" s="342"/>
      <c r="AN20" s="342"/>
      <c r="AO20" s="343"/>
      <c r="AP20" s="351"/>
      <c r="AQ20" s="351"/>
      <c r="AR20" s="351"/>
      <c r="AS20" s="351"/>
      <c r="AT20" s="351"/>
      <c r="AU20" s="351"/>
      <c r="AV20" s="351"/>
      <c r="AW20" s="351"/>
      <c r="AX20" s="351"/>
      <c r="AY20" s="9"/>
    </row>
    <row r="21" spans="2:51" ht="6.95" customHeight="1" x14ac:dyDescent="0.2">
      <c r="B21" s="7"/>
      <c r="C21" s="318"/>
      <c r="D21" s="318"/>
      <c r="E21" s="318"/>
      <c r="F21" s="318"/>
      <c r="G21" s="318"/>
      <c r="H21" s="325"/>
      <c r="I21" s="326"/>
      <c r="J21" s="326"/>
      <c r="K21" s="326"/>
      <c r="L21" s="326"/>
      <c r="M21" s="326"/>
      <c r="N21" s="327"/>
      <c r="O21" s="325"/>
      <c r="P21" s="326"/>
      <c r="Q21" s="326"/>
      <c r="R21" s="326"/>
      <c r="S21" s="326"/>
      <c r="T21" s="326"/>
      <c r="U21" s="327"/>
      <c r="V21" s="325"/>
      <c r="W21" s="326"/>
      <c r="X21" s="326"/>
      <c r="Y21" s="326"/>
      <c r="Z21" s="326"/>
      <c r="AA21" s="326"/>
      <c r="AB21" s="327"/>
      <c r="AC21" s="325"/>
      <c r="AD21" s="326"/>
      <c r="AE21" s="326"/>
      <c r="AF21" s="326"/>
      <c r="AG21" s="326"/>
      <c r="AH21" s="326"/>
      <c r="AI21" s="327"/>
      <c r="AJ21" s="341"/>
      <c r="AK21" s="342"/>
      <c r="AL21" s="342"/>
      <c r="AM21" s="342"/>
      <c r="AN21" s="342"/>
      <c r="AO21" s="343"/>
      <c r="AP21" s="351"/>
      <c r="AQ21" s="351"/>
      <c r="AR21" s="351"/>
      <c r="AS21" s="351"/>
      <c r="AT21" s="351"/>
      <c r="AU21" s="351"/>
      <c r="AV21" s="351"/>
      <c r="AW21" s="351"/>
      <c r="AX21" s="351"/>
      <c r="AY21" s="9"/>
    </row>
    <row r="22" spans="2:51" ht="6.95" customHeight="1" x14ac:dyDescent="0.2">
      <c r="B22" s="7"/>
      <c r="C22" s="318"/>
      <c r="D22" s="318"/>
      <c r="E22" s="318"/>
      <c r="F22" s="318"/>
      <c r="G22" s="318"/>
      <c r="H22" s="328"/>
      <c r="I22" s="326"/>
      <c r="J22" s="326"/>
      <c r="K22" s="326"/>
      <c r="L22" s="326"/>
      <c r="M22" s="326"/>
      <c r="N22" s="327"/>
      <c r="O22" s="328"/>
      <c r="P22" s="326"/>
      <c r="Q22" s="326"/>
      <c r="R22" s="326"/>
      <c r="S22" s="326"/>
      <c r="T22" s="326"/>
      <c r="U22" s="327"/>
      <c r="V22" s="328"/>
      <c r="W22" s="326"/>
      <c r="X22" s="326"/>
      <c r="Y22" s="326"/>
      <c r="Z22" s="326"/>
      <c r="AA22" s="326"/>
      <c r="AB22" s="327"/>
      <c r="AC22" s="328"/>
      <c r="AD22" s="326"/>
      <c r="AE22" s="326"/>
      <c r="AF22" s="326"/>
      <c r="AG22" s="326"/>
      <c r="AH22" s="326"/>
      <c r="AI22" s="327"/>
      <c r="AJ22" s="341"/>
      <c r="AK22" s="342"/>
      <c r="AL22" s="342"/>
      <c r="AM22" s="342"/>
      <c r="AN22" s="342"/>
      <c r="AO22" s="343"/>
      <c r="AP22" s="351"/>
      <c r="AQ22" s="351"/>
      <c r="AR22" s="351"/>
      <c r="AS22" s="351"/>
      <c r="AT22" s="351"/>
      <c r="AU22" s="351"/>
      <c r="AV22" s="351"/>
      <c r="AW22" s="351"/>
      <c r="AX22" s="351"/>
      <c r="AY22" s="9"/>
    </row>
    <row r="23" spans="2:51" ht="11.45" customHeight="1" x14ac:dyDescent="0.2">
      <c r="B23" s="7"/>
      <c r="C23" s="360" t="s">
        <v>4107</v>
      </c>
      <c r="D23" s="360"/>
      <c r="E23" s="360"/>
      <c r="F23" s="360"/>
      <c r="G23" s="360"/>
      <c r="H23" s="329" t="str">
        <f>LISTAS!AP22</f>
        <v>PAT.</v>
      </c>
      <c r="I23" s="330"/>
      <c r="J23" s="330"/>
      <c r="K23" s="330"/>
      <c r="L23" s="330"/>
      <c r="M23" s="330"/>
      <c r="N23" s="330"/>
      <c r="O23" s="329" t="str">
        <f>LISTAS!AQ22</f>
        <v>Plan de Trabajo del PEAI. PCI.</v>
      </c>
      <c r="P23" s="330"/>
      <c r="Q23" s="330"/>
      <c r="R23" s="330"/>
      <c r="S23" s="330"/>
      <c r="T23" s="330"/>
      <c r="U23" s="330"/>
      <c r="V23" s="329" t="str">
        <f>LISTAS!AR22</f>
        <v>PAT.</v>
      </c>
      <c r="W23" s="330"/>
      <c r="X23" s="330"/>
      <c r="Y23" s="330"/>
      <c r="Z23" s="330"/>
      <c r="AA23" s="330"/>
      <c r="AB23" s="330"/>
      <c r="AC23" s="329" t="str">
        <f>LISTAS!AS22</f>
        <v>Documentos administrativos: Cartas, Oficios, Memo. Actas, Convenios, Acuerdos.</v>
      </c>
      <c r="AD23" s="330"/>
      <c r="AE23" s="330"/>
      <c r="AF23" s="330"/>
      <c r="AG23" s="330"/>
      <c r="AH23" s="330"/>
      <c r="AI23" s="330"/>
      <c r="AJ23" s="344"/>
      <c r="AK23" s="345"/>
      <c r="AL23" s="345"/>
      <c r="AM23" s="345"/>
      <c r="AN23" s="345"/>
      <c r="AO23" s="346"/>
      <c r="AP23" s="329" t="s">
        <v>3721</v>
      </c>
      <c r="AQ23" s="329"/>
      <c r="AR23" s="329"/>
      <c r="AS23" s="329"/>
      <c r="AT23" s="329"/>
      <c r="AU23" s="329"/>
      <c r="AV23" s="329"/>
      <c r="AW23" s="329"/>
      <c r="AX23" s="329"/>
      <c r="AY23" s="9"/>
    </row>
    <row r="24" spans="2:51" ht="11.45" customHeight="1" x14ac:dyDescent="0.2">
      <c r="B24" s="7"/>
      <c r="C24" s="361"/>
      <c r="D24" s="361"/>
      <c r="E24" s="361"/>
      <c r="F24" s="361"/>
      <c r="G24" s="361"/>
      <c r="H24" s="331"/>
      <c r="I24" s="332"/>
      <c r="J24" s="332"/>
      <c r="K24" s="332"/>
      <c r="L24" s="332"/>
      <c r="M24" s="332"/>
      <c r="N24" s="332"/>
      <c r="O24" s="331"/>
      <c r="P24" s="332"/>
      <c r="Q24" s="332"/>
      <c r="R24" s="332"/>
      <c r="S24" s="332"/>
      <c r="T24" s="332"/>
      <c r="U24" s="332"/>
      <c r="V24" s="331"/>
      <c r="W24" s="332"/>
      <c r="X24" s="332"/>
      <c r="Y24" s="332"/>
      <c r="Z24" s="332"/>
      <c r="AA24" s="332"/>
      <c r="AB24" s="332"/>
      <c r="AC24" s="331"/>
      <c r="AD24" s="332"/>
      <c r="AE24" s="332"/>
      <c r="AF24" s="332"/>
      <c r="AG24" s="332"/>
      <c r="AH24" s="332"/>
      <c r="AI24" s="332"/>
      <c r="AJ24" s="344"/>
      <c r="AK24" s="345"/>
      <c r="AL24" s="345"/>
      <c r="AM24" s="345"/>
      <c r="AN24" s="345"/>
      <c r="AO24" s="346"/>
      <c r="AP24" s="331"/>
      <c r="AQ24" s="331"/>
      <c r="AR24" s="331"/>
      <c r="AS24" s="331"/>
      <c r="AT24" s="331"/>
      <c r="AU24" s="331"/>
      <c r="AV24" s="331"/>
      <c r="AW24" s="331"/>
      <c r="AX24" s="331"/>
      <c r="AY24" s="9"/>
    </row>
    <row r="25" spans="2:51" ht="11.45" customHeight="1" x14ac:dyDescent="0.2">
      <c r="B25" s="7"/>
      <c r="C25" s="361"/>
      <c r="D25" s="361"/>
      <c r="E25" s="361"/>
      <c r="F25" s="361"/>
      <c r="G25" s="361"/>
      <c r="H25" s="331"/>
      <c r="I25" s="332"/>
      <c r="J25" s="332"/>
      <c r="K25" s="332"/>
      <c r="L25" s="332"/>
      <c r="M25" s="332"/>
      <c r="N25" s="332"/>
      <c r="O25" s="331"/>
      <c r="P25" s="332"/>
      <c r="Q25" s="332"/>
      <c r="R25" s="332"/>
      <c r="S25" s="332"/>
      <c r="T25" s="332"/>
      <c r="U25" s="332"/>
      <c r="V25" s="331"/>
      <c r="W25" s="332"/>
      <c r="X25" s="332"/>
      <c r="Y25" s="332"/>
      <c r="Z25" s="332"/>
      <c r="AA25" s="332"/>
      <c r="AB25" s="332"/>
      <c r="AC25" s="331"/>
      <c r="AD25" s="332"/>
      <c r="AE25" s="332"/>
      <c r="AF25" s="332"/>
      <c r="AG25" s="332"/>
      <c r="AH25" s="332"/>
      <c r="AI25" s="332"/>
      <c r="AJ25" s="344"/>
      <c r="AK25" s="345"/>
      <c r="AL25" s="345"/>
      <c r="AM25" s="345"/>
      <c r="AN25" s="345"/>
      <c r="AO25" s="346"/>
      <c r="AP25" s="331"/>
      <c r="AQ25" s="331"/>
      <c r="AR25" s="331"/>
      <c r="AS25" s="331"/>
      <c r="AT25" s="331"/>
      <c r="AU25" s="331"/>
      <c r="AV25" s="331"/>
      <c r="AW25" s="331"/>
      <c r="AX25" s="331"/>
      <c r="AY25" s="9"/>
    </row>
    <row r="26" spans="2:51" ht="11.45" customHeight="1" x14ac:dyDescent="0.2">
      <c r="B26" s="7"/>
      <c r="C26" s="362"/>
      <c r="D26" s="362"/>
      <c r="E26" s="362"/>
      <c r="F26" s="362"/>
      <c r="G26" s="362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3"/>
      <c r="AC26" s="333"/>
      <c r="AD26" s="333"/>
      <c r="AE26" s="333"/>
      <c r="AF26" s="333"/>
      <c r="AG26" s="333"/>
      <c r="AH26" s="333"/>
      <c r="AI26" s="333"/>
      <c r="AJ26" s="347"/>
      <c r="AK26" s="348"/>
      <c r="AL26" s="348"/>
      <c r="AM26" s="348"/>
      <c r="AN26" s="348"/>
      <c r="AO26" s="349"/>
      <c r="AP26" s="352"/>
      <c r="AQ26" s="352"/>
      <c r="AR26" s="352"/>
      <c r="AS26" s="352"/>
      <c r="AT26" s="352"/>
      <c r="AU26" s="352"/>
      <c r="AV26" s="352"/>
      <c r="AW26" s="352"/>
      <c r="AX26" s="352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55"/>
      <c r="D28" s="56"/>
      <c r="E28" s="56"/>
      <c r="F28" s="56"/>
      <c r="G28" s="56"/>
      <c r="H28" s="57"/>
      <c r="I28" s="58"/>
      <c r="J28" s="58"/>
      <c r="K28" s="58"/>
      <c r="L28" s="58"/>
      <c r="M28" s="58"/>
      <c r="N28" s="48"/>
      <c r="O28" s="57"/>
      <c r="P28" s="58"/>
      <c r="Q28" s="58"/>
      <c r="R28" s="58"/>
      <c r="S28" s="58"/>
      <c r="T28" s="58"/>
      <c r="U28" s="48"/>
      <c r="V28" s="57"/>
      <c r="W28" s="58"/>
      <c r="X28" s="58"/>
      <c r="Y28" s="58"/>
      <c r="Z28" s="58"/>
      <c r="AA28" s="58"/>
      <c r="AB28" s="48"/>
      <c r="AC28" s="57"/>
      <c r="AD28" s="58"/>
      <c r="AE28" s="58"/>
      <c r="AF28" s="58"/>
      <c r="AG28" s="58"/>
      <c r="AH28" s="58"/>
      <c r="AI28" s="48"/>
      <c r="AJ28" s="59"/>
      <c r="AK28" s="60"/>
      <c r="AL28" s="60"/>
      <c r="AM28" s="60"/>
      <c r="AN28" s="60"/>
      <c r="AO28" s="61"/>
      <c r="AP28" s="62"/>
      <c r="AQ28" s="63"/>
      <c r="AR28" s="63"/>
      <c r="AS28" s="63"/>
      <c r="AT28" s="63"/>
      <c r="AU28" s="63"/>
      <c r="AV28" s="63"/>
      <c r="AW28" s="63"/>
      <c r="AX28" s="63"/>
      <c r="AY28" s="9"/>
    </row>
    <row r="29" spans="2:51" ht="11.45" customHeight="1" x14ac:dyDescent="0.2">
      <c r="B29" s="7"/>
      <c r="C29" s="56"/>
      <c r="D29" s="56"/>
      <c r="E29" s="56"/>
      <c r="F29" s="56"/>
      <c r="G29" s="56"/>
      <c r="H29" s="64"/>
      <c r="I29" s="58"/>
      <c r="J29" s="58"/>
      <c r="K29" s="58"/>
      <c r="L29" s="58"/>
      <c r="M29" s="58"/>
      <c r="N29" s="48"/>
      <c r="O29" s="64"/>
      <c r="P29" s="58"/>
      <c r="Q29" s="58"/>
      <c r="R29" s="58"/>
      <c r="S29" s="58"/>
      <c r="T29" s="58"/>
      <c r="U29" s="48"/>
      <c r="V29" s="64"/>
      <c r="W29" s="58"/>
      <c r="X29" s="58"/>
      <c r="Y29" s="58"/>
      <c r="Z29" s="58"/>
      <c r="AA29" s="58"/>
      <c r="AB29" s="48"/>
      <c r="AC29" s="64"/>
      <c r="AD29" s="58"/>
      <c r="AE29" s="58"/>
      <c r="AF29" s="58"/>
      <c r="AG29" s="58"/>
      <c r="AH29" s="58"/>
      <c r="AI29" s="48"/>
      <c r="AJ29" s="65"/>
      <c r="AK29" s="66"/>
      <c r="AL29" s="66"/>
      <c r="AM29" s="66"/>
      <c r="AN29" s="66"/>
      <c r="AO29" s="67"/>
      <c r="AP29" s="63"/>
      <c r="AQ29" s="63"/>
      <c r="AR29" s="63"/>
      <c r="AS29" s="63"/>
      <c r="AT29" s="63"/>
      <c r="AU29" s="63"/>
      <c r="AV29" s="63"/>
      <c r="AW29" s="63"/>
      <c r="AX29" s="63"/>
      <c r="AY29" s="9"/>
    </row>
    <row r="30" spans="2:51" ht="11.45" customHeight="1" x14ac:dyDescent="0.2">
      <c r="B30" s="7"/>
      <c r="C30" s="56"/>
      <c r="D30" s="56"/>
      <c r="E30" s="56"/>
      <c r="F30" s="56"/>
      <c r="G30" s="56"/>
      <c r="H30" s="64"/>
      <c r="I30" s="58"/>
      <c r="J30" s="58"/>
      <c r="K30" s="58"/>
      <c r="L30" s="58"/>
      <c r="M30" s="58"/>
      <c r="N30" s="48"/>
      <c r="O30" s="64"/>
      <c r="P30" s="58"/>
      <c r="Q30" s="58"/>
      <c r="R30" s="58"/>
      <c r="S30" s="58"/>
      <c r="T30" s="58"/>
      <c r="U30" s="48"/>
      <c r="V30" s="64"/>
      <c r="W30" s="58"/>
      <c r="X30" s="58"/>
      <c r="Y30" s="58"/>
      <c r="Z30" s="58"/>
      <c r="AA30" s="58"/>
      <c r="AB30" s="48"/>
      <c r="AC30" s="64"/>
      <c r="AD30" s="58"/>
      <c r="AE30" s="58"/>
      <c r="AF30" s="58"/>
      <c r="AG30" s="58"/>
      <c r="AH30" s="58"/>
      <c r="AI30" s="48"/>
      <c r="AJ30" s="65"/>
      <c r="AK30" s="66"/>
      <c r="AL30" s="66"/>
      <c r="AM30" s="66"/>
      <c r="AN30" s="66"/>
      <c r="AO30" s="67"/>
      <c r="AP30" s="63"/>
      <c r="AQ30" s="63"/>
      <c r="AR30" s="63"/>
      <c r="AS30" s="63"/>
      <c r="AT30" s="63"/>
      <c r="AU30" s="63"/>
      <c r="AV30" s="63"/>
      <c r="AW30" s="63"/>
      <c r="AX30" s="63"/>
      <c r="AY30" s="9"/>
    </row>
    <row r="31" spans="2:51" ht="11.45" customHeight="1" x14ac:dyDescent="0.2">
      <c r="B31" s="7"/>
      <c r="C31" s="56"/>
      <c r="D31" s="56"/>
      <c r="E31" s="56"/>
      <c r="F31" s="56"/>
      <c r="G31" s="56"/>
      <c r="H31" s="64"/>
      <c r="I31" s="58"/>
      <c r="J31" s="58"/>
      <c r="K31" s="58"/>
      <c r="L31" s="58"/>
      <c r="M31" s="58"/>
      <c r="N31" s="48"/>
      <c r="O31" s="64"/>
      <c r="P31" s="58"/>
      <c r="Q31" s="58"/>
      <c r="R31" s="58"/>
      <c r="S31" s="58"/>
      <c r="T31" s="58"/>
      <c r="U31" s="48"/>
      <c r="V31" s="64"/>
      <c r="W31" s="58"/>
      <c r="X31" s="58"/>
      <c r="Y31" s="58"/>
      <c r="Z31" s="58"/>
      <c r="AA31" s="58"/>
      <c r="AB31" s="48"/>
      <c r="AC31" s="64"/>
      <c r="AD31" s="58"/>
      <c r="AE31" s="58"/>
      <c r="AF31" s="58"/>
      <c r="AG31" s="58"/>
      <c r="AH31" s="58"/>
      <c r="AI31" s="48"/>
      <c r="AJ31" s="65"/>
      <c r="AK31" s="66"/>
      <c r="AL31" s="66"/>
      <c r="AM31" s="66"/>
      <c r="AN31" s="66"/>
      <c r="AO31" s="67"/>
      <c r="AP31" s="63"/>
      <c r="AQ31" s="63"/>
      <c r="AR31" s="63"/>
      <c r="AS31" s="63"/>
      <c r="AT31" s="63"/>
      <c r="AU31" s="63"/>
      <c r="AV31" s="63"/>
      <c r="AW31" s="63"/>
      <c r="AX31" s="63"/>
      <c r="AY31" s="9"/>
    </row>
    <row r="32" spans="2:51" ht="11.45" customHeight="1" x14ac:dyDescent="0.2">
      <c r="B32" s="7"/>
      <c r="C32" s="56"/>
      <c r="D32" s="56"/>
      <c r="E32" s="56"/>
      <c r="F32" s="56"/>
      <c r="G32" s="56"/>
      <c r="H32" s="64"/>
      <c r="I32" s="58"/>
      <c r="J32" s="58"/>
      <c r="K32" s="58"/>
      <c r="L32" s="58"/>
      <c r="M32" s="58"/>
      <c r="N32" s="48"/>
      <c r="O32" s="64"/>
      <c r="P32" s="58"/>
      <c r="Q32" s="58"/>
      <c r="R32" s="58"/>
      <c r="S32" s="58"/>
      <c r="T32" s="58"/>
      <c r="U32" s="48"/>
      <c r="V32" s="64"/>
      <c r="W32" s="58"/>
      <c r="X32" s="58"/>
      <c r="Y32" s="58"/>
      <c r="Z32" s="58"/>
      <c r="AA32" s="58"/>
      <c r="AB32" s="48"/>
      <c r="AC32" s="64"/>
      <c r="AD32" s="58"/>
      <c r="AE32" s="58"/>
      <c r="AF32" s="58"/>
      <c r="AG32" s="58"/>
      <c r="AH32" s="58"/>
      <c r="AI32" s="48"/>
      <c r="AJ32" s="65"/>
      <c r="AK32" s="66"/>
      <c r="AL32" s="66"/>
      <c r="AM32" s="66"/>
      <c r="AN32" s="66"/>
      <c r="AO32" s="67"/>
      <c r="AP32" s="63"/>
      <c r="AQ32" s="63"/>
      <c r="AR32" s="63"/>
      <c r="AS32" s="63"/>
      <c r="AT32" s="63"/>
      <c r="AU32" s="63"/>
      <c r="AV32" s="63"/>
      <c r="AW32" s="63"/>
      <c r="AX32" s="63"/>
      <c r="AY32" s="9"/>
    </row>
    <row r="33" spans="2:51" ht="11.45" customHeight="1" x14ac:dyDescent="0.2">
      <c r="B33" s="7"/>
      <c r="C33" s="56"/>
      <c r="D33" s="56"/>
      <c r="E33" s="56"/>
      <c r="F33" s="56"/>
      <c r="G33" s="56"/>
      <c r="H33" s="64"/>
      <c r="I33" s="58"/>
      <c r="J33" s="58"/>
      <c r="K33" s="58"/>
      <c r="L33" s="58"/>
      <c r="M33" s="58"/>
      <c r="N33" s="48"/>
      <c r="O33" s="64"/>
      <c r="P33" s="58"/>
      <c r="Q33" s="58"/>
      <c r="R33" s="58"/>
      <c r="S33" s="58"/>
      <c r="T33" s="58"/>
      <c r="U33" s="48"/>
      <c r="V33" s="64"/>
      <c r="W33" s="58"/>
      <c r="X33" s="58"/>
      <c r="Y33" s="58"/>
      <c r="Z33" s="58"/>
      <c r="AA33" s="58"/>
      <c r="AB33" s="48"/>
      <c r="AC33" s="64"/>
      <c r="AD33" s="58"/>
      <c r="AE33" s="58"/>
      <c r="AF33" s="58"/>
      <c r="AG33" s="58"/>
      <c r="AH33" s="58"/>
      <c r="AI33" s="48"/>
      <c r="AJ33" s="65"/>
      <c r="AK33" s="66"/>
      <c r="AL33" s="66"/>
      <c r="AM33" s="66"/>
      <c r="AN33" s="66"/>
      <c r="AO33" s="67"/>
      <c r="AP33" s="63"/>
      <c r="AQ33" s="63"/>
      <c r="AR33" s="63"/>
      <c r="AS33" s="63"/>
      <c r="AT33" s="63"/>
      <c r="AU33" s="63"/>
      <c r="AV33" s="63"/>
      <c r="AW33" s="63"/>
      <c r="AX33" s="63"/>
      <c r="AY33" s="9"/>
    </row>
    <row r="34" spans="2:51" ht="11.45" customHeight="1" x14ac:dyDescent="0.2">
      <c r="B34" s="7"/>
      <c r="C34" s="56"/>
      <c r="D34" s="56"/>
      <c r="E34" s="56"/>
      <c r="F34" s="56"/>
      <c r="G34" s="56"/>
      <c r="H34" s="64"/>
      <c r="I34" s="58"/>
      <c r="J34" s="58"/>
      <c r="K34" s="58"/>
      <c r="L34" s="58"/>
      <c r="M34" s="58"/>
      <c r="N34" s="48"/>
      <c r="O34" s="64"/>
      <c r="P34" s="58"/>
      <c r="Q34" s="58"/>
      <c r="R34" s="58"/>
      <c r="S34" s="58"/>
      <c r="T34" s="58"/>
      <c r="U34" s="48"/>
      <c r="V34" s="64"/>
      <c r="W34" s="58"/>
      <c r="X34" s="58"/>
      <c r="Y34" s="58"/>
      <c r="Z34" s="58"/>
      <c r="AA34" s="58"/>
      <c r="AB34" s="48"/>
      <c r="AC34" s="64"/>
      <c r="AD34" s="58"/>
      <c r="AE34" s="58"/>
      <c r="AF34" s="58"/>
      <c r="AG34" s="58"/>
      <c r="AH34" s="58"/>
      <c r="AI34" s="48"/>
      <c r="AJ34" s="65"/>
      <c r="AK34" s="66"/>
      <c r="AL34" s="66"/>
      <c r="AM34" s="66"/>
      <c r="AN34" s="66"/>
      <c r="AO34" s="67"/>
      <c r="AP34" s="63"/>
      <c r="AQ34" s="63"/>
      <c r="AR34" s="63"/>
      <c r="AS34" s="63"/>
      <c r="AT34" s="63"/>
      <c r="AU34" s="63"/>
      <c r="AV34" s="63"/>
      <c r="AW34" s="63"/>
      <c r="AX34" s="63"/>
      <c r="AY34" s="9"/>
    </row>
    <row r="35" spans="2:51" ht="25.5" customHeight="1" x14ac:dyDescent="0.2">
      <c r="B35" s="7"/>
      <c r="C35" s="56"/>
      <c r="D35" s="56"/>
      <c r="E35" s="56"/>
      <c r="F35" s="56"/>
      <c r="G35" s="56"/>
      <c r="H35" s="64"/>
      <c r="I35" s="58"/>
      <c r="J35" s="58"/>
      <c r="K35" s="58"/>
      <c r="L35" s="58"/>
      <c r="M35" s="58"/>
      <c r="N35" s="48"/>
      <c r="O35" s="64"/>
      <c r="P35" s="58"/>
      <c r="Q35" s="58"/>
      <c r="R35" s="58"/>
      <c r="S35" s="58"/>
      <c r="T35" s="58"/>
      <c r="U35" s="48"/>
      <c r="V35" s="64"/>
      <c r="W35" s="58"/>
      <c r="X35" s="58"/>
      <c r="Y35" s="58"/>
      <c r="Z35" s="58"/>
      <c r="AA35" s="58"/>
      <c r="AB35" s="48"/>
      <c r="AC35" s="64"/>
      <c r="AD35" s="58"/>
      <c r="AE35" s="58"/>
      <c r="AF35" s="58"/>
      <c r="AG35" s="58"/>
      <c r="AH35" s="58"/>
      <c r="AI35" s="48"/>
      <c r="AJ35" s="65"/>
      <c r="AK35" s="66"/>
      <c r="AL35" s="66"/>
      <c r="AM35" s="66"/>
      <c r="AN35" s="66"/>
      <c r="AO35" s="67"/>
      <c r="AP35" s="63"/>
      <c r="AQ35" s="63"/>
      <c r="AR35" s="63"/>
      <c r="AS35" s="63"/>
      <c r="AT35" s="63"/>
      <c r="AU35" s="63"/>
      <c r="AV35" s="63"/>
      <c r="AW35" s="63"/>
      <c r="AX35" s="63"/>
      <c r="AY35" s="9"/>
    </row>
    <row r="36" spans="2:51" ht="6.95" customHeight="1" x14ac:dyDescent="0.2">
      <c r="B36" s="7"/>
      <c r="C36" s="56"/>
      <c r="D36" s="56"/>
      <c r="E36" s="56"/>
      <c r="F36" s="56"/>
      <c r="G36" s="56"/>
      <c r="H36" s="68"/>
      <c r="I36" s="69"/>
      <c r="J36" s="69"/>
      <c r="K36" s="69"/>
      <c r="L36" s="69"/>
      <c r="M36" s="69"/>
      <c r="N36" s="49"/>
      <c r="O36" s="68"/>
      <c r="P36" s="69"/>
      <c r="Q36" s="69"/>
      <c r="R36" s="69"/>
      <c r="S36" s="69"/>
      <c r="T36" s="69"/>
      <c r="U36" s="49"/>
      <c r="V36" s="68"/>
      <c r="W36" s="69"/>
      <c r="X36" s="69"/>
      <c r="Y36" s="69"/>
      <c r="Z36" s="69"/>
      <c r="AA36" s="69"/>
      <c r="AB36" s="49"/>
      <c r="AC36" s="68"/>
      <c r="AD36" s="69"/>
      <c r="AE36" s="69"/>
      <c r="AF36" s="69"/>
      <c r="AG36" s="69"/>
      <c r="AH36" s="69"/>
      <c r="AI36" s="49"/>
      <c r="AJ36" s="65"/>
      <c r="AK36" s="66"/>
      <c r="AL36" s="66"/>
      <c r="AM36" s="66"/>
      <c r="AN36" s="66"/>
      <c r="AO36" s="67"/>
      <c r="AP36" s="63"/>
      <c r="AQ36" s="63"/>
      <c r="AR36" s="63"/>
      <c r="AS36" s="63"/>
      <c r="AT36" s="63"/>
      <c r="AU36" s="63"/>
      <c r="AV36" s="63"/>
      <c r="AW36" s="63"/>
      <c r="AX36" s="63"/>
      <c r="AY36" s="9"/>
    </row>
    <row r="37" spans="2:51" ht="6.95" customHeight="1" x14ac:dyDescent="0.2">
      <c r="B37" s="7"/>
      <c r="C37" s="56"/>
      <c r="D37" s="56"/>
      <c r="E37" s="56"/>
      <c r="F37" s="56"/>
      <c r="G37" s="56"/>
      <c r="H37" s="70"/>
      <c r="I37" s="69"/>
      <c r="J37" s="69"/>
      <c r="K37" s="69"/>
      <c r="L37" s="69"/>
      <c r="M37" s="69"/>
      <c r="N37" s="49"/>
      <c r="O37" s="70"/>
      <c r="P37" s="69"/>
      <c r="Q37" s="69"/>
      <c r="R37" s="69"/>
      <c r="S37" s="69"/>
      <c r="T37" s="69"/>
      <c r="U37" s="49"/>
      <c r="V37" s="70"/>
      <c r="W37" s="69"/>
      <c r="X37" s="69"/>
      <c r="Y37" s="69"/>
      <c r="Z37" s="69"/>
      <c r="AA37" s="69"/>
      <c r="AB37" s="49"/>
      <c r="AC37" s="70"/>
      <c r="AD37" s="69"/>
      <c r="AE37" s="69"/>
      <c r="AF37" s="69"/>
      <c r="AG37" s="69"/>
      <c r="AH37" s="69"/>
      <c r="AI37" s="49"/>
      <c r="AJ37" s="65"/>
      <c r="AK37" s="66"/>
      <c r="AL37" s="66"/>
      <c r="AM37" s="66"/>
      <c r="AN37" s="66"/>
      <c r="AO37" s="67"/>
      <c r="AP37" s="63"/>
      <c r="AQ37" s="63"/>
      <c r="AR37" s="63"/>
      <c r="AS37" s="63"/>
      <c r="AT37" s="63"/>
      <c r="AU37" s="63"/>
      <c r="AV37" s="63"/>
      <c r="AW37" s="63"/>
      <c r="AX37" s="63"/>
      <c r="AY37" s="9"/>
    </row>
    <row r="38" spans="2:51" ht="11.45" customHeight="1" x14ac:dyDescent="0.2">
      <c r="B38" s="7"/>
      <c r="C38" s="71"/>
      <c r="D38" s="71"/>
      <c r="E38" s="71"/>
      <c r="F38" s="71"/>
      <c r="G38" s="71"/>
      <c r="H38" s="72"/>
      <c r="I38" s="73"/>
      <c r="J38" s="73"/>
      <c r="K38" s="73"/>
      <c r="L38" s="73"/>
      <c r="M38" s="73"/>
      <c r="N38" s="73"/>
      <c r="O38" s="72"/>
      <c r="P38" s="73"/>
      <c r="Q38" s="73"/>
      <c r="R38" s="73"/>
      <c r="S38" s="73"/>
      <c r="T38" s="73"/>
      <c r="U38" s="73"/>
      <c r="V38" s="72"/>
      <c r="W38" s="73"/>
      <c r="X38" s="73"/>
      <c r="Y38" s="73"/>
      <c r="Z38" s="73"/>
      <c r="AA38" s="73"/>
      <c r="AB38" s="73"/>
      <c r="AC38" s="72"/>
      <c r="AD38" s="73"/>
      <c r="AE38" s="73"/>
      <c r="AF38" s="73"/>
      <c r="AG38" s="73"/>
      <c r="AH38" s="73"/>
      <c r="AI38" s="73"/>
      <c r="AJ38" s="74"/>
      <c r="AK38" s="75"/>
      <c r="AL38" s="75"/>
      <c r="AM38" s="75"/>
      <c r="AN38" s="75"/>
      <c r="AO38" s="76"/>
      <c r="AP38" s="72"/>
      <c r="AQ38" s="72"/>
      <c r="AR38" s="72"/>
      <c r="AS38" s="72"/>
      <c r="AT38" s="72"/>
      <c r="AU38" s="72"/>
      <c r="AV38" s="72"/>
      <c r="AW38" s="72"/>
      <c r="AX38" s="72"/>
      <c r="AY38" s="9"/>
    </row>
    <row r="39" spans="2:51" ht="11.45" customHeight="1" x14ac:dyDescent="0.2">
      <c r="B39" s="7"/>
      <c r="C39" s="77"/>
      <c r="D39" s="77"/>
      <c r="E39" s="77"/>
      <c r="F39" s="77"/>
      <c r="G39" s="77"/>
      <c r="H39" s="78"/>
      <c r="I39" s="79"/>
      <c r="J39" s="79"/>
      <c r="K39" s="79"/>
      <c r="L39" s="79"/>
      <c r="M39" s="79"/>
      <c r="N39" s="79"/>
      <c r="O39" s="78"/>
      <c r="P39" s="79"/>
      <c r="Q39" s="79"/>
      <c r="R39" s="79"/>
      <c r="S39" s="79"/>
      <c r="T39" s="79"/>
      <c r="U39" s="79"/>
      <c r="V39" s="78"/>
      <c r="W39" s="79"/>
      <c r="X39" s="79"/>
      <c r="Y39" s="79"/>
      <c r="Z39" s="79"/>
      <c r="AA39" s="79"/>
      <c r="AB39" s="79"/>
      <c r="AC39" s="78"/>
      <c r="AD39" s="79"/>
      <c r="AE39" s="79"/>
      <c r="AF39" s="79"/>
      <c r="AG39" s="79"/>
      <c r="AH39" s="79"/>
      <c r="AI39" s="79"/>
      <c r="AJ39" s="74"/>
      <c r="AK39" s="75"/>
      <c r="AL39" s="75"/>
      <c r="AM39" s="75"/>
      <c r="AN39" s="75"/>
      <c r="AO39" s="76"/>
      <c r="AP39" s="78"/>
      <c r="AQ39" s="78"/>
      <c r="AR39" s="78"/>
      <c r="AS39" s="78"/>
      <c r="AT39" s="78"/>
      <c r="AU39" s="78"/>
      <c r="AV39" s="78"/>
      <c r="AW39" s="78"/>
      <c r="AX39" s="78"/>
      <c r="AY39" s="9"/>
    </row>
    <row r="40" spans="2:51" ht="11.45" customHeight="1" x14ac:dyDescent="0.2">
      <c r="B40" s="7"/>
      <c r="C40" s="77"/>
      <c r="D40" s="77"/>
      <c r="E40" s="77"/>
      <c r="F40" s="77"/>
      <c r="G40" s="77"/>
      <c r="H40" s="78"/>
      <c r="I40" s="79"/>
      <c r="J40" s="79"/>
      <c r="K40" s="79"/>
      <c r="L40" s="79"/>
      <c r="M40" s="79"/>
      <c r="N40" s="79"/>
      <c r="O40" s="78"/>
      <c r="P40" s="79"/>
      <c r="Q40" s="79"/>
      <c r="R40" s="79"/>
      <c r="S40" s="79"/>
      <c r="T40" s="79"/>
      <c r="U40" s="79"/>
      <c r="V40" s="78"/>
      <c r="W40" s="79"/>
      <c r="X40" s="79"/>
      <c r="Y40" s="79"/>
      <c r="Z40" s="79"/>
      <c r="AA40" s="79"/>
      <c r="AB40" s="79"/>
      <c r="AC40" s="78"/>
      <c r="AD40" s="79"/>
      <c r="AE40" s="79"/>
      <c r="AF40" s="79"/>
      <c r="AG40" s="79"/>
      <c r="AH40" s="79"/>
      <c r="AI40" s="79"/>
      <c r="AJ40" s="74"/>
      <c r="AK40" s="75"/>
      <c r="AL40" s="75"/>
      <c r="AM40" s="75"/>
      <c r="AN40" s="75"/>
      <c r="AO40" s="76"/>
      <c r="AP40" s="78"/>
      <c r="AQ40" s="78"/>
      <c r="AR40" s="78"/>
      <c r="AS40" s="78"/>
      <c r="AT40" s="78"/>
      <c r="AU40" s="78"/>
      <c r="AV40" s="78"/>
      <c r="AW40" s="78"/>
      <c r="AX40" s="78"/>
      <c r="AY40" s="9"/>
    </row>
    <row r="41" spans="2:51" ht="11.45" customHeight="1" x14ac:dyDescent="0.2">
      <c r="B41" s="7"/>
      <c r="C41" s="80"/>
      <c r="D41" s="80"/>
      <c r="E41" s="80"/>
      <c r="F41" s="80"/>
      <c r="G41" s="80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2"/>
      <c r="AK41" s="83"/>
      <c r="AL41" s="83"/>
      <c r="AM41" s="83"/>
      <c r="AN41" s="83"/>
      <c r="AO41" s="84"/>
      <c r="AP41" s="85"/>
      <c r="AQ41" s="85"/>
      <c r="AR41" s="85"/>
      <c r="AS41" s="85"/>
      <c r="AT41" s="85"/>
      <c r="AU41" s="85"/>
      <c r="AV41" s="85"/>
      <c r="AW41" s="85"/>
      <c r="AX41" s="85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0.5" customHeight="1" x14ac:dyDescent="0.2">
      <c r="B43" s="7"/>
      <c r="C43" s="8"/>
      <c r="D43" s="358" t="str">
        <f>REPT(CHAR(73),42*(COUNTIF(H21:AI22,"*")))</f>
        <v/>
      </c>
      <c r="E43" s="359"/>
      <c r="F43" s="359"/>
      <c r="G43" s="359"/>
      <c r="H43" s="359"/>
      <c r="I43" s="359"/>
      <c r="J43" s="359"/>
      <c r="K43" s="359"/>
      <c r="L43" s="359"/>
      <c r="M43" s="359"/>
      <c r="N43" s="359"/>
      <c r="O43" s="359"/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59"/>
      <c r="AC43" s="359"/>
      <c r="AD43" s="155" t="str">
        <f>IF(COUNTIF(H21:AI22,"*")=4,"a","")</f>
        <v/>
      </c>
      <c r="AE43" s="155"/>
      <c r="AF43" s="8"/>
      <c r="AG43" s="370"/>
      <c r="AH43" s="371"/>
      <c r="AI43" s="372"/>
      <c r="AJ43" s="372"/>
      <c r="AK43" s="373"/>
      <c r="AL43" s="8"/>
      <c r="AM43" s="363" t="str">
        <f>"PEAI"</f>
        <v>PEAI</v>
      </c>
      <c r="AN43" s="364"/>
      <c r="AO43" s="365"/>
      <c r="AP43" s="365"/>
      <c r="AQ43" s="366"/>
      <c r="AR43" s="8"/>
      <c r="AS43" s="370"/>
      <c r="AT43" s="371"/>
      <c r="AU43" s="372"/>
      <c r="AV43" s="372"/>
      <c r="AW43" s="373"/>
      <c r="AX43" s="8"/>
      <c r="AY43" s="9"/>
    </row>
    <row r="44" spans="2:51" ht="10.5" customHeight="1" x14ac:dyDescent="0.2">
      <c r="B44" s="7"/>
      <c r="C44" s="8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59"/>
      <c r="AC44" s="359"/>
      <c r="AD44" s="353"/>
      <c r="AE44" s="353"/>
      <c r="AF44" s="8"/>
      <c r="AG44" s="374"/>
      <c r="AH44" s="375"/>
      <c r="AI44" s="375"/>
      <c r="AJ44" s="375"/>
      <c r="AK44" s="376"/>
      <c r="AL44" s="8"/>
      <c r="AM44" s="367"/>
      <c r="AN44" s="368"/>
      <c r="AO44" s="368"/>
      <c r="AP44" s="368"/>
      <c r="AQ44" s="369"/>
      <c r="AR44" s="8"/>
      <c r="AS44" s="374"/>
      <c r="AT44" s="375"/>
      <c r="AU44" s="375"/>
      <c r="AV44" s="375"/>
      <c r="AW44" s="376"/>
      <c r="AX44" s="8"/>
      <c r="AY44" s="9"/>
    </row>
    <row r="45" spans="2:51" ht="3.95" customHeight="1" x14ac:dyDescent="0.2">
      <c r="B45" s="7"/>
      <c r="C45" s="8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39" t="s">
        <v>4176</v>
      </c>
      <c r="D46" s="139"/>
      <c r="E46" s="139" t="s">
        <v>4177</v>
      </c>
      <c r="F46" s="139"/>
      <c r="G46" s="139" t="s">
        <v>4126</v>
      </c>
      <c r="H46" s="139"/>
      <c r="I46" s="139" t="s">
        <v>4178</v>
      </c>
      <c r="J46" s="139"/>
      <c r="K46" s="139" t="s">
        <v>4179</v>
      </c>
      <c r="L46" s="139"/>
      <c r="M46" s="139" t="s">
        <v>4180</v>
      </c>
      <c r="N46" s="139"/>
      <c r="O46" s="139" t="s">
        <v>4181</v>
      </c>
      <c r="P46" s="139"/>
      <c r="Q46" s="139" t="s">
        <v>4182</v>
      </c>
      <c r="R46" s="139"/>
      <c r="S46" s="139" t="s">
        <v>4183</v>
      </c>
      <c r="T46" s="139"/>
      <c r="U46" s="139" t="s">
        <v>4184</v>
      </c>
      <c r="V46" s="139"/>
      <c r="W46" s="139" t="s">
        <v>4185</v>
      </c>
      <c r="X46" s="139"/>
      <c r="Y46" s="139" t="s">
        <v>4186</v>
      </c>
      <c r="Z46" s="139"/>
      <c r="AA46" s="139" t="s">
        <v>1780</v>
      </c>
      <c r="AB46" s="139"/>
      <c r="AC46" s="139" t="s">
        <v>4187</v>
      </c>
      <c r="AD46" s="139"/>
      <c r="AE46" s="139" t="s">
        <v>1781</v>
      </c>
      <c r="AF46" s="139"/>
      <c r="AG46" s="139" t="s">
        <v>4188</v>
      </c>
      <c r="AH46" s="139"/>
      <c r="AI46" s="139" t="s">
        <v>4189</v>
      </c>
      <c r="AJ46" s="139"/>
      <c r="AK46" s="139" t="s">
        <v>4190</v>
      </c>
      <c r="AL46" s="139"/>
      <c r="AM46" s="139" t="s">
        <v>4191</v>
      </c>
      <c r="AN46" s="139"/>
      <c r="AO46" s="139" t="s">
        <v>4192</v>
      </c>
      <c r="AP46" s="139"/>
      <c r="AQ46" s="139" t="s">
        <v>4176</v>
      </c>
      <c r="AR46" s="139"/>
      <c r="AS46" s="139" t="s">
        <v>4177</v>
      </c>
      <c r="AT46" s="139"/>
      <c r="AU46" s="139" t="s">
        <v>4126</v>
      </c>
      <c r="AV46" s="139"/>
      <c r="AW46" s="139" t="s">
        <v>4178</v>
      </c>
      <c r="AX46" s="139"/>
      <c r="AY46" s="9"/>
    </row>
    <row r="47" spans="2:51" ht="12" customHeight="1" x14ac:dyDescent="0.2">
      <c r="B47" s="7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  <c r="AJ47" s="139"/>
      <c r="AK47" s="139"/>
      <c r="AL47" s="139"/>
      <c r="AM47" s="139"/>
      <c r="AN47" s="139"/>
      <c r="AO47" s="139"/>
      <c r="AP47" s="139"/>
      <c r="AQ47" s="139"/>
      <c r="AR47" s="139"/>
      <c r="AS47" s="139"/>
      <c r="AT47" s="139"/>
      <c r="AU47" s="139"/>
      <c r="AV47" s="139"/>
      <c r="AW47" s="139"/>
      <c r="AX47" s="139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IF('MOD1'!$AY$49="","",'MOD1'!$AY$49)</f>
        <v>*Equipo de Gestión de la Información - EBR - Ministerio de Educación</v>
      </c>
    </row>
  </sheetData>
  <sheetProtection algorithmName="SHA-512" hashValue="mQdHGNv+EOQyCoXZj1n/Htuyd3mbotIOT0PpPvxSz6Lsqi8DIx+ptvi09BsYWZIj9QDJru7OIh/aPLRTniIFnA==" saltValue="AGhgT4pHTVI89zx0DmIdyA==" spinCount="100000" sheet="1" objects="1" scenarios="1"/>
  <mergeCells count="55"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  <mergeCell ref="C13:G22"/>
    <mergeCell ref="H13:N20"/>
    <mergeCell ref="O13:U20"/>
    <mergeCell ref="V13:AB20"/>
    <mergeCell ref="AC13:AI20"/>
    <mergeCell ref="AP13:AX22"/>
    <mergeCell ref="H21:N22"/>
    <mergeCell ref="O21:U22"/>
    <mergeCell ref="V21:AB22"/>
    <mergeCell ref="AC21:AI22"/>
    <mergeCell ref="AJ13:AO26"/>
    <mergeCell ref="AP23:AX26"/>
    <mergeCell ref="D43:AC44"/>
    <mergeCell ref="AD43:AE44"/>
    <mergeCell ref="AG43:AK44"/>
    <mergeCell ref="AM43:AQ44"/>
    <mergeCell ref="AS43:AW44"/>
    <mergeCell ref="C23:G26"/>
    <mergeCell ref="H23:N26"/>
    <mergeCell ref="O23:U26"/>
    <mergeCell ref="V23:AB26"/>
    <mergeCell ref="AC23:AI26"/>
    <mergeCell ref="Y46:Z47"/>
    <mergeCell ref="C46:D47"/>
    <mergeCell ref="E46:F47"/>
    <mergeCell ref="G46:H47"/>
    <mergeCell ref="I46:J47"/>
    <mergeCell ref="K46:L47"/>
    <mergeCell ref="M46:N47"/>
    <mergeCell ref="O46:P47"/>
    <mergeCell ref="Q46:R47"/>
    <mergeCell ref="S46:T47"/>
    <mergeCell ref="U46:V47"/>
    <mergeCell ref="W46:X47"/>
    <mergeCell ref="AW46:AX47"/>
    <mergeCell ref="AA46:AB47"/>
    <mergeCell ref="AC46:AD47"/>
    <mergeCell ref="AE46:AF47"/>
    <mergeCell ref="AG46:AH47"/>
    <mergeCell ref="AI46:AJ47"/>
    <mergeCell ref="AK46:AL47"/>
    <mergeCell ref="AM46:AN47"/>
    <mergeCell ref="AO46:AP47"/>
    <mergeCell ref="AQ46:AR47"/>
    <mergeCell ref="AS46:AT47"/>
    <mergeCell ref="AU46:AV47"/>
  </mergeCells>
  <conditionalFormatting sqref="AG43:AK44">
    <cfRule type="cellIs" dxfId="35" priority="15" operator="equal">
      <formula>""</formula>
    </cfRule>
  </conditionalFormatting>
  <conditionalFormatting sqref="AS43:AW44">
    <cfRule type="cellIs" dxfId="34" priority="14" operator="equal">
      <formula>""</formula>
    </cfRule>
  </conditionalFormatting>
  <conditionalFormatting sqref="C28:AX41">
    <cfRule type="expression" dxfId="33" priority="13">
      <formula>$C$38=""</formula>
    </cfRule>
  </conditionalFormatting>
  <conditionalFormatting sqref="C23:G26 H21:AI22 AP13:AX26">
    <cfRule type="expression" dxfId="32" priority="12">
      <formula>$C$13=""</formula>
    </cfRule>
  </conditionalFormatting>
  <conditionalFormatting sqref="C13:G22">
    <cfRule type="expression" dxfId="31" priority="8">
      <formula>$C$13=""</formula>
    </cfRule>
  </conditionalFormatting>
  <conditionalFormatting sqref="H13:AI20">
    <cfRule type="expression" dxfId="30" priority="7">
      <formula>$C$13=""</formula>
    </cfRule>
  </conditionalFormatting>
  <conditionalFormatting sqref="H23:AI26">
    <cfRule type="expression" dxfId="29" priority="6">
      <formula>$C$13=""</formula>
    </cfRule>
  </conditionalFormatting>
  <conditionalFormatting sqref="AJ13:AO26">
    <cfRule type="expression" dxfId="28" priority="5">
      <formula>$C$13=""</formula>
    </cfRule>
  </conditionalFormatting>
  <conditionalFormatting sqref="AM43:AQ44">
    <cfRule type="cellIs" dxfId="27" priority="4" operator="equal">
      <formula>"PEAI"</formula>
    </cfRule>
  </conditionalFormatting>
  <conditionalFormatting sqref="C46:AX47">
    <cfRule type="expression" dxfId="26" priority="1">
      <formula>IF(CODE(C46)=38,1,0)</formula>
    </cfRule>
    <cfRule type="expression" dxfId="25" priority="2">
      <formula>IF(CODE(C46)=37,1,0)</formula>
    </cfRule>
    <cfRule type="expression" dxfId="24" priority="3">
      <formula>IF(OR(CODE(C46)=143,CODE(C46)=167,CODE(C46)=168,CODE(C46)=254),1,0)</formula>
    </cfRule>
  </conditionalFormatting>
  <dataValidations count="10">
    <dataValidation allowBlank="1" showInputMessage="1" showErrorMessage="1" promptTitle="Ingrese" prompt="Describir principales aspectos que facilitaron que la IIEE llegara a este logro, así como dificultades." sqref="AP13:AX22"/>
    <dataValidation allowBlank="1" showInputMessage="1" showErrorMessage="1" promptTitle="Información" prompt="Actividad ambiental" sqref="C13:G22"/>
    <dataValidation allowBlank="1" showInputMessage="1" showErrorMessage="1" promptTitle="Información" prompt="Indicador de la actividad" sqref="AJ13:AO26"/>
    <dataValidation allowBlank="1" showInputMessage="1" showErrorMessage="1" promptTitle="Información" prompt="Hitos de aplicación" sqref="H13:AI20"/>
    <dataValidation allowBlank="1" showInputMessage="1" showErrorMessage="1" promptTitle="Información" prompt="Medios de verificación" sqref="AP23:AX26 C23:AI26"/>
    <dataValidation type="list" allowBlank="1" showInputMessage="1" showErrorMessage="1" errorTitle="Mensaje de validación" error="Solo se permite datos de la lista desplegable._x000a__x000a_Intente de nuevo." promptTitle="Seleccionar" prompt="SI o NO" sqref="H21:AI22">
      <formula1>"SI, NO"</formula1>
    </dataValidation>
    <dataValidation allowBlank="1" showInputMessage="1" showErrorMessage="1" promptTitle="Mensaje" prompt="Hitos de aplicación del enfoque ambiental" sqref="H11:AE11 H12:M12 O12:T12 V12:AA12 AC12:AH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Indicador" sqref="AJ11:AO1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7" tint="-0.249977111117893"/>
    <pageSetUpPr fitToPage="1"/>
  </sheetPr>
  <dimension ref="A1:AY49"/>
  <sheetViews>
    <sheetView showGridLines="0" zoomScaleNormal="100" zoomScaleSheetLayoutView="100" workbookViewId="0">
      <selection activeCell="C46" sqref="C46:AX47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15" t="str">
        <f>LISTAS!AI23</f>
        <v/>
      </c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  <c r="W9" s="316"/>
      <c r="X9" s="316"/>
      <c r="Y9" s="316"/>
      <c r="Z9" s="316"/>
      <c r="AA9" s="316"/>
      <c r="AB9" s="316"/>
      <c r="AC9" s="316"/>
      <c r="AD9" s="316"/>
      <c r="AE9" s="316"/>
      <c r="AF9" s="316"/>
      <c r="AG9" s="316"/>
      <c r="AH9" s="316"/>
      <c r="AI9" s="316"/>
      <c r="AJ9" s="316"/>
      <c r="AK9" s="316"/>
      <c r="AL9" s="316"/>
      <c r="AM9" s="316"/>
      <c r="AN9" s="316"/>
      <c r="AO9" s="316"/>
      <c r="AP9" s="316"/>
      <c r="AQ9" s="316"/>
      <c r="AR9" s="316"/>
      <c r="AS9" s="316"/>
      <c r="AT9" s="316"/>
      <c r="AU9" s="316"/>
      <c r="AV9" s="316"/>
      <c r="AW9" s="316"/>
      <c r="AX9" s="316"/>
      <c r="AY9" s="9"/>
    </row>
    <row r="10" spans="1:51" ht="9" customHeight="1" x14ac:dyDescent="0.2">
      <c r="B10" s="7"/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9"/>
    </row>
    <row r="11" spans="1:51" ht="12" customHeight="1" x14ac:dyDescent="0.2">
      <c r="B11" s="7"/>
      <c r="C11" s="319" t="s">
        <v>1793</v>
      </c>
      <c r="D11" s="320"/>
      <c r="E11" s="320"/>
      <c r="F11" s="320"/>
      <c r="G11" s="320"/>
      <c r="H11" s="321" t="s">
        <v>1794</v>
      </c>
      <c r="I11" s="322"/>
      <c r="J11" s="322"/>
      <c r="K11" s="322"/>
      <c r="L11" s="322"/>
      <c r="M11" s="322"/>
      <c r="N11" s="322"/>
      <c r="O11" s="322"/>
      <c r="P11" s="322"/>
      <c r="Q11" s="322"/>
      <c r="R11" s="322"/>
      <c r="S11" s="322"/>
      <c r="T11" s="322"/>
      <c r="U11" s="322"/>
      <c r="V11" s="322"/>
      <c r="W11" s="322"/>
      <c r="X11" s="322"/>
      <c r="Y11" s="322"/>
      <c r="Z11" s="322"/>
      <c r="AA11" s="322"/>
      <c r="AB11" s="322"/>
      <c r="AC11" s="322"/>
      <c r="AD11" s="322"/>
      <c r="AE11" s="322"/>
      <c r="AF11" s="324"/>
      <c r="AG11" s="324"/>
      <c r="AH11" s="324"/>
      <c r="AI11" s="323"/>
      <c r="AJ11" s="319" t="s">
        <v>1800</v>
      </c>
      <c r="AK11" s="320"/>
      <c r="AL11" s="320"/>
      <c r="AM11" s="320"/>
      <c r="AN11" s="320"/>
      <c r="AO11" s="320"/>
      <c r="AP11" s="319" t="s">
        <v>1801</v>
      </c>
      <c r="AQ11" s="320"/>
      <c r="AR11" s="320"/>
      <c r="AS11" s="320"/>
      <c r="AT11" s="320"/>
      <c r="AU11" s="320"/>
      <c r="AV11" s="320"/>
      <c r="AW11" s="320"/>
      <c r="AX11" s="320"/>
      <c r="AY11" s="9"/>
    </row>
    <row r="12" spans="1:51" ht="9.9499999999999993" customHeight="1" x14ac:dyDescent="0.2">
      <c r="B12" s="7"/>
      <c r="C12" s="320"/>
      <c r="D12" s="320"/>
      <c r="E12" s="320"/>
      <c r="F12" s="320"/>
      <c r="G12" s="320"/>
      <c r="H12" s="321" t="s">
        <v>1795</v>
      </c>
      <c r="I12" s="322"/>
      <c r="J12" s="322"/>
      <c r="K12" s="322"/>
      <c r="L12" s="322"/>
      <c r="M12" s="322"/>
      <c r="N12" s="323"/>
      <c r="O12" s="321" t="s">
        <v>1796</v>
      </c>
      <c r="P12" s="322"/>
      <c r="Q12" s="322"/>
      <c r="R12" s="322"/>
      <c r="S12" s="322"/>
      <c r="T12" s="322"/>
      <c r="U12" s="323"/>
      <c r="V12" s="321" t="s">
        <v>1797</v>
      </c>
      <c r="W12" s="322"/>
      <c r="X12" s="322"/>
      <c r="Y12" s="322"/>
      <c r="Z12" s="322"/>
      <c r="AA12" s="322"/>
      <c r="AB12" s="323"/>
      <c r="AC12" s="321" t="s">
        <v>1798</v>
      </c>
      <c r="AD12" s="322"/>
      <c r="AE12" s="322"/>
      <c r="AF12" s="322"/>
      <c r="AG12" s="322"/>
      <c r="AH12" s="322"/>
      <c r="AI12" s="323"/>
      <c r="AJ12" s="320"/>
      <c r="AK12" s="320"/>
      <c r="AL12" s="320"/>
      <c r="AM12" s="320"/>
      <c r="AN12" s="320"/>
      <c r="AO12" s="320"/>
      <c r="AP12" s="320"/>
      <c r="AQ12" s="320"/>
      <c r="AR12" s="320"/>
      <c r="AS12" s="320"/>
      <c r="AT12" s="320"/>
      <c r="AU12" s="320"/>
      <c r="AV12" s="320"/>
      <c r="AW12" s="320"/>
      <c r="AX12" s="320"/>
      <c r="AY12" s="9"/>
    </row>
    <row r="13" spans="1:51" ht="11.45" customHeight="1" x14ac:dyDescent="0.2">
      <c r="B13" s="7"/>
      <c r="C13" s="317" t="str">
        <f>LISTAS!AJ23</f>
        <v>16. LA I.E. implementó un PEAI como recurso pedagógico y para el desarrollo de la conciencia ambiental y sobre la salud.</v>
      </c>
      <c r="D13" s="318"/>
      <c r="E13" s="318"/>
      <c r="F13" s="318"/>
      <c r="G13" s="318"/>
      <c r="H13" s="334" t="str">
        <f>LISTAS!AK23</f>
        <v xml:space="preserve">El PEAI fue incluido en el PAT. </v>
      </c>
      <c r="I13" s="335"/>
      <c r="J13" s="335"/>
      <c r="K13" s="335"/>
      <c r="L13" s="335"/>
      <c r="M13" s="335"/>
      <c r="N13" s="336"/>
      <c r="O13" s="334" t="str">
        <f>LISTAS!AL23</f>
        <v xml:space="preserve">La I.E. implementó el PEAI con actividades pedagógicas articuladas mínimo a tres áreas curriculares. </v>
      </c>
      <c r="P13" s="335"/>
      <c r="Q13" s="335"/>
      <c r="R13" s="335"/>
      <c r="S13" s="335"/>
      <c r="T13" s="335"/>
      <c r="U13" s="336"/>
      <c r="V13" s="334" t="str">
        <f>LISTAS!AM23</f>
        <v>La I.E. implementó actividades institucionales para la ejecución del PEAI a lo largo de todo el año escolar.</v>
      </c>
      <c r="W13" s="335"/>
      <c r="X13" s="335"/>
      <c r="Y13" s="335"/>
      <c r="Z13" s="335"/>
      <c r="AA13" s="335"/>
      <c r="AB13" s="336"/>
      <c r="AC13" s="334" t="str">
        <f>LISTAS!AN23</f>
        <v>El PEAI se implementó con apoyo de instituciones del sector público y/o privado.</v>
      </c>
      <c r="AD13" s="335"/>
      <c r="AE13" s="335"/>
      <c r="AF13" s="335"/>
      <c r="AG13" s="335"/>
      <c r="AH13" s="335"/>
      <c r="AI13" s="336"/>
      <c r="AJ13" s="338" t="str">
        <f>LISTAS!AO23</f>
        <v>N° de hitos de aplicación del enfoque ambiental puestos en práctica en la implementación del PEAI.</v>
      </c>
      <c r="AK13" s="339"/>
      <c r="AL13" s="339"/>
      <c r="AM13" s="339"/>
      <c r="AN13" s="339"/>
      <c r="AO13" s="340"/>
      <c r="AP13" s="350"/>
      <c r="AQ13" s="351"/>
      <c r="AR13" s="351"/>
      <c r="AS13" s="351"/>
      <c r="AT13" s="351"/>
      <c r="AU13" s="351"/>
      <c r="AV13" s="351"/>
      <c r="AW13" s="351"/>
      <c r="AX13" s="351"/>
      <c r="AY13" s="9"/>
    </row>
    <row r="14" spans="1:51" ht="11.45" customHeight="1" x14ac:dyDescent="0.2">
      <c r="B14" s="7"/>
      <c r="C14" s="318"/>
      <c r="D14" s="318"/>
      <c r="E14" s="318"/>
      <c r="F14" s="318"/>
      <c r="G14" s="318"/>
      <c r="H14" s="337"/>
      <c r="I14" s="335"/>
      <c r="J14" s="335"/>
      <c r="K14" s="335"/>
      <c r="L14" s="335"/>
      <c r="M14" s="335"/>
      <c r="N14" s="336"/>
      <c r="O14" s="337"/>
      <c r="P14" s="335"/>
      <c r="Q14" s="335"/>
      <c r="R14" s="335"/>
      <c r="S14" s="335"/>
      <c r="T14" s="335"/>
      <c r="U14" s="336"/>
      <c r="V14" s="337"/>
      <c r="W14" s="335"/>
      <c r="X14" s="335"/>
      <c r="Y14" s="335"/>
      <c r="Z14" s="335"/>
      <c r="AA14" s="335"/>
      <c r="AB14" s="336"/>
      <c r="AC14" s="337"/>
      <c r="AD14" s="335"/>
      <c r="AE14" s="335"/>
      <c r="AF14" s="335"/>
      <c r="AG14" s="335"/>
      <c r="AH14" s="335"/>
      <c r="AI14" s="336"/>
      <c r="AJ14" s="341"/>
      <c r="AK14" s="342"/>
      <c r="AL14" s="342"/>
      <c r="AM14" s="342"/>
      <c r="AN14" s="342"/>
      <c r="AO14" s="343"/>
      <c r="AP14" s="351"/>
      <c r="AQ14" s="351"/>
      <c r="AR14" s="351"/>
      <c r="AS14" s="351"/>
      <c r="AT14" s="351"/>
      <c r="AU14" s="351"/>
      <c r="AV14" s="351"/>
      <c r="AW14" s="351"/>
      <c r="AX14" s="351"/>
      <c r="AY14" s="9"/>
    </row>
    <row r="15" spans="1:51" ht="11.45" customHeight="1" x14ac:dyDescent="0.2">
      <c r="B15" s="7"/>
      <c r="C15" s="318"/>
      <c r="D15" s="318"/>
      <c r="E15" s="318"/>
      <c r="F15" s="318"/>
      <c r="G15" s="318"/>
      <c r="H15" s="337"/>
      <c r="I15" s="335"/>
      <c r="J15" s="335"/>
      <c r="K15" s="335"/>
      <c r="L15" s="335"/>
      <c r="M15" s="335"/>
      <c r="N15" s="336"/>
      <c r="O15" s="337"/>
      <c r="P15" s="335"/>
      <c r="Q15" s="335"/>
      <c r="R15" s="335"/>
      <c r="S15" s="335"/>
      <c r="T15" s="335"/>
      <c r="U15" s="336"/>
      <c r="V15" s="337"/>
      <c r="W15" s="335"/>
      <c r="X15" s="335"/>
      <c r="Y15" s="335"/>
      <c r="Z15" s="335"/>
      <c r="AA15" s="335"/>
      <c r="AB15" s="336"/>
      <c r="AC15" s="337"/>
      <c r="AD15" s="335"/>
      <c r="AE15" s="335"/>
      <c r="AF15" s="335"/>
      <c r="AG15" s="335"/>
      <c r="AH15" s="335"/>
      <c r="AI15" s="336"/>
      <c r="AJ15" s="341"/>
      <c r="AK15" s="342"/>
      <c r="AL15" s="342"/>
      <c r="AM15" s="342"/>
      <c r="AN15" s="342"/>
      <c r="AO15" s="343"/>
      <c r="AP15" s="351"/>
      <c r="AQ15" s="351"/>
      <c r="AR15" s="351"/>
      <c r="AS15" s="351"/>
      <c r="AT15" s="351"/>
      <c r="AU15" s="351"/>
      <c r="AV15" s="351"/>
      <c r="AW15" s="351"/>
      <c r="AX15" s="351"/>
      <c r="AY15" s="9"/>
    </row>
    <row r="16" spans="1:51" ht="11.45" customHeight="1" x14ac:dyDescent="0.2">
      <c r="B16" s="7"/>
      <c r="C16" s="318"/>
      <c r="D16" s="318"/>
      <c r="E16" s="318"/>
      <c r="F16" s="318"/>
      <c r="G16" s="318"/>
      <c r="H16" s="337"/>
      <c r="I16" s="335"/>
      <c r="J16" s="335"/>
      <c r="K16" s="335"/>
      <c r="L16" s="335"/>
      <c r="M16" s="335"/>
      <c r="N16" s="336"/>
      <c r="O16" s="337"/>
      <c r="P16" s="335"/>
      <c r="Q16" s="335"/>
      <c r="R16" s="335"/>
      <c r="S16" s="335"/>
      <c r="T16" s="335"/>
      <c r="U16" s="336"/>
      <c r="V16" s="337"/>
      <c r="W16" s="335"/>
      <c r="X16" s="335"/>
      <c r="Y16" s="335"/>
      <c r="Z16" s="335"/>
      <c r="AA16" s="335"/>
      <c r="AB16" s="336"/>
      <c r="AC16" s="337"/>
      <c r="AD16" s="335"/>
      <c r="AE16" s="335"/>
      <c r="AF16" s="335"/>
      <c r="AG16" s="335"/>
      <c r="AH16" s="335"/>
      <c r="AI16" s="336"/>
      <c r="AJ16" s="341"/>
      <c r="AK16" s="342"/>
      <c r="AL16" s="342"/>
      <c r="AM16" s="342"/>
      <c r="AN16" s="342"/>
      <c r="AO16" s="343"/>
      <c r="AP16" s="351"/>
      <c r="AQ16" s="351"/>
      <c r="AR16" s="351"/>
      <c r="AS16" s="351"/>
      <c r="AT16" s="351"/>
      <c r="AU16" s="351"/>
      <c r="AV16" s="351"/>
      <c r="AW16" s="351"/>
      <c r="AX16" s="351"/>
      <c r="AY16" s="9"/>
    </row>
    <row r="17" spans="2:51" ht="11.45" customHeight="1" x14ac:dyDescent="0.2">
      <c r="B17" s="7"/>
      <c r="C17" s="318"/>
      <c r="D17" s="318"/>
      <c r="E17" s="318"/>
      <c r="F17" s="318"/>
      <c r="G17" s="318"/>
      <c r="H17" s="337"/>
      <c r="I17" s="335"/>
      <c r="J17" s="335"/>
      <c r="K17" s="335"/>
      <c r="L17" s="335"/>
      <c r="M17" s="335"/>
      <c r="N17" s="336"/>
      <c r="O17" s="337"/>
      <c r="P17" s="335"/>
      <c r="Q17" s="335"/>
      <c r="R17" s="335"/>
      <c r="S17" s="335"/>
      <c r="T17" s="335"/>
      <c r="U17" s="336"/>
      <c r="V17" s="337"/>
      <c r="W17" s="335"/>
      <c r="X17" s="335"/>
      <c r="Y17" s="335"/>
      <c r="Z17" s="335"/>
      <c r="AA17" s="335"/>
      <c r="AB17" s="336"/>
      <c r="AC17" s="337"/>
      <c r="AD17" s="335"/>
      <c r="AE17" s="335"/>
      <c r="AF17" s="335"/>
      <c r="AG17" s="335"/>
      <c r="AH17" s="335"/>
      <c r="AI17" s="336"/>
      <c r="AJ17" s="341"/>
      <c r="AK17" s="342"/>
      <c r="AL17" s="342"/>
      <c r="AM17" s="342"/>
      <c r="AN17" s="342"/>
      <c r="AO17" s="343"/>
      <c r="AP17" s="351"/>
      <c r="AQ17" s="351"/>
      <c r="AR17" s="351"/>
      <c r="AS17" s="351"/>
      <c r="AT17" s="351"/>
      <c r="AU17" s="351"/>
      <c r="AV17" s="351"/>
      <c r="AW17" s="351"/>
      <c r="AX17" s="351"/>
      <c r="AY17" s="9"/>
    </row>
    <row r="18" spans="2:51" ht="11.45" customHeight="1" x14ac:dyDescent="0.2">
      <c r="B18" s="7"/>
      <c r="C18" s="318"/>
      <c r="D18" s="318"/>
      <c r="E18" s="318"/>
      <c r="F18" s="318"/>
      <c r="G18" s="318"/>
      <c r="H18" s="337"/>
      <c r="I18" s="335"/>
      <c r="J18" s="335"/>
      <c r="K18" s="335"/>
      <c r="L18" s="335"/>
      <c r="M18" s="335"/>
      <c r="N18" s="336"/>
      <c r="O18" s="337"/>
      <c r="P18" s="335"/>
      <c r="Q18" s="335"/>
      <c r="R18" s="335"/>
      <c r="S18" s="335"/>
      <c r="T18" s="335"/>
      <c r="U18" s="336"/>
      <c r="V18" s="337"/>
      <c r="W18" s="335"/>
      <c r="X18" s="335"/>
      <c r="Y18" s="335"/>
      <c r="Z18" s="335"/>
      <c r="AA18" s="335"/>
      <c r="AB18" s="336"/>
      <c r="AC18" s="337"/>
      <c r="AD18" s="335"/>
      <c r="AE18" s="335"/>
      <c r="AF18" s="335"/>
      <c r="AG18" s="335"/>
      <c r="AH18" s="335"/>
      <c r="AI18" s="336"/>
      <c r="AJ18" s="341"/>
      <c r="AK18" s="342"/>
      <c r="AL18" s="342"/>
      <c r="AM18" s="342"/>
      <c r="AN18" s="342"/>
      <c r="AO18" s="343"/>
      <c r="AP18" s="351"/>
      <c r="AQ18" s="351"/>
      <c r="AR18" s="351"/>
      <c r="AS18" s="351"/>
      <c r="AT18" s="351"/>
      <c r="AU18" s="351"/>
      <c r="AV18" s="351"/>
      <c r="AW18" s="351"/>
      <c r="AX18" s="351"/>
      <c r="AY18" s="9"/>
    </row>
    <row r="19" spans="2:51" ht="11.45" customHeight="1" x14ac:dyDescent="0.2">
      <c r="B19" s="7"/>
      <c r="C19" s="318"/>
      <c r="D19" s="318"/>
      <c r="E19" s="318"/>
      <c r="F19" s="318"/>
      <c r="G19" s="318"/>
      <c r="H19" s="337"/>
      <c r="I19" s="335"/>
      <c r="J19" s="335"/>
      <c r="K19" s="335"/>
      <c r="L19" s="335"/>
      <c r="M19" s="335"/>
      <c r="N19" s="336"/>
      <c r="O19" s="337"/>
      <c r="P19" s="335"/>
      <c r="Q19" s="335"/>
      <c r="R19" s="335"/>
      <c r="S19" s="335"/>
      <c r="T19" s="335"/>
      <c r="U19" s="336"/>
      <c r="V19" s="337"/>
      <c r="W19" s="335"/>
      <c r="X19" s="335"/>
      <c r="Y19" s="335"/>
      <c r="Z19" s="335"/>
      <c r="AA19" s="335"/>
      <c r="AB19" s="336"/>
      <c r="AC19" s="337"/>
      <c r="AD19" s="335"/>
      <c r="AE19" s="335"/>
      <c r="AF19" s="335"/>
      <c r="AG19" s="335"/>
      <c r="AH19" s="335"/>
      <c r="AI19" s="336"/>
      <c r="AJ19" s="341"/>
      <c r="AK19" s="342"/>
      <c r="AL19" s="342"/>
      <c r="AM19" s="342"/>
      <c r="AN19" s="342"/>
      <c r="AO19" s="343"/>
      <c r="AP19" s="351"/>
      <c r="AQ19" s="351"/>
      <c r="AR19" s="351"/>
      <c r="AS19" s="351"/>
      <c r="AT19" s="351"/>
      <c r="AU19" s="351"/>
      <c r="AV19" s="351"/>
      <c r="AW19" s="351"/>
      <c r="AX19" s="351"/>
      <c r="AY19" s="9"/>
    </row>
    <row r="20" spans="2:51" ht="25.5" customHeight="1" x14ac:dyDescent="0.2">
      <c r="B20" s="7"/>
      <c r="C20" s="318"/>
      <c r="D20" s="318"/>
      <c r="E20" s="318"/>
      <c r="F20" s="318"/>
      <c r="G20" s="318"/>
      <c r="H20" s="337"/>
      <c r="I20" s="335"/>
      <c r="J20" s="335"/>
      <c r="K20" s="335"/>
      <c r="L20" s="335"/>
      <c r="M20" s="335"/>
      <c r="N20" s="336"/>
      <c r="O20" s="337"/>
      <c r="P20" s="335"/>
      <c r="Q20" s="335"/>
      <c r="R20" s="335"/>
      <c r="S20" s="335"/>
      <c r="T20" s="335"/>
      <c r="U20" s="336"/>
      <c r="V20" s="337"/>
      <c r="W20" s="335"/>
      <c r="X20" s="335"/>
      <c r="Y20" s="335"/>
      <c r="Z20" s="335"/>
      <c r="AA20" s="335"/>
      <c r="AB20" s="336"/>
      <c r="AC20" s="337"/>
      <c r="AD20" s="335"/>
      <c r="AE20" s="335"/>
      <c r="AF20" s="335"/>
      <c r="AG20" s="335"/>
      <c r="AH20" s="335"/>
      <c r="AI20" s="336"/>
      <c r="AJ20" s="341"/>
      <c r="AK20" s="342"/>
      <c r="AL20" s="342"/>
      <c r="AM20" s="342"/>
      <c r="AN20" s="342"/>
      <c r="AO20" s="343"/>
      <c r="AP20" s="351"/>
      <c r="AQ20" s="351"/>
      <c r="AR20" s="351"/>
      <c r="AS20" s="351"/>
      <c r="AT20" s="351"/>
      <c r="AU20" s="351"/>
      <c r="AV20" s="351"/>
      <c r="AW20" s="351"/>
      <c r="AX20" s="351"/>
      <c r="AY20" s="9"/>
    </row>
    <row r="21" spans="2:51" ht="6.95" customHeight="1" x14ac:dyDescent="0.2">
      <c r="B21" s="7"/>
      <c r="C21" s="318"/>
      <c r="D21" s="318"/>
      <c r="E21" s="318"/>
      <c r="F21" s="318"/>
      <c r="G21" s="318"/>
      <c r="H21" s="325"/>
      <c r="I21" s="326"/>
      <c r="J21" s="326"/>
      <c r="K21" s="326"/>
      <c r="L21" s="326"/>
      <c r="M21" s="326"/>
      <c r="N21" s="327"/>
      <c r="O21" s="325"/>
      <c r="P21" s="326"/>
      <c r="Q21" s="326"/>
      <c r="R21" s="326"/>
      <c r="S21" s="326"/>
      <c r="T21" s="326"/>
      <c r="U21" s="327"/>
      <c r="V21" s="325"/>
      <c r="W21" s="326"/>
      <c r="X21" s="326"/>
      <c r="Y21" s="326"/>
      <c r="Z21" s="326"/>
      <c r="AA21" s="326"/>
      <c r="AB21" s="327"/>
      <c r="AC21" s="325"/>
      <c r="AD21" s="326"/>
      <c r="AE21" s="326"/>
      <c r="AF21" s="326"/>
      <c r="AG21" s="326"/>
      <c r="AH21" s="326"/>
      <c r="AI21" s="327"/>
      <c r="AJ21" s="341"/>
      <c r="AK21" s="342"/>
      <c r="AL21" s="342"/>
      <c r="AM21" s="342"/>
      <c r="AN21" s="342"/>
      <c r="AO21" s="343"/>
      <c r="AP21" s="351"/>
      <c r="AQ21" s="351"/>
      <c r="AR21" s="351"/>
      <c r="AS21" s="351"/>
      <c r="AT21" s="351"/>
      <c r="AU21" s="351"/>
      <c r="AV21" s="351"/>
      <c r="AW21" s="351"/>
      <c r="AX21" s="351"/>
      <c r="AY21" s="9"/>
    </row>
    <row r="22" spans="2:51" ht="6.95" customHeight="1" x14ac:dyDescent="0.2">
      <c r="B22" s="7"/>
      <c r="C22" s="318"/>
      <c r="D22" s="318"/>
      <c r="E22" s="318"/>
      <c r="F22" s="318"/>
      <c r="G22" s="318"/>
      <c r="H22" s="328"/>
      <c r="I22" s="326"/>
      <c r="J22" s="326"/>
      <c r="K22" s="326"/>
      <c r="L22" s="326"/>
      <c r="M22" s="326"/>
      <c r="N22" s="327"/>
      <c r="O22" s="328"/>
      <c r="P22" s="326"/>
      <c r="Q22" s="326"/>
      <c r="R22" s="326"/>
      <c r="S22" s="326"/>
      <c r="T22" s="326"/>
      <c r="U22" s="327"/>
      <c r="V22" s="328"/>
      <c r="W22" s="326"/>
      <c r="X22" s="326"/>
      <c r="Y22" s="326"/>
      <c r="Z22" s="326"/>
      <c r="AA22" s="326"/>
      <c r="AB22" s="327"/>
      <c r="AC22" s="328"/>
      <c r="AD22" s="326"/>
      <c r="AE22" s="326"/>
      <c r="AF22" s="326"/>
      <c r="AG22" s="326"/>
      <c r="AH22" s="326"/>
      <c r="AI22" s="327"/>
      <c r="AJ22" s="341"/>
      <c r="AK22" s="342"/>
      <c r="AL22" s="342"/>
      <c r="AM22" s="342"/>
      <c r="AN22" s="342"/>
      <c r="AO22" s="343"/>
      <c r="AP22" s="351"/>
      <c r="AQ22" s="351"/>
      <c r="AR22" s="351"/>
      <c r="AS22" s="351"/>
      <c r="AT22" s="351"/>
      <c r="AU22" s="351"/>
      <c r="AV22" s="351"/>
      <c r="AW22" s="351"/>
      <c r="AX22" s="351"/>
      <c r="AY22" s="9"/>
    </row>
    <row r="23" spans="2:51" ht="11.45" customHeight="1" x14ac:dyDescent="0.2">
      <c r="B23" s="7"/>
      <c r="C23" s="360" t="s">
        <v>4107</v>
      </c>
      <c r="D23" s="360"/>
      <c r="E23" s="360"/>
      <c r="F23" s="360"/>
      <c r="G23" s="360"/>
      <c r="H23" s="329" t="str">
        <f>LISTAS!AP23</f>
        <v>PAT.</v>
      </c>
      <c r="I23" s="330"/>
      <c r="J23" s="330"/>
      <c r="K23" s="330"/>
      <c r="L23" s="330"/>
      <c r="M23" s="330"/>
      <c r="N23" s="330"/>
      <c r="O23" s="329" t="str">
        <f>LISTAS!AQ23</f>
        <v>Plan de Trabajo del PEAI. PCI.</v>
      </c>
      <c r="P23" s="330"/>
      <c r="Q23" s="330"/>
      <c r="R23" s="330"/>
      <c r="S23" s="330"/>
      <c r="T23" s="330"/>
      <c r="U23" s="330"/>
      <c r="V23" s="329" t="str">
        <f>LISTAS!AR23</f>
        <v>PAT.</v>
      </c>
      <c r="W23" s="330"/>
      <c r="X23" s="330"/>
      <c r="Y23" s="330"/>
      <c r="Z23" s="330"/>
      <c r="AA23" s="330"/>
      <c r="AB23" s="330"/>
      <c r="AC23" s="329" t="str">
        <f>LISTAS!AS23</f>
        <v>Documentos administrativos: Cartas, Oficios, Memo. Actas, Convenios, Acuerdos.</v>
      </c>
      <c r="AD23" s="330"/>
      <c r="AE23" s="330"/>
      <c r="AF23" s="330"/>
      <c r="AG23" s="330"/>
      <c r="AH23" s="330"/>
      <c r="AI23" s="330"/>
      <c r="AJ23" s="344"/>
      <c r="AK23" s="345"/>
      <c r="AL23" s="345"/>
      <c r="AM23" s="345"/>
      <c r="AN23" s="345"/>
      <c r="AO23" s="346"/>
      <c r="AP23" s="329" t="s">
        <v>3721</v>
      </c>
      <c r="AQ23" s="329"/>
      <c r="AR23" s="329"/>
      <c r="AS23" s="329"/>
      <c r="AT23" s="329"/>
      <c r="AU23" s="329"/>
      <c r="AV23" s="329"/>
      <c r="AW23" s="329"/>
      <c r="AX23" s="329"/>
      <c r="AY23" s="9"/>
    </row>
    <row r="24" spans="2:51" ht="11.45" customHeight="1" x14ac:dyDescent="0.2">
      <c r="B24" s="7"/>
      <c r="C24" s="361"/>
      <c r="D24" s="361"/>
      <c r="E24" s="361"/>
      <c r="F24" s="361"/>
      <c r="G24" s="361"/>
      <c r="H24" s="331"/>
      <c r="I24" s="332"/>
      <c r="J24" s="332"/>
      <c r="K24" s="332"/>
      <c r="L24" s="332"/>
      <c r="M24" s="332"/>
      <c r="N24" s="332"/>
      <c r="O24" s="331"/>
      <c r="P24" s="332"/>
      <c r="Q24" s="332"/>
      <c r="R24" s="332"/>
      <c r="S24" s="332"/>
      <c r="T24" s="332"/>
      <c r="U24" s="332"/>
      <c r="V24" s="331"/>
      <c r="W24" s="332"/>
      <c r="X24" s="332"/>
      <c r="Y24" s="332"/>
      <c r="Z24" s="332"/>
      <c r="AA24" s="332"/>
      <c r="AB24" s="332"/>
      <c r="AC24" s="331"/>
      <c r="AD24" s="332"/>
      <c r="AE24" s="332"/>
      <c r="AF24" s="332"/>
      <c r="AG24" s="332"/>
      <c r="AH24" s="332"/>
      <c r="AI24" s="332"/>
      <c r="AJ24" s="344"/>
      <c r="AK24" s="345"/>
      <c r="AL24" s="345"/>
      <c r="AM24" s="345"/>
      <c r="AN24" s="345"/>
      <c r="AO24" s="346"/>
      <c r="AP24" s="331"/>
      <c r="AQ24" s="331"/>
      <c r="AR24" s="331"/>
      <c r="AS24" s="331"/>
      <c r="AT24" s="331"/>
      <c r="AU24" s="331"/>
      <c r="AV24" s="331"/>
      <c r="AW24" s="331"/>
      <c r="AX24" s="331"/>
      <c r="AY24" s="9"/>
    </row>
    <row r="25" spans="2:51" ht="11.45" customHeight="1" x14ac:dyDescent="0.2">
      <c r="B25" s="7"/>
      <c r="C25" s="361"/>
      <c r="D25" s="361"/>
      <c r="E25" s="361"/>
      <c r="F25" s="361"/>
      <c r="G25" s="361"/>
      <c r="H25" s="331"/>
      <c r="I25" s="332"/>
      <c r="J25" s="332"/>
      <c r="K25" s="332"/>
      <c r="L25" s="332"/>
      <c r="M25" s="332"/>
      <c r="N25" s="332"/>
      <c r="O25" s="331"/>
      <c r="P25" s="332"/>
      <c r="Q25" s="332"/>
      <c r="R25" s="332"/>
      <c r="S25" s="332"/>
      <c r="T25" s="332"/>
      <c r="U25" s="332"/>
      <c r="V25" s="331"/>
      <c r="W25" s="332"/>
      <c r="X25" s="332"/>
      <c r="Y25" s="332"/>
      <c r="Z25" s="332"/>
      <c r="AA25" s="332"/>
      <c r="AB25" s="332"/>
      <c r="AC25" s="331"/>
      <c r="AD25" s="332"/>
      <c r="AE25" s="332"/>
      <c r="AF25" s="332"/>
      <c r="AG25" s="332"/>
      <c r="AH25" s="332"/>
      <c r="AI25" s="332"/>
      <c r="AJ25" s="344"/>
      <c r="AK25" s="345"/>
      <c r="AL25" s="345"/>
      <c r="AM25" s="345"/>
      <c r="AN25" s="345"/>
      <c r="AO25" s="346"/>
      <c r="AP25" s="331"/>
      <c r="AQ25" s="331"/>
      <c r="AR25" s="331"/>
      <c r="AS25" s="331"/>
      <c r="AT25" s="331"/>
      <c r="AU25" s="331"/>
      <c r="AV25" s="331"/>
      <c r="AW25" s="331"/>
      <c r="AX25" s="331"/>
      <c r="AY25" s="9"/>
    </row>
    <row r="26" spans="2:51" ht="11.45" customHeight="1" x14ac:dyDescent="0.2">
      <c r="B26" s="7"/>
      <c r="C26" s="362"/>
      <c r="D26" s="362"/>
      <c r="E26" s="362"/>
      <c r="F26" s="362"/>
      <c r="G26" s="362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3"/>
      <c r="AC26" s="333"/>
      <c r="AD26" s="333"/>
      <c r="AE26" s="333"/>
      <c r="AF26" s="333"/>
      <c r="AG26" s="333"/>
      <c r="AH26" s="333"/>
      <c r="AI26" s="333"/>
      <c r="AJ26" s="347"/>
      <c r="AK26" s="348"/>
      <c r="AL26" s="348"/>
      <c r="AM26" s="348"/>
      <c r="AN26" s="348"/>
      <c r="AO26" s="349"/>
      <c r="AP26" s="352"/>
      <c r="AQ26" s="352"/>
      <c r="AR26" s="352"/>
      <c r="AS26" s="352"/>
      <c r="AT26" s="352"/>
      <c r="AU26" s="352"/>
      <c r="AV26" s="352"/>
      <c r="AW26" s="352"/>
      <c r="AX26" s="352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55"/>
      <c r="D28" s="56"/>
      <c r="E28" s="56"/>
      <c r="F28" s="56"/>
      <c r="G28" s="56"/>
      <c r="H28" s="57"/>
      <c r="I28" s="58"/>
      <c r="J28" s="58"/>
      <c r="K28" s="58"/>
      <c r="L28" s="58"/>
      <c r="M28" s="58"/>
      <c r="N28" s="48"/>
      <c r="O28" s="57"/>
      <c r="P28" s="58"/>
      <c r="Q28" s="58"/>
      <c r="R28" s="58"/>
      <c r="S28" s="58"/>
      <c r="T28" s="58"/>
      <c r="U28" s="48"/>
      <c r="V28" s="57"/>
      <c r="W28" s="58"/>
      <c r="X28" s="58"/>
      <c r="Y28" s="58"/>
      <c r="Z28" s="58"/>
      <c r="AA28" s="58"/>
      <c r="AB28" s="48"/>
      <c r="AC28" s="57"/>
      <c r="AD28" s="58"/>
      <c r="AE28" s="58"/>
      <c r="AF28" s="58"/>
      <c r="AG28" s="58"/>
      <c r="AH28" s="58"/>
      <c r="AI28" s="48"/>
      <c r="AJ28" s="59"/>
      <c r="AK28" s="60"/>
      <c r="AL28" s="60"/>
      <c r="AM28" s="60"/>
      <c r="AN28" s="60"/>
      <c r="AO28" s="61"/>
      <c r="AP28" s="62"/>
      <c r="AQ28" s="63"/>
      <c r="AR28" s="63"/>
      <c r="AS28" s="63"/>
      <c r="AT28" s="63"/>
      <c r="AU28" s="63"/>
      <c r="AV28" s="63"/>
      <c r="AW28" s="63"/>
      <c r="AX28" s="63"/>
      <c r="AY28" s="9"/>
    </row>
    <row r="29" spans="2:51" ht="11.45" customHeight="1" x14ac:dyDescent="0.2">
      <c r="B29" s="7"/>
      <c r="C29" s="56"/>
      <c r="D29" s="56"/>
      <c r="E29" s="56"/>
      <c r="F29" s="56"/>
      <c r="G29" s="56"/>
      <c r="H29" s="64"/>
      <c r="I29" s="58"/>
      <c r="J29" s="58"/>
      <c r="K29" s="58"/>
      <c r="L29" s="58"/>
      <c r="M29" s="58"/>
      <c r="N29" s="48"/>
      <c r="O29" s="64"/>
      <c r="P29" s="58"/>
      <c r="Q29" s="58"/>
      <c r="R29" s="58"/>
      <c r="S29" s="58"/>
      <c r="T29" s="58"/>
      <c r="U29" s="48"/>
      <c r="V29" s="64"/>
      <c r="W29" s="58"/>
      <c r="X29" s="58"/>
      <c r="Y29" s="58"/>
      <c r="Z29" s="58"/>
      <c r="AA29" s="58"/>
      <c r="AB29" s="48"/>
      <c r="AC29" s="64"/>
      <c r="AD29" s="58"/>
      <c r="AE29" s="58"/>
      <c r="AF29" s="58"/>
      <c r="AG29" s="58"/>
      <c r="AH29" s="58"/>
      <c r="AI29" s="48"/>
      <c r="AJ29" s="65"/>
      <c r="AK29" s="66"/>
      <c r="AL29" s="66"/>
      <c r="AM29" s="66"/>
      <c r="AN29" s="66"/>
      <c r="AO29" s="67"/>
      <c r="AP29" s="63"/>
      <c r="AQ29" s="63"/>
      <c r="AR29" s="63"/>
      <c r="AS29" s="63"/>
      <c r="AT29" s="63"/>
      <c r="AU29" s="63"/>
      <c r="AV29" s="63"/>
      <c r="AW29" s="63"/>
      <c r="AX29" s="63"/>
      <c r="AY29" s="9"/>
    </row>
    <row r="30" spans="2:51" ht="11.45" customHeight="1" x14ac:dyDescent="0.2">
      <c r="B30" s="7"/>
      <c r="C30" s="56"/>
      <c r="D30" s="56"/>
      <c r="E30" s="56"/>
      <c r="F30" s="56"/>
      <c r="G30" s="56"/>
      <c r="H30" s="64"/>
      <c r="I30" s="58"/>
      <c r="J30" s="58"/>
      <c r="K30" s="58"/>
      <c r="L30" s="58"/>
      <c r="M30" s="58"/>
      <c r="N30" s="48"/>
      <c r="O30" s="64"/>
      <c r="P30" s="58"/>
      <c r="Q30" s="58"/>
      <c r="R30" s="58"/>
      <c r="S30" s="58"/>
      <c r="T30" s="58"/>
      <c r="U30" s="48"/>
      <c r="V30" s="64"/>
      <c r="W30" s="58"/>
      <c r="X30" s="58"/>
      <c r="Y30" s="58"/>
      <c r="Z30" s="58"/>
      <c r="AA30" s="58"/>
      <c r="AB30" s="48"/>
      <c r="AC30" s="64"/>
      <c r="AD30" s="58"/>
      <c r="AE30" s="58"/>
      <c r="AF30" s="58"/>
      <c r="AG30" s="58"/>
      <c r="AH30" s="58"/>
      <c r="AI30" s="48"/>
      <c r="AJ30" s="65"/>
      <c r="AK30" s="66"/>
      <c r="AL30" s="66"/>
      <c r="AM30" s="66"/>
      <c r="AN30" s="66"/>
      <c r="AO30" s="67"/>
      <c r="AP30" s="63"/>
      <c r="AQ30" s="63"/>
      <c r="AR30" s="63"/>
      <c r="AS30" s="63"/>
      <c r="AT30" s="63"/>
      <c r="AU30" s="63"/>
      <c r="AV30" s="63"/>
      <c r="AW30" s="63"/>
      <c r="AX30" s="63"/>
      <c r="AY30" s="9"/>
    </row>
    <row r="31" spans="2:51" ht="11.45" customHeight="1" x14ac:dyDescent="0.2">
      <c r="B31" s="7"/>
      <c r="C31" s="56"/>
      <c r="D31" s="56"/>
      <c r="E31" s="56"/>
      <c r="F31" s="56"/>
      <c r="G31" s="56"/>
      <c r="H31" s="64"/>
      <c r="I31" s="58"/>
      <c r="J31" s="58"/>
      <c r="K31" s="58"/>
      <c r="L31" s="58"/>
      <c r="M31" s="58"/>
      <c r="N31" s="48"/>
      <c r="O31" s="64"/>
      <c r="P31" s="58"/>
      <c r="Q31" s="58"/>
      <c r="R31" s="58"/>
      <c r="S31" s="58"/>
      <c r="T31" s="58"/>
      <c r="U31" s="48"/>
      <c r="V31" s="64"/>
      <c r="W31" s="58"/>
      <c r="X31" s="58"/>
      <c r="Y31" s="58"/>
      <c r="Z31" s="58"/>
      <c r="AA31" s="58"/>
      <c r="AB31" s="48"/>
      <c r="AC31" s="64"/>
      <c r="AD31" s="58"/>
      <c r="AE31" s="58"/>
      <c r="AF31" s="58"/>
      <c r="AG31" s="58"/>
      <c r="AH31" s="58"/>
      <c r="AI31" s="48"/>
      <c r="AJ31" s="65"/>
      <c r="AK31" s="66"/>
      <c r="AL31" s="66"/>
      <c r="AM31" s="66"/>
      <c r="AN31" s="66"/>
      <c r="AO31" s="67"/>
      <c r="AP31" s="63"/>
      <c r="AQ31" s="63"/>
      <c r="AR31" s="63"/>
      <c r="AS31" s="63"/>
      <c r="AT31" s="63"/>
      <c r="AU31" s="63"/>
      <c r="AV31" s="63"/>
      <c r="AW31" s="63"/>
      <c r="AX31" s="63"/>
      <c r="AY31" s="9"/>
    </row>
    <row r="32" spans="2:51" ht="11.45" customHeight="1" x14ac:dyDescent="0.2">
      <c r="B32" s="7"/>
      <c r="C32" s="56"/>
      <c r="D32" s="56"/>
      <c r="E32" s="56"/>
      <c r="F32" s="56"/>
      <c r="G32" s="56"/>
      <c r="H32" s="64"/>
      <c r="I32" s="58"/>
      <c r="J32" s="58"/>
      <c r="K32" s="58"/>
      <c r="L32" s="58"/>
      <c r="M32" s="58"/>
      <c r="N32" s="48"/>
      <c r="O32" s="64"/>
      <c r="P32" s="58"/>
      <c r="Q32" s="58"/>
      <c r="R32" s="58"/>
      <c r="S32" s="58"/>
      <c r="T32" s="58"/>
      <c r="U32" s="48"/>
      <c r="V32" s="64"/>
      <c r="W32" s="58"/>
      <c r="X32" s="58"/>
      <c r="Y32" s="58"/>
      <c r="Z32" s="58"/>
      <c r="AA32" s="58"/>
      <c r="AB32" s="48"/>
      <c r="AC32" s="64"/>
      <c r="AD32" s="58"/>
      <c r="AE32" s="58"/>
      <c r="AF32" s="58"/>
      <c r="AG32" s="58"/>
      <c r="AH32" s="58"/>
      <c r="AI32" s="48"/>
      <c r="AJ32" s="65"/>
      <c r="AK32" s="66"/>
      <c r="AL32" s="66"/>
      <c r="AM32" s="66"/>
      <c r="AN32" s="66"/>
      <c r="AO32" s="67"/>
      <c r="AP32" s="63"/>
      <c r="AQ32" s="63"/>
      <c r="AR32" s="63"/>
      <c r="AS32" s="63"/>
      <c r="AT32" s="63"/>
      <c r="AU32" s="63"/>
      <c r="AV32" s="63"/>
      <c r="AW32" s="63"/>
      <c r="AX32" s="63"/>
      <c r="AY32" s="9"/>
    </row>
    <row r="33" spans="2:51" ht="11.45" customHeight="1" x14ac:dyDescent="0.2">
      <c r="B33" s="7"/>
      <c r="C33" s="56"/>
      <c r="D33" s="56"/>
      <c r="E33" s="56"/>
      <c r="F33" s="56"/>
      <c r="G33" s="56"/>
      <c r="H33" s="64"/>
      <c r="I33" s="58"/>
      <c r="J33" s="58"/>
      <c r="K33" s="58"/>
      <c r="L33" s="58"/>
      <c r="M33" s="58"/>
      <c r="N33" s="48"/>
      <c r="O33" s="64"/>
      <c r="P33" s="58"/>
      <c r="Q33" s="58"/>
      <c r="R33" s="58"/>
      <c r="S33" s="58"/>
      <c r="T33" s="58"/>
      <c r="U33" s="48"/>
      <c r="V33" s="64"/>
      <c r="W33" s="58"/>
      <c r="X33" s="58"/>
      <c r="Y33" s="58"/>
      <c r="Z33" s="58"/>
      <c r="AA33" s="58"/>
      <c r="AB33" s="48"/>
      <c r="AC33" s="64"/>
      <c r="AD33" s="58"/>
      <c r="AE33" s="58"/>
      <c r="AF33" s="58"/>
      <c r="AG33" s="58"/>
      <c r="AH33" s="58"/>
      <c r="AI33" s="48"/>
      <c r="AJ33" s="65"/>
      <c r="AK33" s="66"/>
      <c r="AL33" s="66"/>
      <c r="AM33" s="66"/>
      <c r="AN33" s="66"/>
      <c r="AO33" s="67"/>
      <c r="AP33" s="63"/>
      <c r="AQ33" s="63"/>
      <c r="AR33" s="63"/>
      <c r="AS33" s="63"/>
      <c r="AT33" s="63"/>
      <c r="AU33" s="63"/>
      <c r="AV33" s="63"/>
      <c r="AW33" s="63"/>
      <c r="AX33" s="63"/>
      <c r="AY33" s="9"/>
    </row>
    <row r="34" spans="2:51" ht="11.45" customHeight="1" x14ac:dyDescent="0.2">
      <c r="B34" s="7"/>
      <c r="C34" s="56"/>
      <c r="D34" s="56"/>
      <c r="E34" s="56"/>
      <c r="F34" s="56"/>
      <c r="G34" s="56"/>
      <c r="H34" s="64"/>
      <c r="I34" s="58"/>
      <c r="J34" s="58"/>
      <c r="K34" s="58"/>
      <c r="L34" s="58"/>
      <c r="M34" s="58"/>
      <c r="N34" s="48"/>
      <c r="O34" s="64"/>
      <c r="P34" s="58"/>
      <c r="Q34" s="58"/>
      <c r="R34" s="58"/>
      <c r="S34" s="58"/>
      <c r="T34" s="58"/>
      <c r="U34" s="48"/>
      <c r="V34" s="64"/>
      <c r="W34" s="58"/>
      <c r="X34" s="58"/>
      <c r="Y34" s="58"/>
      <c r="Z34" s="58"/>
      <c r="AA34" s="58"/>
      <c r="AB34" s="48"/>
      <c r="AC34" s="64"/>
      <c r="AD34" s="58"/>
      <c r="AE34" s="58"/>
      <c r="AF34" s="58"/>
      <c r="AG34" s="58"/>
      <c r="AH34" s="58"/>
      <c r="AI34" s="48"/>
      <c r="AJ34" s="65"/>
      <c r="AK34" s="66"/>
      <c r="AL34" s="66"/>
      <c r="AM34" s="66"/>
      <c r="AN34" s="66"/>
      <c r="AO34" s="67"/>
      <c r="AP34" s="63"/>
      <c r="AQ34" s="63"/>
      <c r="AR34" s="63"/>
      <c r="AS34" s="63"/>
      <c r="AT34" s="63"/>
      <c r="AU34" s="63"/>
      <c r="AV34" s="63"/>
      <c r="AW34" s="63"/>
      <c r="AX34" s="63"/>
      <c r="AY34" s="9"/>
    </row>
    <row r="35" spans="2:51" ht="25.5" customHeight="1" x14ac:dyDescent="0.2">
      <c r="B35" s="7"/>
      <c r="C35" s="56"/>
      <c r="D35" s="56"/>
      <c r="E35" s="56"/>
      <c r="F35" s="56"/>
      <c r="G35" s="56"/>
      <c r="H35" s="64"/>
      <c r="I35" s="58"/>
      <c r="J35" s="58"/>
      <c r="K35" s="58"/>
      <c r="L35" s="58"/>
      <c r="M35" s="58"/>
      <c r="N35" s="48"/>
      <c r="O35" s="64"/>
      <c r="P35" s="58"/>
      <c r="Q35" s="58"/>
      <c r="R35" s="58"/>
      <c r="S35" s="58"/>
      <c r="T35" s="58"/>
      <c r="U35" s="48"/>
      <c r="V35" s="64"/>
      <c r="W35" s="58"/>
      <c r="X35" s="58"/>
      <c r="Y35" s="58"/>
      <c r="Z35" s="58"/>
      <c r="AA35" s="58"/>
      <c r="AB35" s="48"/>
      <c r="AC35" s="64"/>
      <c r="AD35" s="58"/>
      <c r="AE35" s="58"/>
      <c r="AF35" s="58"/>
      <c r="AG35" s="58"/>
      <c r="AH35" s="58"/>
      <c r="AI35" s="48"/>
      <c r="AJ35" s="65"/>
      <c r="AK35" s="66"/>
      <c r="AL35" s="66"/>
      <c r="AM35" s="66"/>
      <c r="AN35" s="66"/>
      <c r="AO35" s="67"/>
      <c r="AP35" s="63"/>
      <c r="AQ35" s="63"/>
      <c r="AR35" s="63"/>
      <c r="AS35" s="63"/>
      <c r="AT35" s="63"/>
      <c r="AU35" s="63"/>
      <c r="AV35" s="63"/>
      <c r="AW35" s="63"/>
      <c r="AX35" s="63"/>
      <c r="AY35" s="9"/>
    </row>
    <row r="36" spans="2:51" ht="6.95" customHeight="1" x14ac:dyDescent="0.2">
      <c r="B36" s="7"/>
      <c r="C36" s="56"/>
      <c r="D36" s="56"/>
      <c r="E36" s="56"/>
      <c r="F36" s="56"/>
      <c r="G36" s="56"/>
      <c r="H36" s="68"/>
      <c r="I36" s="69"/>
      <c r="J36" s="69"/>
      <c r="K36" s="69"/>
      <c r="L36" s="69"/>
      <c r="M36" s="69"/>
      <c r="N36" s="49"/>
      <c r="O36" s="68"/>
      <c r="P36" s="69"/>
      <c r="Q36" s="69"/>
      <c r="R36" s="69"/>
      <c r="S36" s="69"/>
      <c r="T36" s="69"/>
      <c r="U36" s="49"/>
      <c r="V36" s="68"/>
      <c r="W36" s="69"/>
      <c r="X36" s="69"/>
      <c r="Y36" s="69"/>
      <c r="Z36" s="69"/>
      <c r="AA36" s="69"/>
      <c r="AB36" s="49"/>
      <c r="AC36" s="68"/>
      <c r="AD36" s="69"/>
      <c r="AE36" s="69"/>
      <c r="AF36" s="69"/>
      <c r="AG36" s="69"/>
      <c r="AH36" s="69"/>
      <c r="AI36" s="49"/>
      <c r="AJ36" s="65"/>
      <c r="AK36" s="66"/>
      <c r="AL36" s="66"/>
      <c r="AM36" s="66"/>
      <c r="AN36" s="66"/>
      <c r="AO36" s="67"/>
      <c r="AP36" s="63"/>
      <c r="AQ36" s="63"/>
      <c r="AR36" s="63"/>
      <c r="AS36" s="63"/>
      <c r="AT36" s="63"/>
      <c r="AU36" s="63"/>
      <c r="AV36" s="63"/>
      <c r="AW36" s="63"/>
      <c r="AX36" s="63"/>
      <c r="AY36" s="9"/>
    </row>
    <row r="37" spans="2:51" ht="6.95" customHeight="1" x14ac:dyDescent="0.2">
      <c r="B37" s="7"/>
      <c r="C37" s="56"/>
      <c r="D37" s="56"/>
      <c r="E37" s="56"/>
      <c r="F37" s="56"/>
      <c r="G37" s="56"/>
      <c r="H37" s="70"/>
      <c r="I37" s="69"/>
      <c r="J37" s="69"/>
      <c r="K37" s="69"/>
      <c r="L37" s="69"/>
      <c r="M37" s="69"/>
      <c r="N37" s="49"/>
      <c r="O37" s="70"/>
      <c r="P37" s="69"/>
      <c r="Q37" s="69"/>
      <c r="R37" s="69"/>
      <c r="S37" s="69"/>
      <c r="T37" s="69"/>
      <c r="U37" s="49"/>
      <c r="V37" s="70"/>
      <c r="W37" s="69"/>
      <c r="X37" s="69"/>
      <c r="Y37" s="69"/>
      <c r="Z37" s="69"/>
      <c r="AA37" s="69"/>
      <c r="AB37" s="49"/>
      <c r="AC37" s="70"/>
      <c r="AD37" s="69"/>
      <c r="AE37" s="69"/>
      <c r="AF37" s="69"/>
      <c r="AG37" s="69"/>
      <c r="AH37" s="69"/>
      <c r="AI37" s="49"/>
      <c r="AJ37" s="65"/>
      <c r="AK37" s="66"/>
      <c r="AL37" s="66"/>
      <c r="AM37" s="66"/>
      <c r="AN37" s="66"/>
      <c r="AO37" s="67"/>
      <c r="AP37" s="63"/>
      <c r="AQ37" s="63"/>
      <c r="AR37" s="63"/>
      <c r="AS37" s="63"/>
      <c r="AT37" s="63"/>
      <c r="AU37" s="63"/>
      <c r="AV37" s="63"/>
      <c r="AW37" s="63"/>
      <c r="AX37" s="63"/>
      <c r="AY37" s="9"/>
    </row>
    <row r="38" spans="2:51" ht="11.45" customHeight="1" x14ac:dyDescent="0.2">
      <c r="B38" s="7"/>
      <c r="C38" s="71"/>
      <c r="D38" s="71"/>
      <c r="E38" s="71"/>
      <c r="F38" s="71"/>
      <c r="G38" s="71"/>
      <c r="H38" s="72"/>
      <c r="I38" s="73"/>
      <c r="J38" s="73"/>
      <c r="K38" s="73"/>
      <c r="L38" s="73"/>
      <c r="M38" s="73"/>
      <c r="N38" s="73"/>
      <c r="O38" s="72"/>
      <c r="P38" s="73"/>
      <c r="Q38" s="73"/>
      <c r="R38" s="73"/>
      <c r="S38" s="73"/>
      <c r="T38" s="73"/>
      <c r="U38" s="73"/>
      <c r="V38" s="72"/>
      <c r="W38" s="73"/>
      <c r="X38" s="73"/>
      <c r="Y38" s="73"/>
      <c r="Z38" s="73"/>
      <c r="AA38" s="73"/>
      <c r="AB38" s="73"/>
      <c r="AC38" s="72"/>
      <c r="AD38" s="73"/>
      <c r="AE38" s="73"/>
      <c r="AF38" s="73"/>
      <c r="AG38" s="73"/>
      <c r="AH38" s="73"/>
      <c r="AI38" s="73"/>
      <c r="AJ38" s="74"/>
      <c r="AK38" s="75"/>
      <c r="AL38" s="75"/>
      <c r="AM38" s="75"/>
      <c r="AN38" s="75"/>
      <c r="AO38" s="76"/>
      <c r="AP38" s="72"/>
      <c r="AQ38" s="72"/>
      <c r="AR38" s="72"/>
      <c r="AS38" s="72"/>
      <c r="AT38" s="72"/>
      <c r="AU38" s="72"/>
      <c r="AV38" s="72"/>
      <c r="AW38" s="72"/>
      <c r="AX38" s="72"/>
      <c r="AY38" s="9"/>
    </row>
    <row r="39" spans="2:51" ht="11.45" customHeight="1" x14ac:dyDescent="0.2">
      <c r="B39" s="7"/>
      <c r="C39" s="77"/>
      <c r="D39" s="77"/>
      <c r="E39" s="77"/>
      <c r="F39" s="77"/>
      <c r="G39" s="77"/>
      <c r="H39" s="78"/>
      <c r="I39" s="79"/>
      <c r="J39" s="79"/>
      <c r="K39" s="79"/>
      <c r="L39" s="79"/>
      <c r="M39" s="79"/>
      <c r="N39" s="79"/>
      <c r="O39" s="78"/>
      <c r="P39" s="79"/>
      <c r="Q39" s="79"/>
      <c r="R39" s="79"/>
      <c r="S39" s="79"/>
      <c r="T39" s="79"/>
      <c r="U39" s="79"/>
      <c r="V39" s="78"/>
      <c r="W39" s="79"/>
      <c r="X39" s="79"/>
      <c r="Y39" s="79"/>
      <c r="Z39" s="79"/>
      <c r="AA39" s="79"/>
      <c r="AB39" s="79"/>
      <c r="AC39" s="78"/>
      <c r="AD39" s="79"/>
      <c r="AE39" s="79"/>
      <c r="AF39" s="79"/>
      <c r="AG39" s="79"/>
      <c r="AH39" s="79"/>
      <c r="AI39" s="79"/>
      <c r="AJ39" s="74"/>
      <c r="AK39" s="75"/>
      <c r="AL39" s="75"/>
      <c r="AM39" s="75"/>
      <c r="AN39" s="75"/>
      <c r="AO39" s="76"/>
      <c r="AP39" s="78"/>
      <c r="AQ39" s="78"/>
      <c r="AR39" s="78"/>
      <c r="AS39" s="78"/>
      <c r="AT39" s="78"/>
      <c r="AU39" s="78"/>
      <c r="AV39" s="78"/>
      <c r="AW39" s="78"/>
      <c r="AX39" s="78"/>
      <c r="AY39" s="9"/>
    </row>
    <row r="40" spans="2:51" ht="11.45" customHeight="1" x14ac:dyDescent="0.2">
      <c r="B40" s="7"/>
      <c r="C40" s="77"/>
      <c r="D40" s="77"/>
      <c r="E40" s="77"/>
      <c r="F40" s="77"/>
      <c r="G40" s="77"/>
      <c r="H40" s="78"/>
      <c r="I40" s="79"/>
      <c r="J40" s="79"/>
      <c r="K40" s="79"/>
      <c r="L40" s="79"/>
      <c r="M40" s="79"/>
      <c r="N40" s="79"/>
      <c r="O40" s="78"/>
      <c r="P40" s="79"/>
      <c r="Q40" s="79"/>
      <c r="R40" s="79"/>
      <c r="S40" s="79"/>
      <c r="T40" s="79"/>
      <c r="U40" s="79"/>
      <c r="V40" s="78"/>
      <c r="W40" s="79"/>
      <c r="X40" s="79"/>
      <c r="Y40" s="79"/>
      <c r="Z40" s="79"/>
      <c r="AA40" s="79"/>
      <c r="AB40" s="79"/>
      <c r="AC40" s="78"/>
      <c r="AD40" s="79"/>
      <c r="AE40" s="79"/>
      <c r="AF40" s="79"/>
      <c r="AG40" s="79"/>
      <c r="AH40" s="79"/>
      <c r="AI40" s="79"/>
      <c r="AJ40" s="74"/>
      <c r="AK40" s="75"/>
      <c r="AL40" s="75"/>
      <c r="AM40" s="75"/>
      <c r="AN40" s="75"/>
      <c r="AO40" s="76"/>
      <c r="AP40" s="78"/>
      <c r="AQ40" s="78"/>
      <c r="AR40" s="78"/>
      <c r="AS40" s="78"/>
      <c r="AT40" s="78"/>
      <c r="AU40" s="78"/>
      <c r="AV40" s="78"/>
      <c r="AW40" s="78"/>
      <c r="AX40" s="78"/>
      <c r="AY40" s="9"/>
    </row>
    <row r="41" spans="2:51" ht="11.45" customHeight="1" x14ac:dyDescent="0.2">
      <c r="B41" s="7"/>
      <c r="C41" s="80"/>
      <c r="D41" s="80"/>
      <c r="E41" s="80"/>
      <c r="F41" s="80"/>
      <c r="G41" s="80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2"/>
      <c r="AK41" s="83"/>
      <c r="AL41" s="83"/>
      <c r="AM41" s="83"/>
      <c r="AN41" s="83"/>
      <c r="AO41" s="84"/>
      <c r="AP41" s="85"/>
      <c r="AQ41" s="85"/>
      <c r="AR41" s="85"/>
      <c r="AS41" s="85"/>
      <c r="AT41" s="85"/>
      <c r="AU41" s="85"/>
      <c r="AV41" s="85"/>
      <c r="AW41" s="85"/>
      <c r="AX41" s="85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0.5" customHeight="1" x14ac:dyDescent="0.2">
      <c r="B43" s="7"/>
      <c r="C43" s="8"/>
      <c r="D43" s="358" t="str">
        <f>REPT(CHAR(73),42*(COUNTIF(H21:AI22,"*")))</f>
        <v/>
      </c>
      <c r="E43" s="359"/>
      <c r="F43" s="359"/>
      <c r="G43" s="359"/>
      <c r="H43" s="359"/>
      <c r="I43" s="359"/>
      <c r="J43" s="359"/>
      <c r="K43" s="359"/>
      <c r="L43" s="359"/>
      <c r="M43" s="359"/>
      <c r="N43" s="359"/>
      <c r="O43" s="359"/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59"/>
      <c r="AC43" s="359"/>
      <c r="AD43" s="155" t="str">
        <f>IF(COUNTIF(H21:AI22,"*")=4,"a","")</f>
        <v/>
      </c>
      <c r="AE43" s="155"/>
      <c r="AF43" s="8"/>
      <c r="AG43" s="370"/>
      <c r="AH43" s="371"/>
      <c r="AI43" s="372"/>
      <c r="AJ43" s="372"/>
      <c r="AK43" s="373"/>
      <c r="AL43" s="8"/>
      <c r="AM43" s="363" t="str">
        <f>"PEAI"</f>
        <v>PEAI</v>
      </c>
      <c r="AN43" s="364"/>
      <c r="AO43" s="365"/>
      <c r="AP43" s="365"/>
      <c r="AQ43" s="366"/>
      <c r="AR43" s="8"/>
      <c r="AS43" s="370"/>
      <c r="AT43" s="371"/>
      <c r="AU43" s="372"/>
      <c r="AV43" s="372"/>
      <c r="AW43" s="373"/>
      <c r="AX43" s="8"/>
      <c r="AY43" s="9"/>
    </row>
    <row r="44" spans="2:51" ht="10.5" customHeight="1" x14ac:dyDescent="0.2">
      <c r="B44" s="7"/>
      <c r="C44" s="8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59"/>
      <c r="AC44" s="359"/>
      <c r="AD44" s="353"/>
      <c r="AE44" s="353"/>
      <c r="AF44" s="8"/>
      <c r="AG44" s="374"/>
      <c r="AH44" s="375"/>
      <c r="AI44" s="375"/>
      <c r="AJ44" s="375"/>
      <c r="AK44" s="376"/>
      <c r="AL44" s="8"/>
      <c r="AM44" s="367"/>
      <c r="AN44" s="368"/>
      <c r="AO44" s="368"/>
      <c r="AP44" s="368"/>
      <c r="AQ44" s="369"/>
      <c r="AR44" s="8"/>
      <c r="AS44" s="374"/>
      <c r="AT44" s="375"/>
      <c r="AU44" s="375"/>
      <c r="AV44" s="375"/>
      <c r="AW44" s="376"/>
      <c r="AX44" s="8"/>
      <c r="AY44" s="9"/>
    </row>
    <row r="45" spans="2:51" ht="3.95" customHeight="1" x14ac:dyDescent="0.2">
      <c r="B45" s="7"/>
      <c r="C45" s="8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39" t="s">
        <v>4176</v>
      </c>
      <c r="D46" s="139"/>
      <c r="E46" s="139" t="s">
        <v>4177</v>
      </c>
      <c r="F46" s="139"/>
      <c r="G46" s="139" t="s">
        <v>4126</v>
      </c>
      <c r="H46" s="139"/>
      <c r="I46" s="139" t="s">
        <v>4178</v>
      </c>
      <c r="J46" s="139"/>
      <c r="K46" s="139" t="s">
        <v>4179</v>
      </c>
      <c r="L46" s="139"/>
      <c r="M46" s="139" t="s">
        <v>4180</v>
      </c>
      <c r="N46" s="139"/>
      <c r="O46" s="139" t="s">
        <v>4181</v>
      </c>
      <c r="P46" s="139"/>
      <c r="Q46" s="139" t="s">
        <v>4182</v>
      </c>
      <c r="R46" s="139"/>
      <c r="S46" s="139" t="s">
        <v>4183</v>
      </c>
      <c r="T46" s="139"/>
      <c r="U46" s="139" t="s">
        <v>4184</v>
      </c>
      <c r="V46" s="139"/>
      <c r="W46" s="139" t="s">
        <v>4185</v>
      </c>
      <c r="X46" s="139"/>
      <c r="Y46" s="139" t="s">
        <v>4186</v>
      </c>
      <c r="Z46" s="139"/>
      <c r="AA46" s="139" t="s">
        <v>1780</v>
      </c>
      <c r="AB46" s="139"/>
      <c r="AC46" s="139" t="s">
        <v>4187</v>
      </c>
      <c r="AD46" s="139"/>
      <c r="AE46" s="139" t="s">
        <v>1781</v>
      </c>
      <c r="AF46" s="139"/>
      <c r="AG46" s="139" t="s">
        <v>4188</v>
      </c>
      <c r="AH46" s="139"/>
      <c r="AI46" s="139" t="s">
        <v>4189</v>
      </c>
      <c r="AJ46" s="139"/>
      <c r="AK46" s="139" t="s">
        <v>4190</v>
      </c>
      <c r="AL46" s="139"/>
      <c r="AM46" s="139" t="s">
        <v>4191</v>
      </c>
      <c r="AN46" s="139"/>
      <c r="AO46" s="139" t="s">
        <v>4192</v>
      </c>
      <c r="AP46" s="139"/>
      <c r="AQ46" s="139" t="s">
        <v>4176</v>
      </c>
      <c r="AR46" s="139"/>
      <c r="AS46" s="139" t="s">
        <v>4177</v>
      </c>
      <c r="AT46" s="139"/>
      <c r="AU46" s="139" t="s">
        <v>4126</v>
      </c>
      <c r="AV46" s="139"/>
      <c r="AW46" s="139" t="s">
        <v>4178</v>
      </c>
      <c r="AX46" s="139"/>
      <c r="AY46" s="9"/>
    </row>
    <row r="47" spans="2:51" ht="12" customHeight="1" x14ac:dyDescent="0.2">
      <c r="B47" s="7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  <c r="AJ47" s="139"/>
      <c r="AK47" s="139"/>
      <c r="AL47" s="139"/>
      <c r="AM47" s="139"/>
      <c r="AN47" s="139"/>
      <c r="AO47" s="139"/>
      <c r="AP47" s="139"/>
      <c r="AQ47" s="139"/>
      <c r="AR47" s="139"/>
      <c r="AS47" s="139"/>
      <c r="AT47" s="139"/>
      <c r="AU47" s="139"/>
      <c r="AV47" s="139"/>
      <c r="AW47" s="139"/>
      <c r="AX47" s="139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IF('MOD1'!$AY$49="","",'MOD1'!$AY$49)</f>
        <v>*Equipo de Gestión de la Información - EBR - Ministerio de Educación</v>
      </c>
    </row>
  </sheetData>
  <sheetProtection algorithmName="SHA-512" hashValue="ABOhk0lEs29aiZgjTlkfnXqQT7XmeE+6XhWmKw2ezSo+0MFs6v6QLrfi5IKKS4oB/zWLAPf7VqRIwMrQD/ZhFg==" saltValue="vXzt+Iwi2E8bKAGGE3A0+g==" spinCount="100000" sheet="1" objects="1" scenarios="1"/>
  <mergeCells count="55"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  <mergeCell ref="C13:G22"/>
    <mergeCell ref="H13:N20"/>
    <mergeCell ref="O13:U20"/>
    <mergeCell ref="V13:AB20"/>
    <mergeCell ref="AC13:AI20"/>
    <mergeCell ref="AP13:AX22"/>
    <mergeCell ref="H21:N22"/>
    <mergeCell ref="O21:U22"/>
    <mergeCell ref="V21:AB22"/>
    <mergeCell ref="AC21:AI22"/>
    <mergeCell ref="AJ13:AO26"/>
    <mergeCell ref="AP23:AX26"/>
    <mergeCell ref="D43:AC44"/>
    <mergeCell ref="AD43:AE44"/>
    <mergeCell ref="AG43:AK44"/>
    <mergeCell ref="AM43:AQ44"/>
    <mergeCell ref="AS43:AW44"/>
    <mergeCell ref="C23:G26"/>
    <mergeCell ref="H23:N26"/>
    <mergeCell ref="O23:U26"/>
    <mergeCell ref="V23:AB26"/>
    <mergeCell ref="AC23:AI26"/>
    <mergeCell ref="Y46:Z47"/>
    <mergeCell ref="C46:D47"/>
    <mergeCell ref="E46:F47"/>
    <mergeCell ref="G46:H47"/>
    <mergeCell ref="I46:J47"/>
    <mergeCell ref="K46:L47"/>
    <mergeCell ref="M46:N47"/>
    <mergeCell ref="O46:P47"/>
    <mergeCell ref="Q46:R47"/>
    <mergeCell ref="S46:T47"/>
    <mergeCell ref="U46:V47"/>
    <mergeCell ref="W46:X47"/>
    <mergeCell ref="AW46:AX47"/>
    <mergeCell ref="AA46:AB47"/>
    <mergeCell ref="AC46:AD47"/>
    <mergeCell ref="AE46:AF47"/>
    <mergeCell ref="AG46:AH47"/>
    <mergeCell ref="AI46:AJ47"/>
    <mergeCell ref="AK46:AL47"/>
    <mergeCell ref="AM46:AN47"/>
    <mergeCell ref="AO46:AP47"/>
    <mergeCell ref="AQ46:AR47"/>
    <mergeCell ref="AS46:AT47"/>
    <mergeCell ref="AU46:AV47"/>
  </mergeCells>
  <conditionalFormatting sqref="AG43:AK44">
    <cfRule type="cellIs" dxfId="23" priority="15" operator="equal">
      <formula>""</formula>
    </cfRule>
  </conditionalFormatting>
  <conditionalFormatting sqref="AS43:AW44">
    <cfRule type="cellIs" dxfId="22" priority="14" operator="equal">
      <formula>""</formula>
    </cfRule>
  </conditionalFormatting>
  <conditionalFormatting sqref="C28:AX41">
    <cfRule type="expression" dxfId="21" priority="13">
      <formula>$C$38=""</formula>
    </cfRule>
  </conditionalFormatting>
  <conditionalFormatting sqref="C23:G26 H21:AI22 AP13:AX26">
    <cfRule type="expression" dxfId="20" priority="12">
      <formula>$C$13=""</formula>
    </cfRule>
  </conditionalFormatting>
  <conditionalFormatting sqref="C13:G22">
    <cfRule type="expression" dxfId="19" priority="8">
      <formula>$C$13=""</formula>
    </cfRule>
  </conditionalFormatting>
  <conditionalFormatting sqref="H13:AI20">
    <cfRule type="expression" dxfId="18" priority="7">
      <formula>$C$13=""</formula>
    </cfRule>
  </conditionalFormatting>
  <conditionalFormatting sqref="H23:AI26">
    <cfRule type="expression" dxfId="17" priority="6">
      <formula>$C$13=""</formula>
    </cfRule>
  </conditionalFormatting>
  <conditionalFormatting sqref="AJ13:AO26">
    <cfRule type="expression" dxfId="16" priority="5">
      <formula>$C$13=""</formula>
    </cfRule>
  </conditionalFormatting>
  <conditionalFormatting sqref="AM43:AQ44">
    <cfRule type="cellIs" dxfId="15" priority="4" operator="equal">
      <formula>"PEAI"</formula>
    </cfRule>
  </conditionalFormatting>
  <conditionalFormatting sqref="C46:AX47">
    <cfRule type="expression" dxfId="14" priority="1">
      <formula>IF(CODE(C46)=38,1,0)</formula>
    </cfRule>
    <cfRule type="expression" dxfId="13" priority="2">
      <formula>IF(CODE(C46)=37,1,0)</formula>
    </cfRule>
    <cfRule type="expression" dxfId="12" priority="3">
      <formula>IF(OR(CODE(C46)=143,CODE(C46)=167,CODE(C46)=168,CODE(C46)=254),1,0)</formula>
    </cfRule>
  </conditionalFormatting>
  <dataValidations count="10">
    <dataValidation allowBlank="1" showInputMessage="1" showErrorMessage="1" promptTitle="Mensaje" prompt="Indicador" sqref="AJ11:AO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Hitos de aplicación del enfoque ambiental" sqref="H11:AE11 H12:M12 O12:T12 V12:AA12 AC12:AH12"/>
    <dataValidation type="list" allowBlank="1" showInputMessage="1" showErrorMessage="1" errorTitle="Mensaje de validación" error="Solo se permite datos de la lista desplegable._x000a__x000a_Intente de nuevo." promptTitle="Seleccionar" prompt="SI o NO" sqref="H21:AI22">
      <formula1>"SI, NO"</formula1>
    </dataValidation>
    <dataValidation allowBlank="1" showInputMessage="1" showErrorMessage="1" promptTitle="Información" prompt="Medios de verificación" sqref="AP23:AX26 C23:AI26"/>
    <dataValidation allowBlank="1" showInputMessage="1" showErrorMessage="1" promptTitle="Información" prompt="Hitos de aplicación" sqref="H13:AI20"/>
    <dataValidation allowBlank="1" showInputMessage="1" showErrorMessage="1" promptTitle="Información" prompt="Indicador de la actividad" sqref="AJ13:AO26"/>
    <dataValidation allowBlank="1" showInputMessage="1" showErrorMessage="1" promptTitle="Información" prompt="Actividad ambiental" sqref="C13:G22"/>
    <dataValidation allowBlank="1" showInputMessage="1" showErrorMessage="1" promptTitle="Ingrese" prompt="Describir principales aspectos que facilitaron que la IIEE llegara a este logro, así como dificultades." sqref="AP13:AX2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7" tint="-0.249977111117893"/>
    <pageSetUpPr fitToPage="1"/>
  </sheetPr>
  <dimension ref="A1:AY49"/>
  <sheetViews>
    <sheetView showGridLines="0" zoomScaleNormal="100" zoomScaleSheetLayoutView="100" workbookViewId="0">
      <selection activeCell="C46" sqref="C46:AX47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15" t="str">
        <f>LISTAS!AI24</f>
        <v/>
      </c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  <c r="W9" s="316"/>
      <c r="X9" s="316"/>
      <c r="Y9" s="316"/>
      <c r="Z9" s="316"/>
      <c r="AA9" s="316"/>
      <c r="AB9" s="316"/>
      <c r="AC9" s="316"/>
      <c r="AD9" s="316"/>
      <c r="AE9" s="316"/>
      <c r="AF9" s="316"/>
      <c r="AG9" s="316"/>
      <c r="AH9" s="316"/>
      <c r="AI9" s="316"/>
      <c r="AJ9" s="316"/>
      <c r="AK9" s="316"/>
      <c r="AL9" s="316"/>
      <c r="AM9" s="316"/>
      <c r="AN9" s="316"/>
      <c r="AO9" s="316"/>
      <c r="AP9" s="316"/>
      <c r="AQ9" s="316"/>
      <c r="AR9" s="316"/>
      <c r="AS9" s="316"/>
      <c r="AT9" s="316"/>
      <c r="AU9" s="316"/>
      <c r="AV9" s="316"/>
      <c r="AW9" s="316"/>
      <c r="AX9" s="316"/>
      <c r="AY9" s="9"/>
    </row>
    <row r="10" spans="1:51" ht="9" customHeight="1" x14ac:dyDescent="0.2">
      <c r="B10" s="7"/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9"/>
    </row>
    <row r="11" spans="1:51" ht="12" customHeight="1" x14ac:dyDescent="0.2">
      <c r="B11" s="7"/>
      <c r="C11" s="319" t="s">
        <v>1793</v>
      </c>
      <c r="D11" s="320"/>
      <c r="E11" s="320"/>
      <c r="F11" s="320"/>
      <c r="G11" s="320"/>
      <c r="H11" s="321" t="s">
        <v>1794</v>
      </c>
      <c r="I11" s="322"/>
      <c r="J11" s="322"/>
      <c r="K11" s="322"/>
      <c r="L11" s="322"/>
      <c r="M11" s="322"/>
      <c r="N11" s="322"/>
      <c r="O11" s="322"/>
      <c r="P11" s="322"/>
      <c r="Q11" s="322"/>
      <c r="R11" s="322"/>
      <c r="S11" s="322"/>
      <c r="T11" s="322"/>
      <c r="U11" s="322"/>
      <c r="V11" s="322"/>
      <c r="W11" s="322"/>
      <c r="X11" s="322"/>
      <c r="Y11" s="322"/>
      <c r="Z11" s="322"/>
      <c r="AA11" s="322"/>
      <c r="AB11" s="322"/>
      <c r="AC11" s="322"/>
      <c r="AD11" s="322"/>
      <c r="AE11" s="322"/>
      <c r="AF11" s="324"/>
      <c r="AG11" s="324"/>
      <c r="AH11" s="324"/>
      <c r="AI11" s="323"/>
      <c r="AJ11" s="319" t="s">
        <v>1800</v>
      </c>
      <c r="AK11" s="320"/>
      <c r="AL11" s="320"/>
      <c r="AM11" s="320"/>
      <c r="AN11" s="320"/>
      <c r="AO11" s="320"/>
      <c r="AP11" s="319" t="s">
        <v>1801</v>
      </c>
      <c r="AQ11" s="320"/>
      <c r="AR11" s="320"/>
      <c r="AS11" s="320"/>
      <c r="AT11" s="320"/>
      <c r="AU11" s="320"/>
      <c r="AV11" s="320"/>
      <c r="AW11" s="320"/>
      <c r="AX11" s="320"/>
      <c r="AY11" s="9"/>
    </row>
    <row r="12" spans="1:51" ht="9.9499999999999993" customHeight="1" x14ac:dyDescent="0.2">
      <c r="B12" s="7"/>
      <c r="C12" s="320"/>
      <c r="D12" s="320"/>
      <c r="E12" s="320"/>
      <c r="F12" s="320"/>
      <c r="G12" s="320"/>
      <c r="H12" s="321" t="s">
        <v>1795</v>
      </c>
      <c r="I12" s="322"/>
      <c r="J12" s="322"/>
      <c r="K12" s="322"/>
      <c r="L12" s="322"/>
      <c r="M12" s="322"/>
      <c r="N12" s="323"/>
      <c r="O12" s="321" t="s">
        <v>1796</v>
      </c>
      <c r="P12" s="322"/>
      <c r="Q12" s="322"/>
      <c r="R12" s="322"/>
      <c r="S12" s="322"/>
      <c r="T12" s="322"/>
      <c r="U12" s="323"/>
      <c r="V12" s="321" t="s">
        <v>1797</v>
      </c>
      <c r="W12" s="322"/>
      <c r="X12" s="322"/>
      <c r="Y12" s="322"/>
      <c r="Z12" s="322"/>
      <c r="AA12" s="322"/>
      <c r="AB12" s="323"/>
      <c r="AC12" s="321" t="s">
        <v>1798</v>
      </c>
      <c r="AD12" s="322"/>
      <c r="AE12" s="322"/>
      <c r="AF12" s="322"/>
      <c r="AG12" s="322"/>
      <c r="AH12" s="322"/>
      <c r="AI12" s="323"/>
      <c r="AJ12" s="320"/>
      <c r="AK12" s="320"/>
      <c r="AL12" s="320"/>
      <c r="AM12" s="320"/>
      <c r="AN12" s="320"/>
      <c r="AO12" s="320"/>
      <c r="AP12" s="320"/>
      <c r="AQ12" s="320"/>
      <c r="AR12" s="320"/>
      <c r="AS12" s="320"/>
      <c r="AT12" s="320"/>
      <c r="AU12" s="320"/>
      <c r="AV12" s="320"/>
      <c r="AW12" s="320"/>
      <c r="AX12" s="320"/>
      <c r="AY12" s="9"/>
    </row>
    <row r="13" spans="1:51" ht="11.45" customHeight="1" x14ac:dyDescent="0.2">
      <c r="B13" s="7"/>
      <c r="C13" s="317" t="str">
        <f>LISTAS!AJ24</f>
        <v>16. LA I.E. implementó un PEAI como recurso pedagógico y para el desarrollo de la conciencia ambiental y sobre la salud.</v>
      </c>
      <c r="D13" s="318"/>
      <c r="E13" s="318"/>
      <c r="F13" s="318"/>
      <c r="G13" s="318"/>
      <c r="H13" s="334" t="str">
        <f>LISTAS!AK24</f>
        <v xml:space="preserve">El PEAI fue incluido en el PAT. </v>
      </c>
      <c r="I13" s="335"/>
      <c r="J13" s="335"/>
      <c r="K13" s="335"/>
      <c r="L13" s="335"/>
      <c r="M13" s="335"/>
      <c r="N13" s="336"/>
      <c r="O13" s="334" t="str">
        <f>LISTAS!AL24</f>
        <v xml:space="preserve">La I.E. implementó el PEAI con actividades pedagógicas articuladas mínimo a tres áreas curriculares. </v>
      </c>
      <c r="P13" s="335"/>
      <c r="Q13" s="335"/>
      <c r="R13" s="335"/>
      <c r="S13" s="335"/>
      <c r="T13" s="335"/>
      <c r="U13" s="336"/>
      <c r="V13" s="334" t="str">
        <f>LISTAS!AM24</f>
        <v>La I.E. implementó actividades institucionales para la ejecución del PEAI a lo largo de todo el año escolar.</v>
      </c>
      <c r="W13" s="335"/>
      <c r="X13" s="335"/>
      <c r="Y13" s="335"/>
      <c r="Z13" s="335"/>
      <c r="AA13" s="335"/>
      <c r="AB13" s="336"/>
      <c r="AC13" s="334" t="str">
        <f>LISTAS!AN24</f>
        <v>El PEAI se implementó con apoyo de instituciones del sector público y/o privado.</v>
      </c>
      <c r="AD13" s="335"/>
      <c r="AE13" s="335"/>
      <c r="AF13" s="335"/>
      <c r="AG13" s="335"/>
      <c r="AH13" s="335"/>
      <c r="AI13" s="336"/>
      <c r="AJ13" s="338" t="str">
        <f>LISTAS!AO24</f>
        <v>N° de hitos de aplicación del enfoque ambiental puestos en práctica en la implementación del PEAI.</v>
      </c>
      <c r="AK13" s="339"/>
      <c r="AL13" s="339"/>
      <c r="AM13" s="339"/>
      <c r="AN13" s="339"/>
      <c r="AO13" s="340"/>
      <c r="AP13" s="350"/>
      <c r="AQ13" s="351"/>
      <c r="AR13" s="351"/>
      <c r="AS13" s="351"/>
      <c r="AT13" s="351"/>
      <c r="AU13" s="351"/>
      <c r="AV13" s="351"/>
      <c r="AW13" s="351"/>
      <c r="AX13" s="351"/>
      <c r="AY13" s="9"/>
    </row>
    <row r="14" spans="1:51" ht="11.45" customHeight="1" x14ac:dyDescent="0.2">
      <c r="B14" s="7"/>
      <c r="C14" s="318"/>
      <c r="D14" s="318"/>
      <c r="E14" s="318"/>
      <c r="F14" s="318"/>
      <c r="G14" s="318"/>
      <c r="H14" s="337"/>
      <c r="I14" s="335"/>
      <c r="J14" s="335"/>
      <c r="K14" s="335"/>
      <c r="L14" s="335"/>
      <c r="M14" s="335"/>
      <c r="N14" s="336"/>
      <c r="O14" s="337"/>
      <c r="P14" s="335"/>
      <c r="Q14" s="335"/>
      <c r="R14" s="335"/>
      <c r="S14" s="335"/>
      <c r="T14" s="335"/>
      <c r="U14" s="336"/>
      <c r="V14" s="337"/>
      <c r="W14" s="335"/>
      <c r="X14" s="335"/>
      <c r="Y14" s="335"/>
      <c r="Z14" s="335"/>
      <c r="AA14" s="335"/>
      <c r="AB14" s="336"/>
      <c r="AC14" s="337"/>
      <c r="AD14" s="335"/>
      <c r="AE14" s="335"/>
      <c r="AF14" s="335"/>
      <c r="AG14" s="335"/>
      <c r="AH14" s="335"/>
      <c r="AI14" s="336"/>
      <c r="AJ14" s="341"/>
      <c r="AK14" s="342"/>
      <c r="AL14" s="342"/>
      <c r="AM14" s="342"/>
      <c r="AN14" s="342"/>
      <c r="AO14" s="343"/>
      <c r="AP14" s="351"/>
      <c r="AQ14" s="351"/>
      <c r="AR14" s="351"/>
      <c r="AS14" s="351"/>
      <c r="AT14" s="351"/>
      <c r="AU14" s="351"/>
      <c r="AV14" s="351"/>
      <c r="AW14" s="351"/>
      <c r="AX14" s="351"/>
      <c r="AY14" s="9"/>
    </row>
    <row r="15" spans="1:51" ht="11.45" customHeight="1" x14ac:dyDescent="0.2">
      <c r="B15" s="7"/>
      <c r="C15" s="318"/>
      <c r="D15" s="318"/>
      <c r="E15" s="318"/>
      <c r="F15" s="318"/>
      <c r="G15" s="318"/>
      <c r="H15" s="337"/>
      <c r="I15" s="335"/>
      <c r="J15" s="335"/>
      <c r="K15" s="335"/>
      <c r="L15" s="335"/>
      <c r="M15" s="335"/>
      <c r="N15" s="336"/>
      <c r="O15" s="337"/>
      <c r="P15" s="335"/>
      <c r="Q15" s="335"/>
      <c r="R15" s="335"/>
      <c r="S15" s="335"/>
      <c r="T15" s="335"/>
      <c r="U15" s="336"/>
      <c r="V15" s="337"/>
      <c r="W15" s="335"/>
      <c r="X15" s="335"/>
      <c r="Y15" s="335"/>
      <c r="Z15" s="335"/>
      <c r="AA15" s="335"/>
      <c r="AB15" s="336"/>
      <c r="AC15" s="337"/>
      <c r="AD15" s="335"/>
      <c r="AE15" s="335"/>
      <c r="AF15" s="335"/>
      <c r="AG15" s="335"/>
      <c r="AH15" s="335"/>
      <c r="AI15" s="336"/>
      <c r="AJ15" s="341"/>
      <c r="AK15" s="342"/>
      <c r="AL15" s="342"/>
      <c r="AM15" s="342"/>
      <c r="AN15" s="342"/>
      <c r="AO15" s="343"/>
      <c r="AP15" s="351"/>
      <c r="AQ15" s="351"/>
      <c r="AR15" s="351"/>
      <c r="AS15" s="351"/>
      <c r="AT15" s="351"/>
      <c r="AU15" s="351"/>
      <c r="AV15" s="351"/>
      <c r="AW15" s="351"/>
      <c r="AX15" s="351"/>
      <c r="AY15" s="9"/>
    </row>
    <row r="16" spans="1:51" ht="11.45" customHeight="1" x14ac:dyDescent="0.2">
      <c r="B16" s="7"/>
      <c r="C16" s="318"/>
      <c r="D16" s="318"/>
      <c r="E16" s="318"/>
      <c r="F16" s="318"/>
      <c r="G16" s="318"/>
      <c r="H16" s="337"/>
      <c r="I16" s="335"/>
      <c r="J16" s="335"/>
      <c r="K16" s="335"/>
      <c r="L16" s="335"/>
      <c r="M16" s="335"/>
      <c r="N16" s="336"/>
      <c r="O16" s="337"/>
      <c r="P16" s="335"/>
      <c r="Q16" s="335"/>
      <c r="R16" s="335"/>
      <c r="S16" s="335"/>
      <c r="T16" s="335"/>
      <c r="U16" s="336"/>
      <c r="V16" s="337"/>
      <c r="W16" s="335"/>
      <c r="X16" s="335"/>
      <c r="Y16" s="335"/>
      <c r="Z16" s="335"/>
      <c r="AA16" s="335"/>
      <c r="AB16" s="336"/>
      <c r="AC16" s="337"/>
      <c r="AD16" s="335"/>
      <c r="AE16" s="335"/>
      <c r="AF16" s="335"/>
      <c r="AG16" s="335"/>
      <c r="AH16" s="335"/>
      <c r="AI16" s="336"/>
      <c r="AJ16" s="341"/>
      <c r="AK16" s="342"/>
      <c r="AL16" s="342"/>
      <c r="AM16" s="342"/>
      <c r="AN16" s="342"/>
      <c r="AO16" s="343"/>
      <c r="AP16" s="351"/>
      <c r="AQ16" s="351"/>
      <c r="AR16" s="351"/>
      <c r="AS16" s="351"/>
      <c r="AT16" s="351"/>
      <c r="AU16" s="351"/>
      <c r="AV16" s="351"/>
      <c r="AW16" s="351"/>
      <c r="AX16" s="351"/>
      <c r="AY16" s="9"/>
    </row>
    <row r="17" spans="2:51" ht="11.45" customHeight="1" x14ac:dyDescent="0.2">
      <c r="B17" s="7"/>
      <c r="C17" s="318"/>
      <c r="D17" s="318"/>
      <c r="E17" s="318"/>
      <c r="F17" s="318"/>
      <c r="G17" s="318"/>
      <c r="H17" s="337"/>
      <c r="I17" s="335"/>
      <c r="J17" s="335"/>
      <c r="K17" s="335"/>
      <c r="L17" s="335"/>
      <c r="M17" s="335"/>
      <c r="N17" s="336"/>
      <c r="O17" s="337"/>
      <c r="P17" s="335"/>
      <c r="Q17" s="335"/>
      <c r="R17" s="335"/>
      <c r="S17" s="335"/>
      <c r="T17" s="335"/>
      <c r="U17" s="336"/>
      <c r="V17" s="337"/>
      <c r="W17" s="335"/>
      <c r="X17" s="335"/>
      <c r="Y17" s="335"/>
      <c r="Z17" s="335"/>
      <c r="AA17" s="335"/>
      <c r="AB17" s="336"/>
      <c r="AC17" s="337"/>
      <c r="AD17" s="335"/>
      <c r="AE17" s="335"/>
      <c r="AF17" s="335"/>
      <c r="AG17" s="335"/>
      <c r="AH17" s="335"/>
      <c r="AI17" s="336"/>
      <c r="AJ17" s="341"/>
      <c r="AK17" s="342"/>
      <c r="AL17" s="342"/>
      <c r="AM17" s="342"/>
      <c r="AN17" s="342"/>
      <c r="AO17" s="343"/>
      <c r="AP17" s="351"/>
      <c r="AQ17" s="351"/>
      <c r="AR17" s="351"/>
      <c r="AS17" s="351"/>
      <c r="AT17" s="351"/>
      <c r="AU17" s="351"/>
      <c r="AV17" s="351"/>
      <c r="AW17" s="351"/>
      <c r="AX17" s="351"/>
      <c r="AY17" s="9"/>
    </row>
    <row r="18" spans="2:51" ht="11.45" customHeight="1" x14ac:dyDescent="0.2">
      <c r="B18" s="7"/>
      <c r="C18" s="318"/>
      <c r="D18" s="318"/>
      <c r="E18" s="318"/>
      <c r="F18" s="318"/>
      <c r="G18" s="318"/>
      <c r="H18" s="337"/>
      <c r="I18" s="335"/>
      <c r="J18" s="335"/>
      <c r="K18" s="335"/>
      <c r="L18" s="335"/>
      <c r="M18" s="335"/>
      <c r="N18" s="336"/>
      <c r="O18" s="337"/>
      <c r="P18" s="335"/>
      <c r="Q18" s="335"/>
      <c r="R18" s="335"/>
      <c r="S18" s="335"/>
      <c r="T18" s="335"/>
      <c r="U18" s="336"/>
      <c r="V18" s="337"/>
      <c r="W18" s="335"/>
      <c r="X18" s="335"/>
      <c r="Y18" s="335"/>
      <c r="Z18" s="335"/>
      <c r="AA18" s="335"/>
      <c r="AB18" s="336"/>
      <c r="AC18" s="337"/>
      <c r="AD18" s="335"/>
      <c r="AE18" s="335"/>
      <c r="AF18" s="335"/>
      <c r="AG18" s="335"/>
      <c r="AH18" s="335"/>
      <c r="AI18" s="336"/>
      <c r="AJ18" s="341"/>
      <c r="AK18" s="342"/>
      <c r="AL18" s="342"/>
      <c r="AM18" s="342"/>
      <c r="AN18" s="342"/>
      <c r="AO18" s="343"/>
      <c r="AP18" s="351"/>
      <c r="AQ18" s="351"/>
      <c r="AR18" s="351"/>
      <c r="AS18" s="351"/>
      <c r="AT18" s="351"/>
      <c r="AU18" s="351"/>
      <c r="AV18" s="351"/>
      <c r="AW18" s="351"/>
      <c r="AX18" s="351"/>
      <c r="AY18" s="9"/>
    </row>
    <row r="19" spans="2:51" ht="11.45" customHeight="1" x14ac:dyDescent="0.2">
      <c r="B19" s="7"/>
      <c r="C19" s="318"/>
      <c r="D19" s="318"/>
      <c r="E19" s="318"/>
      <c r="F19" s="318"/>
      <c r="G19" s="318"/>
      <c r="H19" s="337"/>
      <c r="I19" s="335"/>
      <c r="J19" s="335"/>
      <c r="K19" s="335"/>
      <c r="L19" s="335"/>
      <c r="M19" s="335"/>
      <c r="N19" s="336"/>
      <c r="O19" s="337"/>
      <c r="P19" s="335"/>
      <c r="Q19" s="335"/>
      <c r="R19" s="335"/>
      <c r="S19" s="335"/>
      <c r="T19" s="335"/>
      <c r="U19" s="336"/>
      <c r="V19" s="337"/>
      <c r="W19" s="335"/>
      <c r="X19" s="335"/>
      <c r="Y19" s="335"/>
      <c r="Z19" s="335"/>
      <c r="AA19" s="335"/>
      <c r="AB19" s="336"/>
      <c r="AC19" s="337"/>
      <c r="AD19" s="335"/>
      <c r="AE19" s="335"/>
      <c r="AF19" s="335"/>
      <c r="AG19" s="335"/>
      <c r="AH19" s="335"/>
      <c r="AI19" s="336"/>
      <c r="AJ19" s="341"/>
      <c r="AK19" s="342"/>
      <c r="AL19" s="342"/>
      <c r="AM19" s="342"/>
      <c r="AN19" s="342"/>
      <c r="AO19" s="343"/>
      <c r="AP19" s="351"/>
      <c r="AQ19" s="351"/>
      <c r="AR19" s="351"/>
      <c r="AS19" s="351"/>
      <c r="AT19" s="351"/>
      <c r="AU19" s="351"/>
      <c r="AV19" s="351"/>
      <c r="AW19" s="351"/>
      <c r="AX19" s="351"/>
      <c r="AY19" s="9"/>
    </row>
    <row r="20" spans="2:51" ht="25.5" customHeight="1" x14ac:dyDescent="0.2">
      <c r="B20" s="7"/>
      <c r="C20" s="318"/>
      <c r="D20" s="318"/>
      <c r="E20" s="318"/>
      <c r="F20" s="318"/>
      <c r="G20" s="318"/>
      <c r="H20" s="337"/>
      <c r="I20" s="335"/>
      <c r="J20" s="335"/>
      <c r="K20" s="335"/>
      <c r="L20" s="335"/>
      <c r="M20" s="335"/>
      <c r="N20" s="336"/>
      <c r="O20" s="337"/>
      <c r="P20" s="335"/>
      <c r="Q20" s="335"/>
      <c r="R20" s="335"/>
      <c r="S20" s="335"/>
      <c r="T20" s="335"/>
      <c r="U20" s="336"/>
      <c r="V20" s="337"/>
      <c r="W20" s="335"/>
      <c r="X20" s="335"/>
      <c r="Y20" s="335"/>
      <c r="Z20" s="335"/>
      <c r="AA20" s="335"/>
      <c r="AB20" s="336"/>
      <c r="AC20" s="337"/>
      <c r="AD20" s="335"/>
      <c r="AE20" s="335"/>
      <c r="AF20" s="335"/>
      <c r="AG20" s="335"/>
      <c r="AH20" s="335"/>
      <c r="AI20" s="336"/>
      <c r="AJ20" s="341"/>
      <c r="AK20" s="342"/>
      <c r="AL20" s="342"/>
      <c r="AM20" s="342"/>
      <c r="AN20" s="342"/>
      <c r="AO20" s="343"/>
      <c r="AP20" s="351"/>
      <c r="AQ20" s="351"/>
      <c r="AR20" s="351"/>
      <c r="AS20" s="351"/>
      <c r="AT20" s="351"/>
      <c r="AU20" s="351"/>
      <c r="AV20" s="351"/>
      <c r="AW20" s="351"/>
      <c r="AX20" s="351"/>
      <c r="AY20" s="9"/>
    </row>
    <row r="21" spans="2:51" ht="6.95" customHeight="1" x14ac:dyDescent="0.2">
      <c r="B21" s="7"/>
      <c r="C21" s="318"/>
      <c r="D21" s="318"/>
      <c r="E21" s="318"/>
      <c r="F21" s="318"/>
      <c r="G21" s="318"/>
      <c r="H21" s="325"/>
      <c r="I21" s="326"/>
      <c r="J21" s="326"/>
      <c r="K21" s="326"/>
      <c r="L21" s="326"/>
      <c r="M21" s="326"/>
      <c r="N21" s="327"/>
      <c r="O21" s="325"/>
      <c r="P21" s="326"/>
      <c r="Q21" s="326"/>
      <c r="R21" s="326"/>
      <c r="S21" s="326"/>
      <c r="T21" s="326"/>
      <c r="U21" s="327"/>
      <c r="V21" s="325"/>
      <c r="W21" s="326"/>
      <c r="X21" s="326"/>
      <c r="Y21" s="326"/>
      <c r="Z21" s="326"/>
      <c r="AA21" s="326"/>
      <c r="AB21" s="327"/>
      <c r="AC21" s="325"/>
      <c r="AD21" s="326"/>
      <c r="AE21" s="326"/>
      <c r="AF21" s="326"/>
      <c r="AG21" s="326"/>
      <c r="AH21" s="326"/>
      <c r="AI21" s="327"/>
      <c r="AJ21" s="341"/>
      <c r="AK21" s="342"/>
      <c r="AL21" s="342"/>
      <c r="AM21" s="342"/>
      <c r="AN21" s="342"/>
      <c r="AO21" s="343"/>
      <c r="AP21" s="351"/>
      <c r="AQ21" s="351"/>
      <c r="AR21" s="351"/>
      <c r="AS21" s="351"/>
      <c r="AT21" s="351"/>
      <c r="AU21" s="351"/>
      <c r="AV21" s="351"/>
      <c r="AW21" s="351"/>
      <c r="AX21" s="351"/>
      <c r="AY21" s="9"/>
    </row>
    <row r="22" spans="2:51" ht="6.95" customHeight="1" x14ac:dyDescent="0.2">
      <c r="B22" s="7"/>
      <c r="C22" s="318"/>
      <c r="D22" s="318"/>
      <c r="E22" s="318"/>
      <c r="F22" s="318"/>
      <c r="G22" s="318"/>
      <c r="H22" s="328"/>
      <c r="I22" s="326"/>
      <c r="J22" s="326"/>
      <c r="K22" s="326"/>
      <c r="L22" s="326"/>
      <c r="M22" s="326"/>
      <c r="N22" s="327"/>
      <c r="O22" s="328"/>
      <c r="P22" s="326"/>
      <c r="Q22" s="326"/>
      <c r="R22" s="326"/>
      <c r="S22" s="326"/>
      <c r="T22" s="326"/>
      <c r="U22" s="327"/>
      <c r="V22" s="328"/>
      <c r="W22" s="326"/>
      <c r="X22" s="326"/>
      <c r="Y22" s="326"/>
      <c r="Z22" s="326"/>
      <c r="AA22" s="326"/>
      <c r="AB22" s="327"/>
      <c r="AC22" s="328"/>
      <c r="AD22" s="326"/>
      <c r="AE22" s="326"/>
      <c r="AF22" s="326"/>
      <c r="AG22" s="326"/>
      <c r="AH22" s="326"/>
      <c r="AI22" s="327"/>
      <c r="AJ22" s="341"/>
      <c r="AK22" s="342"/>
      <c r="AL22" s="342"/>
      <c r="AM22" s="342"/>
      <c r="AN22" s="342"/>
      <c r="AO22" s="343"/>
      <c r="AP22" s="351"/>
      <c r="AQ22" s="351"/>
      <c r="AR22" s="351"/>
      <c r="AS22" s="351"/>
      <c r="AT22" s="351"/>
      <c r="AU22" s="351"/>
      <c r="AV22" s="351"/>
      <c r="AW22" s="351"/>
      <c r="AX22" s="351"/>
      <c r="AY22" s="9"/>
    </row>
    <row r="23" spans="2:51" ht="11.45" customHeight="1" x14ac:dyDescent="0.2">
      <c r="B23" s="7"/>
      <c r="C23" s="360" t="s">
        <v>4107</v>
      </c>
      <c r="D23" s="360"/>
      <c r="E23" s="360"/>
      <c r="F23" s="360"/>
      <c r="G23" s="360"/>
      <c r="H23" s="329" t="str">
        <f>LISTAS!AP24</f>
        <v>PAT.</v>
      </c>
      <c r="I23" s="330"/>
      <c r="J23" s="330"/>
      <c r="K23" s="330"/>
      <c r="L23" s="330"/>
      <c r="M23" s="330"/>
      <c r="N23" s="330"/>
      <c r="O23" s="329" t="str">
        <f>LISTAS!AQ24</f>
        <v>Plan de Trabajo del PEAI. PCI.</v>
      </c>
      <c r="P23" s="330"/>
      <c r="Q23" s="330"/>
      <c r="R23" s="330"/>
      <c r="S23" s="330"/>
      <c r="T23" s="330"/>
      <c r="U23" s="330"/>
      <c r="V23" s="329" t="str">
        <f>LISTAS!AR24</f>
        <v>PAT.</v>
      </c>
      <c r="W23" s="330"/>
      <c r="X23" s="330"/>
      <c r="Y23" s="330"/>
      <c r="Z23" s="330"/>
      <c r="AA23" s="330"/>
      <c r="AB23" s="330"/>
      <c r="AC23" s="329" t="str">
        <f>LISTAS!AS24</f>
        <v>Documentos administrativos: Cartas, Oficios, Memo. Actas, Convenios, Acuerdos.</v>
      </c>
      <c r="AD23" s="330"/>
      <c r="AE23" s="330"/>
      <c r="AF23" s="330"/>
      <c r="AG23" s="330"/>
      <c r="AH23" s="330"/>
      <c r="AI23" s="330"/>
      <c r="AJ23" s="344"/>
      <c r="AK23" s="345"/>
      <c r="AL23" s="345"/>
      <c r="AM23" s="345"/>
      <c r="AN23" s="345"/>
      <c r="AO23" s="346"/>
      <c r="AP23" s="329" t="s">
        <v>3721</v>
      </c>
      <c r="AQ23" s="329"/>
      <c r="AR23" s="329"/>
      <c r="AS23" s="329"/>
      <c r="AT23" s="329"/>
      <c r="AU23" s="329"/>
      <c r="AV23" s="329"/>
      <c r="AW23" s="329"/>
      <c r="AX23" s="329"/>
      <c r="AY23" s="9"/>
    </row>
    <row r="24" spans="2:51" ht="11.45" customHeight="1" x14ac:dyDescent="0.2">
      <c r="B24" s="7"/>
      <c r="C24" s="361"/>
      <c r="D24" s="361"/>
      <c r="E24" s="361"/>
      <c r="F24" s="361"/>
      <c r="G24" s="361"/>
      <c r="H24" s="331"/>
      <c r="I24" s="332"/>
      <c r="J24" s="332"/>
      <c r="K24" s="332"/>
      <c r="L24" s="332"/>
      <c r="M24" s="332"/>
      <c r="N24" s="332"/>
      <c r="O24" s="331"/>
      <c r="P24" s="332"/>
      <c r="Q24" s="332"/>
      <c r="R24" s="332"/>
      <c r="S24" s="332"/>
      <c r="T24" s="332"/>
      <c r="U24" s="332"/>
      <c r="V24" s="331"/>
      <c r="W24" s="332"/>
      <c r="X24" s="332"/>
      <c r="Y24" s="332"/>
      <c r="Z24" s="332"/>
      <c r="AA24" s="332"/>
      <c r="AB24" s="332"/>
      <c r="AC24" s="331"/>
      <c r="AD24" s="332"/>
      <c r="AE24" s="332"/>
      <c r="AF24" s="332"/>
      <c r="AG24" s="332"/>
      <c r="AH24" s="332"/>
      <c r="AI24" s="332"/>
      <c r="AJ24" s="344"/>
      <c r="AK24" s="345"/>
      <c r="AL24" s="345"/>
      <c r="AM24" s="345"/>
      <c r="AN24" s="345"/>
      <c r="AO24" s="346"/>
      <c r="AP24" s="331"/>
      <c r="AQ24" s="331"/>
      <c r="AR24" s="331"/>
      <c r="AS24" s="331"/>
      <c r="AT24" s="331"/>
      <c r="AU24" s="331"/>
      <c r="AV24" s="331"/>
      <c r="AW24" s="331"/>
      <c r="AX24" s="331"/>
      <c r="AY24" s="9"/>
    </row>
    <row r="25" spans="2:51" ht="11.45" customHeight="1" x14ac:dyDescent="0.2">
      <c r="B25" s="7"/>
      <c r="C25" s="361"/>
      <c r="D25" s="361"/>
      <c r="E25" s="361"/>
      <c r="F25" s="361"/>
      <c r="G25" s="361"/>
      <c r="H25" s="331"/>
      <c r="I25" s="332"/>
      <c r="J25" s="332"/>
      <c r="K25" s="332"/>
      <c r="L25" s="332"/>
      <c r="M25" s="332"/>
      <c r="N25" s="332"/>
      <c r="O25" s="331"/>
      <c r="P25" s="332"/>
      <c r="Q25" s="332"/>
      <c r="R25" s="332"/>
      <c r="S25" s="332"/>
      <c r="T25" s="332"/>
      <c r="U25" s="332"/>
      <c r="V25" s="331"/>
      <c r="W25" s="332"/>
      <c r="X25" s="332"/>
      <c r="Y25" s="332"/>
      <c r="Z25" s="332"/>
      <c r="AA25" s="332"/>
      <c r="AB25" s="332"/>
      <c r="AC25" s="331"/>
      <c r="AD25" s="332"/>
      <c r="AE25" s="332"/>
      <c r="AF25" s="332"/>
      <c r="AG25" s="332"/>
      <c r="AH25" s="332"/>
      <c r="AI25" s="332"/>
      <c r="AJ25" s="344"/>
      <c r="AK25" s="345"/>
      <c r="AL25" s="345"/>
      <c r="AM25" s="345"/>
      <c r="AN25" s="345"/>
      <c r="AO25" s="346"/>
      <c r="AP25" s="331"/>
      <c r="AQ25" s="331"/>
      <c r="AR25" s="331"/>
      <c r="AS25" s="331"/>
      <c r="AT25" s="331"/>
      <c r="AU25" s="331"/>
      <c r="AV25" s="331"/>
      <c r="AW25" s="331"/>
      <c r="AX25" s="331"/>
      <c r="AY25" s="9"/>
    </row>
    <row r="26" spans="2:51" ht="11.45" customHeight="1" x14ac:dyDescent="0.2">
      <c r="B26" s="7"/>
      <c r="C26" s="362"/>
      <c r="D26" s="362"/>
      <c r="E26" s="362"/>
      <c r="F26" s="362"/>
      <c r="G26" s="362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3"/>
      <c r="AC26" s="333"/>
      <c r="AD26" s="333"/>
      <c r="AE26" s="333"/>
      <c r="AF26" s="333"/>
      <c r="AG26" s="333"/>
      <c r="AH26" s="333"/>
      <c r="AI26" s="333"/>
      <c r="AJ26" s="347"/>
      <c r="AK26" s="348"/>
      <c r="AL26" s="348"/>
      <c r="AM26" s="348"/>
      <c r="AN26" s="348"/>
      <c r="AO26" s="349"/>
      <c r="AP26" s="352"/>
      <c r="AQ26" s="352"/>
      <c r="AR26" s="352"/>
      <c r="AS26" s="352"/>
      <c r="AT26" s="352"/>
      <c r="AU26" s="352"/>
      <c r="AV26" s="352"/>
      <c r="AW26" s="352"/>
      <c r="AX26" s="352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55"/>
      <c r="D28" s="56"/>
      <c r="E28" s="56"/>
      <c r="F28" s="56"/>
      <c r="G28" s="56"/>
      <c r="H28" s="57"/>
      <c r="I28" s="58"/>
      <c r="J28" s="58"/>
      <c r="K28" s="58"/>
      <c r="L28" s="58"/>
      <c r="M28" s="58"/>
      <c r="N28" s="48"/>
      <c r="O28" s="57"/>
      <c r="P28" s="58"/>
      <c r="Q28" s="58"/>
      <c r="R28" s="58"/>
      <c r="S28" s="58"/>
      <c r="T28" s="58"/>
      <c r="U28" s="48"/>
      <c r="V28" s="57"/>
      <c r="W28" s="58"/>
      <c r="X28" s="58"/>
      <c r="Y28" s="58"/>
      <c r="Z28" s="58"/>
      <c r="AA28" s="58"/>
      <c r="AB28" s="48"/>
      <c r="AC28" s="57"/>
      <c r="AD28" s="58"/>
      <c r="AE28" s="58"/>
      <c r="AF28" s="58"/>
      <c r="AG28" s="58"/>
      <c r="AH28" s="58"/>
      <c r="AI28" s="48"/>
      <c r="AJ28" s="59"/>
      <c r="AK28" s="60"/>
      <c r="AL28" s="60"/>
      <c r="AM28" s="60"/>
      <c r="AN28" s="60"/>
      <c r="AO28" s="61"/>
      <c r="AP28" s="62"/>
      <c r="AQ28" s="63"/>
      <c r="AR28" s="63"/>
      <c r="AS28" s="63"/>
      <c r="AT28" s="63"/>
      <c r="AU28" s="63"/>
      <c r="AV28" s="63"/>
      <c r="AW28" s="63"/>
      <c r="AX28" s="63"/>
      <c r="AY28" s="9"/>
    </row>
    <row r="29" spans="2:51" ht="11.45" customHeight="1" x14ac:dyDescent="0.2">
      <c r="B29" s="7"/>
      <c r="C29" s="56"/>
      <c r="D29" s="56"/>
      <c r="E29" s="56"/>
      <c r="F29" s="56"/>
      <c r="G29" s="56"/>
      <c r="H29" s="64"/>
      <c r="I29" s="58"/>
      <c r="J29" s="58"/>
      <c r="K29" s="58"/>
      <c r="L29" s="58"/>
      <c r="M29" s="58"/>
      <c r="N29" s="48"/>
      <c r="O29" s="64"/>
      <c r="P29" s="58"/>
      <c r="Q29" s="58"/>
      <c r="R29" s="58"/>
      <c r="S29" s="58"/>
      <c r="T29" s="58"/>
      <c r="U29" s="48"/>
      <c r="V29" s="64"/>
      <c r="W29" s="58"/>
      <c r="X29" s="58"/>
      <c r="Y29" s="58"/>
      <c r="Z29" s="58"/>
      <c r="AA29" s="58"/>
      <c r="AB29" s="48"/>
      <c r="AC29" s="64"/>
      <c r="AD29" s="58"/>
      <c r="AE29" s="58"/>
      <c r="AF29" s="58"/>
      <c r="AG29" s="58"/>
      <c r="AH29" s="58"/>
      <c r="AI29" s="48"/>
      <c r="AJ29" s="65"/>
      <c r="AK29" s="66"/>
      <c r="AL29" s="66"/>
      <c r="AM29" s="66"/>
      <c r="AN29" s="66"/>
      <c r="AO29" s="67"/>
      <c r="AP29" s="63"/>
      <c r="AQ29" s="63"/>
      <c r="AR29" s="63"/>
      <c r="AS29" s="63"/>
      <c r="AT29" s="63"/>
      <c r="AU29" s="63"/>
      <c r="AV29" s="63"/>
      <c r="AW29" s="63"/>
      <c r="AX29" s="63"/>
      <c r="AY29" s="9"/>
    </row>
    <row r="30" spans="2:51" ht="11.45" customHeight="1" x14ac:dyDescent="0.2">
      <c r="B30" s="7"/>
      <c r="C30" s="56"/>
      <c r="D30" s="56"/>
      <c r="E30" s="56"/>
      <c r="F30" s="56"/>
      <c r="G30" s="56"/>
      <c r="H30" s="64"/>
      <c r="I30" s="58"/>
      <c r="J30" s="58"/>
      <c r="K30" s="58"/>
      <c r="L30" s="58"/>
      <c r="M30" s="58"/>
      <c r="N30" s="48"/>
      <c r="O30" s="64"/>
      <c r="P30" s="58"/>
      <c r="Q30" s="58"/>
      <c r="R30" s="58"/>
      <c r="S30" s="58"/>
      <c r="T30" s="58"/>
      <c r="U30" s="48"/>
      <c r="V30" s="64"/>
      <c r="W30" s="58"/>
      <c r="X30" s="58"/>
      <c r="Y30" s="58"/>
      <c r="Z30" s="58"/>
      <c r="AA30" s="58"/>
      <c r="AB30" s="48"/>
      <c r="AC30" s="64"/>
      <c r="AD30" s="58"/>
      <c r="AE30" s="58"/>
      <c r="AF30" s="58"/>
      <c r="AG30" s="58"/>
      <c r="AH30" s="58"/>
      <c r="AI30" s="48"/>
      <c r="AJ30" s="65"/>
      <c r="AK30" s="66"/>
      <c r="AL30" s="66"/>
      <c r="AM30" s="66"/>
      <c r="AN30" s="66"/>
      <c r="AO30" s="67"/>
      <c r="AP30" s="63"/>
      <c r="AQ30" s="63"/>
      <c r="AR30" s="63"/>
      <c r="AS30" s="63"/>
      <c r="AT30" s="63"/>
      <c r="AU30" s="63"/>
      <c r="AV30" s="63"/>
      <c r="AW30" s="63"/>
      <c r="AX30" s="63"/>
      <c r="AY30" s="9"/>
    </row>
    <row r="31" spans="2:51" ht="11.45" customHeight="1" x14ac:dyDescent="0.2">
      <c r="B31" s="7"/>
      <c r="C31" s="56"/>
      <c r="D31" s="56"/>
      <c r="E31" s="56"/>
      <c r="F31" s="56"/>
      <c r="G31" s="56"/>
      <c r="H31" s="64"/>
      <c r="I31" s="58"/>
      <c r="J31" s="58"/>
      <c r="K31" s="58"/>
      <c r="L31" s="58"/>
      <c r="M31" s="58"/>
      <c r="N31" s="48"/>
      <c r="O31" s="64"/>
      <c r="P31" s="58"/>
      <c r="Q31" s="58"/>
      <c r="R31" s="58"/>
      <c r="S31" s="58"/>
      <c r="T31" s="58"/>
      <c r="U31" s="48"/>
      <c r="V31" s="64"/>
      <c r="W31" s="58"/>
      <c r="X31" s="58"/>
      <c r="Y31" s="58"/>
      <c r="Z31" s="58"/>
      <c r="AA31" s="58"/>
      <c r="AB31" s="48"/>
      <c r="AC31" s="64"/>
      <c r="AD31" s="58"/>
      <c r="AE31" s="58"/>
      <c r="AF31" s="58"/>
      <c r="AG31" s="58"/>
      <c r="AH31" s="58"/>
      <c r="AI31" s="48"/>
      <c r="AJ31" s="65"/>
      <c r="AK31" s="66"/>
      <c r="AL31" s="66"/>
      <c r="AM31" s="66"/>
      <c r="AN31" s="66"/>
      <c r="AO31" s="67"/>
      <c r="AP31" s="63"/>
      <c r="AQ31" s="63"/>
      <c r="AR31" s="63"/>
      <c r="AS31" s="63"/>
      <c r="AT31" s="63"/>
      <c r="AU31" s="63"/>
      <c r="AV31" s="63"/>
      <c r="AW31" s="63"/>
      <c r="AX31" s="63"/>
      <c r="AY31" s="9"/>
    </row>
    <row r="32" spans="2:51" ht="11.45" customHeight="1" x14ac:dyDescent="0.2">
      <c r="B32" s="7"/>
      <c r="C32" s="56"/>
      <c r="D32" s="56"/>
      <c r="E32" s="56"/>
      <c r="F32" s="56"/>
      <c r="G32" s="56"/>
      <c r="H32" s="64"/>
      <c r="I32" s="58"/>
      <c r="J32" s="58"/>
      <c r="K32" s="58"/>
      <c r="L32" s="58"/>
      <c r="M32" s="58"/>
      <c r="N32" s="48"/>
      <c r="O32" s="64"/>
      <c r="P32" s="58"/>
      <c r="Q32" s="58"/>
      <c r="R32" s="58"/>
      <c r="S32" s="58"/>
      <c r="T32" s="58"/>
      <c r="U32" s="48"/>
      <c r="V32" s="64"/>
      <c r="W32" s="58"/>
      <c r="X32" s="58"/>
      <c r="Y32" s="58"/>
      <c r="Z32" s="58"/>
      <c r="AA32" s="58"/>
      <c r="AB32" s="48"/>
      <c r="AC32" s="64"/>
      <c r="AD32" s="58"/>
      <c r="AE32" s="58"/>
      <c r="AF32" s="58"/>
      <c r="AG32" s="58"/>
      <c r="AH32" s="58"/>
      <c r="AI32" s="48"/>
      <c r="AJ32" s="65"/>
      <c r="AK32" s="66"/>
      <c r="AL32" s="66"/>
      <c r="AM32" s="66"/>
      <c r="AN32" s="66"/>
      <c r="AO32" s="67"/>
      <c r="AP32" s="63"/>
      <c r="AQ32" s="63"/>
      <c r="AR32" s="63"/>
      <c r="AS32" s="63"/>
      <c r="AT32" s="63"/>
      <c r="AU32" s="63"/>
      <c r="AV32" s="63"/>
      <c r="AW32" s="63"/>
      <c r="AX32" s="63"/>
      <c r="AY32" s="9"/>
    </row>
    <row r="33" spans="2:51" ht="11.45" customHeight="1" x14ac:dyDescent="0.2">
      <c r="B33" s="7"/>
      <c r="C33" s="56"/>
      <c r="D33" s="56"/>
      <c r="E33" s="56"/>
      <c r="F33" s="56"/>
      <c r="G33" s="56"/>
      <c r="H33" s="64"/>
      <c r="I33" s="58"/>
      <c r="J33" s="58"/>
      <c r="K33" s="58"/>
      <c r="L33" s="58"/>
      <c r="M33" s="58"/>
      <c r="N33" s="48"/>
      <c r="O33" s="64"/>
      <c r="P33" s="58"/>
      <c r="Q33" s="58"/>
      <c r="R33" s="58"/>
      <c r="S33" s="58"/>
      <c r="T33" s="58"/>
      <c r="U33" s="48"/>
      <c r="V33" s="64"/>
      <c r="W33" s="58"/>
      <c r="X33" s="58"/>
      <c r="Y33" s="58"/>
      <c r="Z33" s="58"/>
      <c r="AA33" s="58"/>
      <c r="AB33" s="48"/>
      <c r="AC33" s="64"/>
      <c r="AD33" s="58"/>
      <c r="AE33" s="58"/>
      <c r="AF33" s="58"/>
      <c r="AG33" s="58"/>
      <c r="AH33" s="58"/>
      <c r="AI33" s="48"/>
      <c r="AJ33" s="65"/>
      <c r="AK33" s="66"/>
      <c r="AL33" s="66"/>
      <c r="AM33" s="66"/>
      <c r="AN33" s="66"/>
      <c r="AO33" s="67"/>
      <c r="AP33" s="63"/>
      <c r="AQ33" s="63"/>
      <c r="AR33" s="63"/>
      <c r="AS33" s="63"/>
      <c r="AT33" s="63"/>
      <c r="AU33" s="63"/>
      <c r="AV33" s="63"/>
      <c r="AW33" s="63"/>
      <c r="AX33" s="63"/>
      <c r="AY33" s="9"/>
    </row>
    <row r="34" spans="2:51" ht="11.45" customHeight="1" x14ac:dyDescent="0.2">
      <c r="B34" s="7"/>
      <c r="C34" s="56"/>
      <c r="D34" s="56"/>
      <c r="E34" s="56"/>
      <c r="F34" s="56"/>
      <c r="G34" s="56"/>
      <c r="H34" s="64"/>
      <c r="I34" s="58"/>
      <c r="J34" s="58"/>
      <c r="K34" s="58"/>
      <c r="L34" s="58"/>
      <c r="M34" s="58"/>
      <c r="N34" s="48"/>
      <c r="O34" s="64"/>
      <c r="P34" s="58"/>
      <c r="Q34" s="58"/>
      <c r="R34" s="58"/>
      <c r="S34" s="58"/>
      <c r="T34" s="58"/>
      <c r="U34" s="48"/>
      <c r="V34" s="64"/>
      <c r="W34" s="58"/>
      <c r="X34" s="58"/>
      <c r="Y34" s="58"/>
      <c r="Z34" s="58"/>
      <c r="AA34" s="58"/>
      <c r="AB34" s="48"/>
      <c r="AC34" s="64"/>
      <c r="AD34" s="58"/>
      <c r="AE34" s="58"/>
      <c r="AF34" s="58"/>
      <c r="AG34" s="58"/>
      <c r="AH34" s="58"/>
      <c r="AI34" s="48"/>
      <c r="AJ34" s="65"/>
      <c r="AK34" s="66"/>
      <c r="AL34" s="66"/>
      <c r="AM34" s="66"/>
      <c r="AN34" s="66"/>
      <c r="AO34" s="67"/>
      <c r="AP34" s="63"/>
      <c r="AQ34" s="63"/>
      <c r="AR34" s="63"/>
      <c r="AS34" s="63"/>
      <c r="AT34" s="63"/>
      <c r="AU34" s="63"/>
      <c r="AV34" s="63"/>
      <c r="AW34" s="63"/>
      <c r="AX34" s="63"/>
      <c r="AY34" s="9"/>
    </row>
    <row r="35" spans="2:51" ht="25.5" customHeight="1" x14ac:dyDescent="0.2">
      <c r="B35" s="7"/>
      <c r="C35" s="56"/>
      <c r="D35" s="56"/>
      <c r="E35" s="56"/>
      <c r="F35" s="56"/>
      <c r="G35" s="56"/>
      <c r="H35" s="64"/>
      <c r="I35" s="58"/>
      <c r="J35" s="58"/>
      <c r="K35" s="58"/>
      <c r="L35" s="58"/>
      <c r="M35" s="58"/>
      <c r="N35" s="48"/>
      <c r="O35" s="64"/>
      <c r="P35" s="58"/>
      <c r="Q35" s="58"/>
      <c r="R35" s="58"/>
      <c r="S35" s="58"/>
      <c r="T35" s="58"/>
      <c r="U35" s="48"/>
      <c r="V35" s="64"/>
      <c r="W35" s="58"/>
      <c r="X35" s="58"/>
      <c r="Y35" s="58"/>
      <c r="Z35" s="58"/>
      <c r="AA35" s="58"/>
      <c r="AB35" s="48"/>
      <c r="AC35" s="64"/>
      <c r="AD35" s="58"/>
      <c r="AE35" s="58"/>
      <c r="AF35" s="58"/>
      <c r="AG35" s="58"/>
      <c r="AH35" s="58"/>
      <c r="AI35" s="48"/>
      <c r="AJ35" s="65"/>
      <c r="AK35" s="66"/>
      <c r="AL35" s="66"/>
      <c r="AM35" s="66"/>
      <c r="AN35" s="66"/>
      <c r="AO35" s="67"/>
      <c r="AP35" s="63"/>
      <c r="AQ35" s="63"/>
      <c r="AR35" s="63"/>
      <c r="AS35" s="63"/>
      <c r="AT35" s="63"/>
      <c r="AU35" s="63"/>
      <c r="AV35" s="63"/>
      <c r="AW35" s="63"/>
      <c r="AX35" s="63"/>
      <c r="AY35" s="9"/>
    </row>
    <row r="36" spans="2:51" ht="6.95" customHeight="1" x14ac:dyDescent="0.2">
      <c r="B36" s="7"/>
      <c r="C36" s="56"/>
      <c r="D36" s="56"/>
      <c r="E36" s="56"/>
      <c r="F36" s="56"/>
      <c r="G36" s="56"/>
      <c r="H36" s="68"/>
      <c r="I36" s="69"/>
      <c r="J36" s="69"/>
      <c r="K36" s="69"/>
      <c r="L36" s="69"/>
      <c r="M36" s="69"/>
      <c r="N36" s="49"/>
      <c r="O36" s="68"/>
      <c r="P36" s="69"/>
      <c r="Q36" s="69"/>
      <c r="R36" s="69"/>
      <c r="S36" s="69"/>
      <c r="T36" s="69"/>
      <c r="U36" s="49"/>
      <c r="V36" s="68"/>
      <c r="W36" s="69"/>
      <c r="X36" s="69"/>
      <c r="Y36" s="69"/>
      <c r="Z36" s="69"/>
      <c r="AA36" s="69"/>
      <c r="AB36" s="49"/>
      <c r="AC36" s="68"/>
      <c r="AD36" s="69"/>
      <c r="AE36" s="69"/>
      <c r="AF36" s="69"/>
      <c r="AG36" s="69"/>
      <c r="AH36" s="69"/>
      <c r="AI36" s="49"/>
      <c r="AJ36" s="65"/>
      <c r="AK36" s="66"/>
      <c r="AL36" s="66"/>
      <c r="AM36" s="66"/>
      <c r="AN36" s="66"/>
      <c r="AO36" s="67"/>
      <c r="AP36" s="63"/>
      <c r="AQ36" s="63"/>
      <c r="AR36" s="63"/>
      <c r="AS36" s="63"/>
      <c r="AT36" s="63"/>
      <c r="AU36" s="63"/>
      <c r="AV36" s="63"/>
      <c r="AW36" s="63"/>
      <c r="AX36" s="63"/>
      <c r="AY36" s="9"/>
    </row>
    <row r="37" spans="2:51" ht="6.95" customHeight="1" x14ac:dyDescent="0.2">
      <c r="B37" s="7"/>
      <c r="C37" s="56"/>
      <c r="D37" s="56"/>
      <c r="E37" s="56"/>
      <c r="F37" s="56"/>
      <c r="G37" s="56"/>
      <c r="H37" s="70"/>
      <c r="I37" s="69"/>
      <c r="J37" s="69"/>
      <c r="K37" s="69"/>
      <c r="L37" s="69"/>
      <c r="M37" s="69"/>
      <c r="N37" s="49"/>
      <c r="O37" s="70"/>
      <c r="P37" s="69"/>
      <c r="Q37" s="69"/>
      <c r="R37" s="69"/>
      <c r="S37" s="69"/>
      <c r="T37" s="69"/>
      <c r="U37" s="49"/>
      <c r="V37" s="70"/>
      <c r="W37" s="69"/>
      <c r="X37" s="69"/>
      <c r="Y37" s="69"/>
      <c r="Z37" s="69"/>
      <c r="AA37" s="69"/>
      <c r="AB37" s="49"/>
      <c r="AC37" s="70"/>
      <c r="AD37" s="69"/>
      <c r="AE37" s="69"/>
      <c r="AF37" s="69"/>
      <c r="AG37" s="69"/>
      <c r="AH37" s="69"/>
      <c r="AI37" s="49"/>
      <c r="AJ37" s="65"/>
      <c r="AK37" s="66"/>
      <c r="AL37" s="66"/>
      <c r="AM37" s="66"/>
      <c r="AN37" s="66"/>
      <c r="AO37" s="67"/>
      <c r="AP37" s="63"/>
      <c r="AQ37" s="63"/>
      <c r="AR37" s="63"/>
      <c r="AS37" s="63"/>
      <c r="AT37" s="63"/>
      <c r="AU37" s="63"/>
      <c r="AV37" s="63"/>
      <c r="AW37" s="63"/>
      <c r="AX37" s="63"/>
      <c r="AY37" s="9"/>
    </row>
    <row r="38" spans="2:51" ht="11.45" customHeight="1" x14ac:dyDescent="0.2">
      <c r="B38" s="7"/>
      <c r="C38" s="71"/>
      <c r="D38" s="71"/>
      <c r="E38" s="71"/>
      <c r="F38" s="71"/>
      <c r="G38" s="71"/>
      <c r="H38" s="72"/>
      <c r="I38" s="73"/>
      <c r="J38" s="73"/>
      <c r="K38" s="73"/>
      <c r="L38" s="73"/>
      <c r="M38" s="73"/>
      <c r="N38" s="73"/>
      <c r="O38" s="72"/>
      <c r="P38" s="73"/>
      <c r="Q38" s="73"/>
      <c r="R38" s="73"/>
      <c r="S38" s="73"/>
      <c r="T38" s="73"/>
      <c r="U38" s="73"/>
      <c r="V38" s="72"/>
      <c r="W38" s="73"/>
      <c r="X38" s="73"/>
      <c r="Y38" s="73"/>
      <c r="Z38" s="73"/>
      <c r="AA38" s="73"/>
      <c r="AB38" s="73"/>
      <c r="AC38" s="72"/>
      <c r="AD38" s="73"/>
      <c r="AE38" s="73"/>
      <c r="AF38" s="73"/>
      <c r="AG38" s="73"/>
      <c r="AH38" s="73"/>
      <c r="AI38" s="73"/>
      <c r="AJ38" s="74"/>
      <c r="AK38" s="75"/>
      <c r="AL38" s="75"/>
      <c r="AM38" s="75"/>
      <c r="AN38" s="75"/>
      <c r="AO38" s="76"/>
      <c r="AP38" s="72"/>
      <c r="AQ38" s="72"/>
      <c r="AR38" s="72"/>
      <c r="AS38" s="72"/>
      <c r="AT38" s="72"/>
      <c r="AU38" s="72"/>
      <c r="AV38" s="72"/>
      <c r="AW38" s="72"/>
      <c r="AX38" s="72"/>
      <c r="AY38" s="9"/>
    </row>
    <row r="39" spans="2:51" ht="11.45" customHeight="1" x14ac:dyDescent="0.2">
      <c r="B39" s="7"/>
      <c r="C39" s="77"/>
      <c r="D39" s="77"/>
      <c r="E39" s="77"/>
      <c r="F39" s="77"/>
      <c r="G39" s="77"/>
      <c r="H39" s="78"/>
      <c r="I39" s="79"/>
      <c r="J39" s="79"/>
      <c r="K39" s="79"/>
      <c r="L39" s="79"/>
      <c r="M39" s="79"/>
      <c r="N39" s="79"/>
      <c r="O39" s="78"/>
      <c r="P39" s="79"/>
      <c r="Q39" s="79"/>
      <c r="R39" s="79"/>
      <c r="S39" s="79"/>
      <c r="T39" s="79"/>
      <c r="U39" s="79"/>
      <c r="V39" s="78"/>
      <c r="W39" s="79"/>
      <c r="X39" s="79"/>
      <c r="Y39" s="79"/>
      <c r="Z39" s="79"/>
      <c r="AA39" s="79"/>
      <c r="AB39" s="79"/>
      <c r="AC39" s="78"/>
      <c r="AD39" s="79"/>
      <c r="AE39" s="79"/>
      <c r="AF39" s="79"/>
      <c r="AG39" s="79"/>
      <c r="AH39" s="79"/>
      <c r="AI39" s="79"/>
      <c r="AJ39" s="74"/>
      <c r="AK39" s="75"/>
      <c r="AL39" s="75"/>
      <c r="AM39" s="75"/>
      <c r="AN39" s="75"/>
      <c r="AO39" s="76"/>
      <c r="AP39" s="78"/>
      <c r="AQ39" s="78"/>
      <c r="AR39" s="78"/>
      <c r="AS39" s="78"/>
      <c r="AT39" s="78"/>
      <c r="AU39" s="78"/>
      <c r="AV39" s="78"/>
      <c r="AW39" s="78"/>
      <c r="AX39" s="78"/>
      <c r="AY39" s="9"/>
    </row>
    <row r="40" spans="2:51" ht="11.45" customHeight="1" x14ac:dyDescent="0.2">
      <c r="B40" s="7"/>
      <c r="C40" s="77"/>
      <c r="D40" s="77"/>
      <c r="E40" s="77"/>
      <c r="F40" s="77"/>
      <c r="G40" s="77"/>
      <c r="H40" s="78"/>
      <c r="I40" s="79"/>
      <c r="J40" s="79"/>
      <c r="K40" s="79"/>
      <c r="L40" s="79"/>
      <c r="M40" s="79"/>
      <c r="N40" s="79"/>
      <c r="O40" s="78"/>
      <c r="P40" s="79"/>
      <c r="Q40" s="79"/>
      <c r="R40" s="79"/>
      <c r="S40" s="79"/>
      <c r="T40" s="79"/>
      <c r="U40" s="79"/>
      <c r="V40" s="78"/>
      <c r="W40" s="79"/>
      <c r="X40" s="79"/>
      <c r="Y40" s="79"/>
      <c r="Z40" s="79"/>
      <c r="AA40" s="79"/>
      <c r="AB40" s="79"/>
      <c r="AC40" s="78"/>
      <c r="AD40" s="79"/>
      <c r="AE40" s="79"/>
      <c r="AF40" s="79"/>
      <c r="AG40" s="79"/>
      <c r="AH40" s="79"/>
      <c r="AI40" s="79"/>
      <c r="AJ40" s="74"/>
      <c r="AK40" s="75"/>
      <c r="AL40" s="75"/>
      <c r="AM40" s="75"/>
      <c r="AN40" s="75"/>
      <c r="AO40" s="76"/>
      <c r="AP40" s="78"/>
      <c r="AQ40" s="78"/>
      <c r="AR40" s="78"/>
      <c r="AS40" s="78"/>
      <c r="AT40" s="78"/>
      <c r="AU40" s="78"/>
      <c r="AV40" s="78"/>
      <c r="AW40" s="78"/>
      <c r="AX40" s="78"/>
      <c r="AY40" s="9"/>
    </row>
    <row r="41" spans="2:51" ht="11.45" customHeight="1" x14ac:dyDescent="0.2">
      <c r="B41" s="7"/>
      <c r="C41" s="80"/>
      <c r="D41" s="80"/>
      <c r="E41" s="80"/>
      <c r="F41" s="80"/>
      <c r="G41" s="80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2"/>
      <c r="AK41" s="83"/>
      <c r="AL41" s="83"/>
      <c r="AM41" s="83"/>
      <c r="AN41" s="83"/>
      <c r="AO41" s="84"/>
      <c r="AP41" s="85"/>
      <c r="AQ41" s="85"/>
      <c r="AR41" s="85"/>
      <c r="AS41" s="85"/>
      <c r="AT41" s="85"/>
      <c r="AU41" s="85"/>
      <c r="AV41" s="85"/>
      <c r="AW41" s="85"/>
      <c r="AX41" s="85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0.5" customHeight="1" x14ac:dyDescent="0.2">
      <c r="B43" s="7"/>
      <c r="C43" s="8"/>
      <c r="D43" s="358" t="str">
        <f>REPT(CHAR(73),42*(COUNTIF(H21:AI22,"*")))</f>
        <v/>
      </c>
      <c r="E43" s="359"/>
      <c r="F43" s="359"/>
      <c r="G43" s="359"/>
      <c r="H43" s="359"/>
      <c r="I43" s="359"/>
      <c r="J43" s="359"/>
      <c r="K43" s="359"/>
      <c r="L43" s="359"/>
      <c r="M43" s="359"/>
      <c r="N43" s="359"/>
      <c r="O43" s="359"/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59"/>
      <c r="AC43" s="359"/>
      <c r="AD43" s="155" t="str">
        <f>IF(COUNTIF(H21:AI22,"*")=4,"a","")</f>
        <v/>
      </c>
      <c r="AE43" s="155"/>
      <c r="AF43" s="8"/>
      <c r="AG43" s="370"/>
      <c r="AH43" s="371"/>
      <c r="AI43" s="372"/>
      <c r="AJ43" s="372"/>
      <c r="AK43" s="373"/>
      <c r="AL43" s="8"/>
      <c r="AM43" s="363" t="str">
        <f>"PEAI"</f>
        <v>PEAI</v>
      </c>
      <c r="AN43" s="364"/>
      <c r="AO43" s="365"/>
      <c r="AP43" s="365"/>
      <c r="AQ43" s="366"/>
      <c r="AR43" s="8"/>
      <c r="AS43" s="370"/>
      <c r="AT43" s="371"/>
      <c r="AU43" s="372"/>
      <c r="AV43" s="372"/>
      <c r="AW43" s="373"/>
      <c r="AX43" s="8"/>
      <c r="AY43" s="9"/>
    </row>
    <row r="44" spans="2:51" ht="10.5" customHeight="1" x14ac:dyDescent="0.2">
      <c r="B44" s="7"/>
      <c r="C44" s="8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59"/>
      <c r="AC44" s="359"/>
      <c r="AD44" s="353"/>
      <c r="AE44" s="353"/>
      <c r="AF44" s="8"/>
      <c r="AG44" s="374"/>
      <c r="AH44" s="375"/>
      <c r="AI44" s="375"/>
      <c r="AJ44" s="375"/>
      <c r="AK44" s="376"/>
      <c r="AL44" s="8"/>
      <c r="AM44" s="367"/>
      <c r="AN44" s="368"/>
      <c r="AO44" s="368"/>
      <c r="AP44" s="368"/>
      <c r="AQ44" s="369"/>
      <c r="AR44" s="8"/>
      <c r="AS44" s="374"/>
      <c r="AT44" s="375"/>
      <c r="AU44" s="375"/>
      <c r="AV44" s="375"/>
      <c r="AW44" s="376"/>
      <c r="AX44" s="8"/>
      <c r="AY44" s="9"/>
    </row>
    <row r="45" spans="2:51" ht="3.95" customHeight="1" x14ac:dyDescent="0.2">
      <c r="B45" s="7"/>
      <c r="C45" s="8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39" t="s">
        <v>4176</v>
      </c>
      <c r="D46" s="139"/>
      <c r="E46" s="139" t="s">
        <v>4177</v>
      </c>
      <c r="F46" s="139"/>
      <c r="G46" s="139" t="s">
        <v>4126</v>
      </c>
      <c r="H46" s="139"/>
      <c r="I46" s="139" t="s">
        <v>4178</v>
      </c>
      <c r="J46" s="139"/>
      <c r="K46" s="139" t="s">
        <v>4179</v>
      </c>
      <c r="L46" s="139"/>
      <c r="M46" s="139" t="s">
        <v>4180</v>
      </c>
      <c r="N46" s="139"/>
      <c r="O46" s="139" t="s">
        <v>4181</v>
      </c>
      <c r="P46" s="139"/>
      <c r="Q46" s="139" t="s">
        <v>4182</v>
      </c>
      <c r="R46" s="139"/>
      <c r="S46" s="139" t="s">
        <v>4183</v>
      </c>
      <c r="T46" s="139"/>
      <c r="U46" s="139" t="s">
        <v>4184</v>
      </c>
      <c r="V46" s="139"/>
      <c r="W46" s="139" t="s">
        <v>4185</v>
      </c>
      <c r="X46" s="139"/>
      <c r="Y46" s="139" t="s">
        <v>4186</v>
      </c>
      <c r="Z46" s="139"/>
      <c r="AA46" s="139" t="s">
        <v>1780</v>
      </c>
      <c r="AB46" s="139"/>
      <c r="AC46" s="139" t="s">
        <v>4187</v>
      </c>
      <c r="AD46" s="139"/>
      <c r="AE46" s="139" t="s">
        <v>1781</v>
      </c>
      <c r="AF46" s="139"/>
      <c r="AG46" s="139" t="s">
        <v>4188</v>
      </c>
      <c r="AH46" s="139"/>
      <c r="AI46" s="139" t="s">
        <v>4189</v>
      </c>
      <c r="AJ46" s="139"/>
      <c r="AK46" s="139" t="s">
        <v>4190</v>
      </c>
      <c r="AL46" s="139"/>
      <c r="AM46" s="139" t="s">
        <v>4191</v>
      </c>
      <c r="AN46" s="139"/>
      <c r="AO46" s="139" t="s">
        <v>4192</v>
      </c>
      <c r="AP46" s="139"/>
      <c r="AQ46" s="139" t="s">
        <v>4176</v>
      </c>
      <c r="AR46" s="139"/>
      <c r="AS46" s="139" t="s">
        <v>4177</v>
      </c>
      <c r="AT46" s="139"/>
      <c r="AU46" s="139" t="s">
        <v>4126</v>
      </c>
      <c r="AV46" s="139"/>
      <c r="AW46" s="139" t="s">
        <v>4178</v>
      </c>
      <c r="AX46" s="139"/>
      <c r="AY46" s="9"/>
    </row>
    <row r="47" spans="2:51" ht="12" customHeight="1" x14ac:dyDescent="0.2">
      <c r="B47" s="7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  <c r="AJ47" s="139"/>
      <c r="AK47" s="139"/>
      <c r="AL47" s="139"/>
      <c r="AM47" s="139"/>
      <c r="AN47" s="139"/>
      <c r="AO47" s="139"/>
      <c r="AP47" s="139"/>
      <c r="AQ47" s="139"/>
      <c r="AR47" s="139"/>
      <c r="AS47" s="139"/>
      <c r="AT47" s="139"/>
      <c r="AU47" s="139"/>
      <c r="AV47" s="139"/>
      <c r="AW47" s="139"/>
      <c r="AX47" s="139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IF('MOD1'!$AY$49="","",'MOD1'!$AY$49)</f>
        <v>*Equipo de Gestión de la Información - EBR - Ministerio de Educación</v>
      </c>
    </row>
  </sheetData>
  <sheetProtection algorithmName="SHA-512" hashValue="eKtCai4/ZDdRgytLQp9yu7vj+9pH02filBDJKTo5RbhbVfZXWXVgtAMRBk2IyxCj1uIaPEzmGiP1GnVDLB3BTQ==" saltValue="jiSCnv5SpjJ662LwWNxnoA==" spinCount="100000" sheet="1" objects="1" scenarios="1"/>
  <mergeCells count="55"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  <mergeCell ref="C13:G22"/>
    <mergeCell ref="H13:N20"/>
    <mergeCell ref="O13:U20"/>
    <mergeCell ref="V13:AB20"/>
    <mergeCell ref="AC13:AI20"/>
    <mergeCell ref="AP13:AX22"/>
    <mergeCell ref="H21:N22"/>
    <mergeCell ref="O21:U22"/>
    <mergeCell ref="V21:AB22"/>
    <mergeCell ref="AC21:AI22"/>
    <mergeCell ref="AJ13:AO26"/>
    <mergeCell ref="AP23:AX26"/>
    <mergeCell ref="D43:AC44"/>
    <mergeCell ref="AD43:AE44"/>
    <mergeCell ref="AG43:AK44"/>
    <mergeCell ref="AM43:AQ44"/>
    <mergeCell ref="AS43:AW44"/>
    <mergeCell ref="C23:G26"/>
    <mergeCell ref="H23:N26"/>
    <mergeCell ref="O23:U26"/>
    <mergeCell ref="V23:AB26"/>
    <mergeCell ref="AC23:AI26"/>
    <mergeCell ref="Y46:Z47"/>
    <mergeCell ref="C46:D47"/>
    <mergeCell ref="E46:F47"/>
    <mergeCell ref="G46:H47"/>
    <mergeCell ref="I46:J47"/>
    <mergeCell ref="K46:L47"/>
    <mergeCell ref="M46:N47"/>
    <mergeCell ref="O46:P47"/>
    <mergeCell ref="Q46:R47"/>
    <mergeCell ref="S46:T47"/>
    <mergeCell ref="U46:V47"/>
    <mergeCell ref="W46:X47"/>
    <mergeCell ref="AW46:AX47"/>
    <mergeCell ref="AA46:AB47"/>
    <mergeCell ref="AC46:AD47"/>
    <mergeCell ref="AE46:AF47"/>
    <mergeCell ref="AG46:AH47"/>
    <mergeCell ref="AI46:AJ47"/>
    <mergeCell ref="AK46:AL47"/>
    <mergeCell ref="AM46:AN47"/>
    <mergeCell ref="AO46:AP47"/>
    <mergeCell ref="AQ46:AR47"/>
    <mergeCell ref="AS46:AT47"/>
    <mergeCell ref="AU46:AV47"/>
  </mergeCells>
  <conditionalFormatting sqref="AG43:AK44">
    <cfRule type="cellIs" dxfId="11" priority="15" operator="equal">
      <formula>""</formula>
    </cfRule>
  </conditionalFormatting>
  <conditionalFormatting sqref="AS43:AW44">
    <cfRule type="cellIs" dxfId="10" priority="14" operator="equal">
      <formula>""</formula>
    </cfRule>
  </conditionalFormatting>
  <conditionalFormatting sqref="C28:AX41">
    <cfRule type="expression" dxfId="9" priority="13">
      <formula>$C$38=""</formula>
    </cfRule>
  </conditionalFormatting>
  <conditionalFormatting sqref="C23:G26 H21:AI22 AP13:AX26">
    <cfRule type="expression" dxfId="8" priority="12">
      <formula>$C$13=""</formula>
    </cfRule>
  </conditionalFormatting>
  <conditionalFormatting sqref="C13:G22">
    <cfRule type="expression" dxfId="7" priority="8">
      <formula>$C$13=""</formula>
    </cfRule>
  </conditionalFormatting>
  <conditionalFormatting sqref="H13:AI20">
    <cfRule type="expression" dxfId="6" priority="7">
      <formula>$C$13=""</formula>
    </cfRule>
  </conditionalFormatting>
  <conditionalFormatting sqref="H23:AI26">
    <cfRule type="expression" dxfId="5" priority="6">
      <formula>$C$13=""</formula>
    </cfRule>
  </conditionalFormatting>
  <conditionalFormatting sqref="AJ13:AO26">
    <cfRule type="expression" dxfId="4" priority="5">
      <formula>$C$13=""</formula>
    </cfRule>
  </conditionalFormatting>
  <conditionalFormatting sqref="AM43:AQ44">
    <cfRule type="cellIs" dxfId="3" priority="4" operator="equal">
      <formula>"PEAI"</formula>
    </cfRule>
  </conditionalFormatting>
  <conditionalFormatting sqref="C46:AX47">
    <cfRule type="expression" dxfId="2" priority="1">
      <formula>IF(CODE(C46)=38,1,0)</formula>
    </cfRule>
    <cfRule type="expression" dxfId="1" priority="2">
      <formula>IF(CODE(C46)=37,1,0)</formula>
    </cfRule>
    <cfRule type="expression" dxfId="0" priority="3">
      <formula>IF(OR(CODE(C46)=143,CODE(C46)=167,CODE(C46)=168,CODE(C46)=254),1,0)</formula>
    </cfRule>
  </conditionalFormatting>
  <dataValidations count="10">
    <dataValidation allowBlank="1" showInputMessage="1" showErrorMessage="1" promptTitle="Ingrese" prompt="Describir principales aspectos que facilitaron que la IIEE llegara a este logro, así como dificultades." sqref="AP13:AX22"/>
    <dataValidation allowBlank="1" showInputMessage="1" showErrorMessage="1" promptTitle="Información" prompt="Actividad ambiental" sqref="C13:G22"/>
    <dataValidation allowBlank="1" showInputMessage="1" showErrorMessage="1" promptTitle="Información" prompt="Indicador de la actividad" sqref="AJ13:AO26"/>
    <dataValidation allowBlank="1" showInputMessage="1" showErrorMessage="1" promptTitle="Información" prompt="Hitos de aplicación" sqref="H13:AI20"/>
    <dataValidation allowBlank="1" showInputMessage="1" showErrorMessage="1" promptTitle="Información" prompt="Medios de verificación" sqref="AP23:AX26 C23:AI26"/>
    <dataValidation type="list" allowBlank="1" showInputMessage="1" showErrorMessage="1" errorTitle="Mensaje de validación" error="Solo se permite datos de la lista desplegable._x000a__x000a_Intente de nuevo." promptTitle="Seleccionar" prompt="SI o NO" sqref="H21:AI22">
      <formula1>"SI, NO"</formula1>
    </dataValidation>
    <dataValidation allowBlank="1" showInputMessage="1" showErrorMessage="1" promptTitle="Mensaje" prompt="Hitos de aplicación del enfoque ambiental" sqref="H11:AE11 H12:M12 O12:T12 V12:AA12 AC12:AH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Indicador" sqref="AJ11:AO1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0" tint="-0.499984740745262"/>
  </sheetPr>
  <dimension ref="A1:CA1864"/>
  <sheetViews>
    <sheetView topLeftCell="CB1" workbookViewId="0">
      <selection activeCell="CA1" sqref="A1:CA1048576"/>
    </sheetView>
  </sheetViews>
  <sheetFormatPr baseColWidth="10" defaultRowHeight="12.75" x14ac:dyDescent="0.2"/>
  <cols>
    <col min="1" max="2" width="11.42578125" hidden="1" customWidth="1"/>
    <col min="3" max="3" width="21.5703125" style="50" hidden="1" customWidth="1"/>
    <col min="4" max="4" width="11.42578125" style="51" hidden="1" customWidth="1"/>
    <col min="5" max="6" width="11.42578125" hidden="1" customWidth="1"/>
    <col min="7" max="7" width="15.5703125" hidden="1" customWidth="1"/>
    <col min="8" max="9" width="2.7109375" hidden="1" customWidth="1"/>
    <col min="10" max="11" width="5.7109375" hidden="1" customWidth="1"/>
    <col min="12" max="14" width="2.7109375" hidden="1" customWidth="1"/>
    <col min="15" max="18" width="5.7109375" hidden="1" customWidth="1"/>
    <col min="19" max="19" width="11.42578125" hidden="1" customWidth="1"/>
    <col min="20" max="20" width="2.7109375" hidden="1" customWidth="1"/>
    <col min="21" max="21" width="21.28515625" style="111" hidden="1" customWidth="1"/>
    <col min="22" max="22" width="55" style="111" hidden="1" customWidth="1"/>
    <col min="23" max="23" width="36.28515625" style="111" hidden="1" customWidth="1"/>
    <col min="24" max="24" width="6.42578125" style="111" hidden="1" customWidth="1"/>
    <col min="25" max="25" width="5.7109375" hidden="1" customWidth="1"/>
    <col min="26" max="27" width="11.42578125" hidden="1" customWidth="1"/>
    <col min="28" max="28" width="5.7109375" hidden="1" customWidth="1"/>
    <col min="29" max="30" width="11.42578125" hidden="1" customWidth="1"/>
    <col min="31" max="31" width="5.7109375" hidden="1" customWidth="1"/>
    <col min="32" max="33" width="11.42578125" hidden="1" customWidth="1"/>
    <col min="34" max="34" width="4.85546875" hidden="1" customWidth="1"/>
    <col min="35" max="46" width="11.42578125" hidden="1" customWidth="1"/>
    <col min="47" max="50" width="8.140625" hidden="1" customWidth="1"/>
    <col min="51" max="59" width="11.42578125" hidden="1" customWidth="1"/>
    <col min="60" max="78" width="9.7109375" hidden="1" customWidth="1"/>
    <col min="79" max="79" width="11.42578125" hidden="1" customWidth="1"/>
  </cols>
  <sheetData>
    <row r="1" spans="2:78" x14ac:dyDescent="0.2">
      <c r="G1" s="23" t="s">
        <v>1</v>
      </c>
      <c r="H1" s="20"/>
      <c r="I1" s="23">
        <v>0</v>
      </c>
      <c r="J1" s="23" t="s">
        <v>1</v>
      </c>
      <c r="K1" s="23" t="s">
        <v>2</v>
      </c>
      <c r="L1" s="20"/>
      <c r="M1" s="20" t="str">
        <f>O1&amp;" "&amp;P1&amp;" "&amp;Q1</f>
        <v>DEPAR PROVI DISTR</v>
      </c>
      <c r="N1" s="23">
        <v>0</v>
      </c>
      <c r="O1" s="23" t="s">
        <v>1</v>
      </c>
      <c r="P1" s="23" t="s">
        <v>2</v>
      </c>
      <c r="Q1" s="23" t="s">
        <v>3</v>
      </c>
      <c r="R1" s="23" t="s">
        <v>1808</v>
      </c>
      <c r="T1" s="115">
        <v>0</v>
      </c>
      <c r="U1" s="115" t="s">
        <v>4193</v>
      </c>
      <c r="V1" s="115" t="s">
        <v>4194</v>
      </c>
      <c r="W1" s="115" t="s">
        <v>4195</v>
      </c>
      <c r="Y1" s="23">
        <v>0</v>
      </c>
      <c r="Z1" s="23" t="s">
        <v>4195</v>
      </c>
      <c r="AB1" s="23">
        <v>0</v>
      </c>
      <c r="AC1" s="23" t="s">
        <v>2</v>
      </c>
      <c r="AE1" s="23">
        <v>0</v>
      </c>
      <c r="AF1" s="23" t="s">
        <v>3</v>
      </c>
      <c r="AH1" s="86" t="s">
        <v>0</v>
      </c>
      <c r="AI1" s="86" t="s">
        <v>1786</v>
      </c>
      <c r="AJ1" s="86" t="s">
        <v>1792</v>
      </c>
      <c r="AK1" s="86" t="s">
        <v>1795</v>
      </c>
      <c r="AL1" s="86" t="s">
        <v>1796</v>
      </c>
      <c r="AM1" s="86" t="s">
        <v>1797</v>
      </c>
      <c r="AN1" s="86" t="s">
        <v>1798</v>
      </c>
      <c r="AO1" s="86" t="s">
        <v>1799</v>
      </c>
      <c r="AP1" s="86" t="s">
        <v>3652</v>
      </c>
      <c r="AQ1" s="86" t="s">
        <v>3653</v>
      </c>
      <c r="AR1" s="86" t="s">
        <v>3654</v>
      </c>
      <c r="AS1" s="86" t="s">
        <v>3655</v>
      </c>
      <c r="AT1" s="86" t="s">
        <v>3656</v>
      </c>
      <c r="AU1" s="86"/>
      <c r="AV1" s="86"/>
      <c r="AW1" s="86"/>
      <c r="AX1" s="86"/>
      <c r="AZ1" s="88" t="s">
        <v>4126</v>
      </c>
      <c r="BA1" s="88" t="s">
        <v>3685</v>
      </c>
      <c r="BB1" s="88" t="s">
        <v>1808</v>
      </c>
      <c r="BH1" s="50">
        <f>IF(ISERROR(VLOOKUP(BH2,$F$30:$F$205,1,FALSE))=FALSE,1,0)</f>
        <v>0</v>
      </c>
      <c r="BI1" s="50">
        <f t="shared" ref="BI1:BZ1" si="0">IF(ISERROR(VLOOKUP(BI2,$F$30:$F$205,1,FALSE))=FALSE,1,0)</f>
        <v>0</v>
      </c>
      <c r="BJ1" s="50">
        <f t="shared" si="0"/>
        <v>0</v>
      </c>
      <c r="BK1" s="50">
        <f t="shared" si="0"/>
        <v>0</v>
      </c>
      <c r="BL1" s="50">
        <f t="shared" si="0"/>
        <v>0</v>
      </c>
      <c r="BM1" s="50">
        <f t="shared" si="0"/>
        <v>0</v>
      </c>
      <c r="BN1" s="50">
        <f t="shared" si="0"/>
        <v>0</v>
      </c>
      <c r="BO1" s="50">
        <f t="shared" si="0"/>
        <v>0</v>
      </c>
      <c r="BP1" s="50">
        <f t="shared" si="0"/>
        <v>0</v>
      </c>
      <c r="BQ1" s="50">
        <f t="shared" si="0"/>
        <v>0</v>
      </c>
      <c r="BR1" s="50">
        <f t="shared" si="0"/>
        <v>0</v>
      </c>
      <c r="BS1" s="50">
        <f t="shared" si="0"/>
        <v>0</v>
      </c>
      <c r="BT1" s="50">
        <f t="shared" si="0"/>
        <v>0</v>
      </c>
      <c r="BU1" s="50">
        <f t="shared" si="0"/>
        <v>0</v>
      </c>
      <c r="BV1" s="50">
        <f t="shared" si="0"/>
        <v>0</v>
      </c>
      <c r="BW1" s="50">
        <f t="shared" si="0"/>
        <v>0</v>
      </c>
      <c r="BX1" s="50">
        <f t="shared" si="0"/>
        <v>0</v>
      </c>
      <c r="BY1" s="50">
        <f t="shared" si="0"/>
        <v>0</v>
      </c>
      <c r="BZ1" s="50">
        <f t="shared" si="0"/>
        <v>0</v>
      </c>
    </row>
    <row r="2" spans="2:78" x14ac:dyDescent="0.2">
      <c r="C2" s="50" t="s">
        <v>3678</v>
      </c>
      <c r="D2" s="51" t="str">
        <f>IF('MOD1'!D19="","",'MOD1'!D19)</f>
        <v/>
      </c>
      <c r="G2" s="16" t="s">
        <v>1807</v>
      </c>
      <c r="H2" s="20"/>
      <c r="I2" s="20">
        <f>IF($D$9=J2,I1+1,0)</f>
        <v>0</v>
      </c>
      <c r="J2" s="16" t="s">
        <v>4</v>
      </c>
      <c r="K2" s="16" t="s">
        <v>5</v>
      </c>
      <c r="L2" s="20"/>
      <c r="M2" s="20" t="str">
        <f>O2&amp;" "&amp;P2&amp;" "&amp;Q2</f>
        <v>AMAZONAS BAGUA ARAMANGO</v>
      </c>
      <c r="N2" s="20">
        <f>IF(AND($D$9=O2,$D$10=P2),N1+1,0)</f>
        <v>0</v>
      </c>
      <c r="O2" s="16" t="s">
        <v>4</v>
      </c>
      <c r="P2" s="16" t="s">
        <v>5</v>
      </c>
      <c r="Q2" s="16" t="s">
        <v>6</v>
      </c>
      <c r="R2" s="16" t="s">
        <v>1809</v>
      </c>
      <c r="T2" s="20">
        <f>IF($D$9=U2,T1+1,0)</f>
        <v>0</v>
      </c>
      <c r="U2" s="112" t="s">
        <v>4</v>
      </c>
      <c r="V2" s="112" t="s">
        <v>4204</v>
      </c>
      <c r="W2" s="112" t="s">
        <v>3878</v>
      </c>
      <c r="X2" s="113"/>
      <c r="Y2">
        <v>1</v>
      </c>
      <c r="Z2" t="str">
        <f>IFERROR(VLOOKUP(Y2,T1:W222,4,FALSE),"")</f>
        <v/>
      </c>
      <c r="AB2">
        <v>1</v>
      </c>
      <c r="AC2" t="str">
        <f>IFERROR(VLOOKUP(AB2,$I$1:$K$197,3,FALSE),"")</f>
        <v/>
      </c>
      <c r="AE2">
        <v>1</v>
      </c>
      <c r="AF2" t="str">
        <f>IFERROR(VLOOKUP(AE2,$N$1:$R$1864,4,FALSE),"")</f>
        <v/>
      </c>
      <c r="AH2" s="21">
        <v>1</v>
      </c>
      <c r="AI2" s="21" t="s">
        <v>3644</v>
      </c>
      <c r="AJ2" s="21" t="s">
        <v>3666</v>
      </c>
      <c r="AK2" s="21" t="s">
        <v>3645</v>
      </c>
      <c r="AL2" s="21" t="s">
        <v>3736</v>
      </c>
      <c r="AM2" s="21" t="s">
        <v>3646</v>
      </c>
      <c r="AN2" s="21" t="s">
        <v>3737</v>
      </c>
      <c r="AO2" s="21" t="s">
        <v>3647</v>
      </c>
      <c r="AP2" s="21" t="s">
        <v>3783</v>
      </c>
      <c r="AQ2" s="21" t="s">
        <v>3704</v>
      </c>
      <c r="AR2" s="21" t="s">
        <v>3783</v>
      </c>
      <c r="AS2" s="21" t="s">
        <v>3783</v>
      </c>
      <c r="AT2" s="21"/>
      <c r="AU2" s="21" t="s">
        <v>3793</v>
      </c>
      <c r="AV2" s="21" t="s">
        <v>3721</v>
      </c>
      <c r="AW2" s="21" t="s">
        <v>3721</v>
      </c>
      <c r="AX2" s="21" t="s">
        <v>3721</v>
      </c>
      <c r="AZ2" s="21">
        <v>1</v>
      </c>
      <c r="BA2" s="21"/>
      <c r="BB2" s="21"/>
      <c r="BD2">
        <v>0</v>
      </c>
      <c r="BE2">
        <v>0</v>
      </c>
      <c r="BF2">
        <v>0</v>
      </c>
      <c r="BG2" s="136"/>
      <c r="BH2" s="136" t="s">
        <v>3787</v>
      </c>
      <c r="BI2" s="136" t="s">
        <v>3786</v>
      </c>
      <c r="BJ2" s="136" t="s">
        <v>3789</v>
      </c>
      <c r="BK2" s="136" t="s">
        <v>3711</v>
      </c>
      <c r="BL2" s="136" t="s">
        <v>3706</v>
      </c>
      <c r="BM2" s="136" t="s">
        <v>3790</v>
      </c>
      <c r="BN2" s="136" t="s">
        <v>3792</v>
      </c>
      <c r="BO2" s="136" t="s">
        <v>3710</v>
      </c>
      <c r="BP2" s="136" t="s">
        <v>3702</v>
      </c>
      <c r="BQ2" s="136" t="s">
        <v>3784</v>
      </c>
      <c r="BR2" s="136" t="s">
        <v>3705</v>
      </c>
      <c r="BS2" s="136" t="s">
        <v>3703</v>
      </c>
      <c r="BT2" s="136" t="s">
        <v>3785</v>
      </c>
      <c r="BU2" s="136" t="s">
        <v>3704</v>
      </c>
      <c r="BV2" s="136" t="s">
        <v>3788</v>
      </c>
      <c r="BW2" s="136" t="s">
        <v>3707</v>
      </c>
      <c r="BX2" s="136" t="s">
        <v>3791</v>
      </c>
      <c r="BY2" s="136" t="s">
        <v>3783</v>
      </c>
      <c r="BZ2" s="136" t="s">
        <v>3709</v>
      </c>
    </row>
    <row r="3" spans="2:78" x14ac:dyDescent="0.2">
      <c r="C3" s="50" t="s">
        <v>3679</v>
      </c>
      <c r="D3" s="51" t="str">
        <f>IF('MOD1'!AA19="","",'MOD1'!AA19)</f>
        <v/>
      </c>
      <c r="G3" s="16" t="s">
        <v>4</v>
      </c>
      <c r="H3" s="20"/>
      <c r="I3" s="20">
        <f t="shared" ref="I3:I66" si="1">IF($D$9=J3,I2+1,0)</f>
        <v>0</v>
      </c>
      <c r="J3" s="16" t="s">
        <v>4</v>
      </c>
      <c r="K3" s="16" t="s">
        <v>12</v>
      </c>
      <c r="L3" s="20"/>
      <c r="M3" s="20" t="str">
        <f t="shared" ref="M3:M66" si="2">O3&amp;" "&amp;P3&amp;" "&amp;Q3</f>
        <v>AMAZONAS BAGUA BAGUA</v>
      </c>
      <c r="N3" s="20">
        <f t="shared" ref="N3:N66" si="3">IF(AND($D$9=O3,$D$10=P3),N2+1,0)</f>
        <v>0</v>
      </c>
      <c r="O3" s="16" t="s">
        <v>4</v>
      </c>
      <c r="P3" s="16" t="s">
        <v>5</v>
      </c>
      <c r="Q3" s="16" t="s">
        <v>5</v>
      </c>
      <c r="R3" s="16" t="s">
        <v>1810</v>
      </c>
      <c r="T3" s="20">
        <f t="shared" ref="T3:T66" si="4">IF($D$9=U3,T2+1,0)</f>
        <v>0</v>
      </c>
      <c r="U3" s="112" t="s">
        <v>4</v>
      </c>
      <c r="V3" s="112" t="s">
        <v>4205</v>
      </c>
      <c r="W3" s="112" t="s">
        <v>3882</v>
      </c>
      <c r="Y3">
        <v>2</v>
      </c>
      <c r="Z3" t="str">
        <f t="shared" ref="Z3:Z36" si="5">IFERROR(VLOOKUP(Y3,T2:W223,4,FALSE),"")</f>
        <v/>
      </c>
      <c r="AB3">
        <v>2</v>
      </c>
      <c r="AC3" t="str">
        <f t="shared" ref="AC3:AC26" si="6">IFERROR(VLOOKUP(AB3,$I$1:$K$197,3,FALSE),"")</f>
        <v/>
      </c>
      <c r="AE3">
        <v>2</v>
      </c>
      <c r="AF3" t="str">
        <f t="shared" ref="AF3:AF51" si="7">IFERROR(VLOOKUP(AE3,$N$1:$R$1864,4,FALSE),"")</f>
        <v/>
      </c>
      <c r="AH3" s="21">
        <v>1</v>
      </c>
      <c r="AI3" s="21" t="s">
        <v>3644</v>
      </c>
      <c r="AJ3" s="21" t="s">
        <v>3825</v>
      </c>
      <c r="AK3" s="21" t="s">
        <v>3796</v>
      </c>
      <c r="AL3" s="21" t="s">
        <v>3738</v>
      </c>
      <c r="AM3" s="21" t="s">
        <v>3648</v>
      </c>
      <c r="AN3" s="21" t="s">
        <v>3831</v>
      </c>
      <c r="AO3" s="21" t="s">
        <v>3649</v>
      </c>
      <c r="AP3" s="21" t="s">
        <v>3705</v>
      </c>
      <c r="AQ3" s="21" t="s">
        <v>3705</v>
      </c>
      <c r="AR3" s="21" t="s">
        <v>3706</v>
      </c>
      <c r="AS3" s="21" t="s">
        <v>3709</v>
      </c>
      <c r="AT3" s="21"/>
      <c r="AU3" s="21" t="s">
        <v>3793</v>
      </c>
      <c r="AV3" s="21" t="s">
        <v>3721</v>
      </c>
      <c r="AW3" s="21" t="s">
        <v>3721</v>
      </c>
      <c r="AX3" s="21" t="s">
        <v>3822</v>
      </c>
      <c r="AZ3" s="21">
        <v>2</v>
      </c>
      <c r="BA3" s="21"/>
      <c r="BB3" s="21"/>
      <c r="BD3">
        <f>BE3+BD2</f>
        <v>0</v>
      </c>
      <c r="BE3">
        <f>IF(BF3&gt;0,1,0)</f>
        <v>0</v>
      </c>
      <c r="BF3">
        <f>COUNTIFS($BH$1:$BZ$1,1,BH3:BZ3,1)</f>
        <v>0</v>
      </c>
      <c r="BG3" s="136" t="s">
        <v>3822</v>
      </c>
      <c r="BH3" s="136">
        <v>1</v>
      </c>
      <c r="BI3" s="136"/>
      <c r="BJ3" s="136"/>
      <c r="BK3" s="136"/>
      <c r="BL3" s="136"/>
      <c r="BM3" s="136"/>
      <c r="BN3" s="136"/>
      <c r="BO3" s="136"/>
      <c r="BP3" s="136"/>
      <c r="BQ3" s="136"/>
      <c r="BR3" s="136"/>
      <c r="BS3" s="136"/>
      <c r="BT3" s="136"/>
      <c r="BU3" s="136"/>
      <c r="BV3" s="136"/>
      <c r="BW3" s="136"/>
      <c r="BX3" s="136"/>
      <c r="BY3" s="136"/>
      <c r="BZ3" s="136"/>
    </row>
    <row r="4" spans="2:78" x14ac:dyDescent="0.2">
      <c r="C4" s="50" t="s">
        <v>3680</v>
      </c>
      <c r="D4" s="51" t="str">
        <f>IF('MOD1'!AP19="","",'MOD1'!AP19)</f>
        <v/>
      </c>
      <c r="G4" s="16" t="s">
        <v>96</v>
      </c>
      <c r="H4" s="20"/>
      <c r="I4" s="20">
        <f t="shared" si="1"/>
        <v>0</v>
      </c>
      <c r="J4" s="16" t="s">
        <v>4</v>
      </c>
      <c r="K4" s="16" t="s">
        <v>26</v>
      </c>
      <c r="L4" s="20"/>
      <c r="M4" s="20" t="str">
        <f t="shared" si="2"/>
        <v>AMAZONAS BAGUA COPALLIN</v>
      </c>
      <c r="N4" s="20">
        <f t="shared" si="3"/>
        <v>0</v>
      </c>
      <c r="O4" s="16" t="s">
        <v>4</v>
      </c>
      <c r="P4" s="16" t="s">
        <v>5</v>
      </c>
      <c r="Q4" s="16" t="s">
        <v>8</v>
      </c>
      <c r="R4" s="16" t="s">
        <v>1811</v>
      </c>
      <c r="T4" s="20">
        <f t="shared" si="4"/>
        <v>0</v>
      </c>
      <c r="U4" s="112" t="s">
        <v>4</v>
      </c>
      <c r="V4" s="112" t="s">
        <v>4205</v>
      </c>
      <c r="W4" s="112" t="s">
        <v>3899</v>
      </c>
      <c r="Y4">
        <v>3</v>
      </c>
      <c r="Z4" t="str">
        <f t="shared" si="5"/>
        <v/>
      </c>
      <c r="AB4">
        <v>3</v>
      </c>
      <c r="AC4" t="str">
        <f t="shared" si="6"/>
        <v/>
      </c>
      <c r="AE4">
        <v>3</v>
      </c>
      <c r="AF4" t="str">
        <f t="shared" si="7"/>
        <v/>
      </c>
      <c r="AH4" s="21">
        <v>1</v>
      </c>
      <c r="AI4" s="21" t="s">
        <v>3644</v>
      </c>
      <c r="AJ4" s="21" t="s">
        <v>3727</v>
      </c>
      <c r="AK4" s="21" t="s">
        <v>3739</v>
      </c>
      <c r="AL4" s="21" t="s">
        <v>3650</v>
      </c>
      <c r="AM4" s="21" t="s">
        <v>3651</v>
      </c>
      <c r="AN4" s="21" t="s">
        <v>3832</v>
      </c>
      <c r="AO4" s="21" t="s">
        <v>1787</v>
      </c>
      <c r="AP4" s="21" t="s">
        <v>3702</v>
      </c>
      <c r="AQ4" s="21" t="s">
        <v>3707</v>
      </c>
      <c r="AR4" s="21" t="s">
        <v>3707</v>
      </c>
      <c r="AS4" s="21" t="s">
        <v>3791</v>
      </c>
      <c r="AT4" s="21"/>
      <c r="AU4" s="21" t="s">
        <v>3793</v>
      </c>
      <c r="AV4" s="21" t="s">
        <v>3721</v>
      </c>
      <c r="AW4" s="21" t="s">
        <v>3721</v>
      </c>
      <c r="AX4" s="21" t="s">
        <v>3723</v>
      </c>
      <c r="AZ4" s="21">
        <v>3</v>
      </c>
      <c r="BA4" s="21"/>
      <c r="BB4" s="21"/>
      <c r="BD4">
        <f t="shared" ref="BD4:BD24" si="8">BE4+BD3</f>
        <v>0</v>
      </c>
      <c r="BE4">
        <f t="shared" ref="BE4:BE24" si="9">IF(BF4&gt;0,1,0)</f>
        <v>0</v>
      </c>
      <c r="BF4">
        <f t="shared" ref="BF4:BF24" si="10">COUNTIFS($BH$1:$BZ$1,1,BH4:BZ4,1)</f>
        <v>0</v>
      </c>
      <c r="BG4" s="136" t="s">
        <v>3723</v>
      </c>
      <c r="BH4" s="136"/>
      <c r="BI4" s="136"/>
      <c r="BJ4" s="136"/>
      <c r="BK4" s="136">
        <v>1</v>
      </c>
      <c r="BL4" s="136"/>
      <c r="BM4" s="136"/>
      <c r="BN4" s="136"/>
      <c r="BO4" s="136"/>
      <c r="BP4" s="136"/>
      <c r="BQ4" s="136"/>
      <c r="BR4" s="136"/>
      <c r="BS4" s="136"/>
      <c r="BT4" s="136"/>
      <c r="BU4" s="136"/>
      <c r="BV4" s="136"/>
      <c r="BW4" s="136"/>
      <c r="BX4" s="136"/>
      <c r="BY4" s="136"/>
      <c r="BZ4" s="136"/>
    </row>
    <row r="5" spans="2:78" x14ac:dyDescent="0.2">
      <c r="C5" s="50" t="s">
        <v>4056</v>
      </c>
      <c r="D5" s="51" t="str">
        <f>IF('MOD1'!D24="","",'MOD1'!D24)</f>
        <v/>
      </c>
      <c r="G5" s="16" t="s">
        <v>266</v>
      </c>
      <c r="H5" s="20"/>
      <c r="I5" s="20">
        <f t="shared" si="1"/>
        <v>0</v>
      </c>
      <c r="J5" s="16" t="s">
        <v>4</v>
      </c>
      <c r="K5" s="16" t="s">
        <v>48</v>
      </c>
      <c r="L5" s="20"/>
      <c r="M5" s="20" t="str">
        <f t="shared" si="2"/>
        <v>AMAZONAS BAGUA EL PARCO</v>
      </c>
      <c r="N5" s="20">
        <f t="shared" si="3"/>
        <v>0</v>
      </c>
      <c r="O5" s="16" t="s">
        <v>4</v>
      </c>
      <c r="P5" s="16" t="s">
        <v>5</v>
      </c>
      <c r="Q5" s="16" t="s">
        <v>9</v>
      </c>
      <c r="R5" s="16" t="s">
        <v>1812</v>
      </c>
      <c r="T5" s="20">
        <f t="shared" si="4"/>
        <v>0</v>
      </c>
      <c r="U5" s="112" t="s">
        <v>4</v>
      </c>
      <c r="V5" s="112" t="s">
        <v>4206</v>
      </c>
      <c r="W5" s="112" t="s">
        <v>3913</v>
      </c>
      <c r="Y5">
        <v>4</v>
      </c>
      <c r="Z5" t="str">
        <f t="shared" si="5"/>
        <v/>
      </c>
      <c r="AB5">
        <v>4</v>
      </c>
      <c r="AC5" t="str">
        <f t="shared" si="6"/>
        <v/>
      </c>
      <c r="AE5">
        <v>4</v>
      </c>
      <c r="AF5" t="str">
        <f t="shared" si="7"/>
        <v/>
      </c>
      <c r="AH5" s="21">
        <v>2</v>
      </c>
      <c r="AI5" s="21" t="s">
        <v>3669</v>
      </c>
      <c r="AJ5" s="21" t="s">
        <v>3670</v>
      </c>
      <c r="AK5" s="21" t="s">
        <v>3740</v>
      </c>
      <c r="AL5" s="21" t="s">
        <v>3741</v>
      </c>
      <c r="AM5" s="21" t="s">
        <v>3742</v>
      </c>
      <c r="AN5" s="21" t="s">
        <v>3743</v>
      </c>
      <c r="AO5" s="21" t="s">
        <v>1788</v>
      </c>
      <c r="AP5" s="21" t="s">
        <v>3784</v>
      </c>
      <c r="AQ5" s="21" t="s">
        <v>3702</v>
      </c>
      <c r="AR5" s="21" t="s">
        <v>3702</v>
      </c>
      <c r="AS5" s="21" t="s">
        <v>3784</v>
      </c>
      <c r="AT5" s="21"/>
      <c r="AU5" s="21" t="s">
        <v>3802</v>
      </c>
      <c r="AV5" s="21" t="s">
        <v>3793</v>
      </c>
      <c r="AW5" s="21" t="s">
        <v>3721</v>
      </c>
      <c r="AX5" s="21" t="s">
        <v>3794</v>
      </c>
      <c r="BD5">
        <f t="shared" si="8"/>
        <v>0</v>
      </c>
      <c r="BE5">
        <f t="shared" si="9"/>
        <v>0</v>
      </c>
      <c r="BF5">
        <f t="shared" si="10"/>
        <v>0</v>
      </c>
      <c r="BG5" s="136" t="s">
        <v>3794</v>
      </c>
      <c r="BH5" s="136"/>
      <c r="BI5" s="136">
        <v>1</v>
      </c>
      <c r="BJ5" s="136"/>
      <c r="BK5" s="136"/>
      <c r="BL5" s="136"/>
      <c r="BM5" s="136"/>
      <c r="BN5" s="136"/>
      <c r="BO5" s="136"/>
      <c r="BP5" s="136"/>
      <c r="BQ5" s="136"/>
      <c r="BR5" s="136"/>
      <c r="BS5" s="136"/>
      <c r="BT5" s="136"/>
      <c r="BU5" s="136"/>
      <c r="BV5" s="136"/>
      <c r="BW5" s="136"/>
      <c r="BX5" s="136"/>
      <c r="BY5" s="136"/>
      <c r="BZ5" s="136"/>
    </row>
    <row r="6" spans="2:78" x14ac:dyDescent="0.2">
      <c r="C6" s="50" t="s">
        <v>3681</v>
      </c>
      <c r="D6" s="51" t="str">
        <f>IF('MOD1'!AA24="","",'MOD1'!AA24)</f>
        <v/>
      </c>
      <c r="G6" s="16" t="s">
        <v>349</v>
      </c>
      <c r="H6" s="20"/>
      <c r="I6" s="20">
        <f t="shared" si="1"/>
        <v>0</v>
      </c>
      <c r="J6" s="16" t="s">
        <v>4</v>
      </c>
      <c r="K6" s="16" t="s">
        <v>52</v>
      </c>
      <c r="L6" s="20"/>
      <c r="M6" s="20" t="str">
        <f t="shared" si="2"/>
        <v>AMAZONAS BAGUA IMAZA</v>
      </c>
      <c r="N6" s="20">
        <f t="shared" si="3"/>
        <v>0</v>
      </c>
      <c r="O6" s="16" t="s">
        <v>4</v>
      </c>
      <c r="P6" s="16" t="s">
        <v>5</v>
      </c>
      <c r="Q6" s="16" t="s">
        <v>10</v>
      </c>
      <c r="R6" s="16" t="s">
        <v>1813</v>
      </c>
      <c r="T6" s="20">
        <f t="shared" si="4"/>
        <v>0</v>
      </c>
      <c r="U6" s="112" t="s">
        <v>4</v>
      </c>
      <c r="V6" s="112" t="s">
        <v>4204</v>
      </c>
      <c r="W6" s="112" t="s">
        <v>3949</v>
      </c>
      <c r="Y6">
        <v>5</v>
      </c>
      <c r="Z6" t="str">
        <f t="shared" si="5"/>
        <v/>
      </c>
      <c r="AB6">
        <v>5</v>
      </c>
      <c r="AC6" t="str">
        <f t="shared" si="6"/>
        <v/>
      </c>
      <c r="AE6">
        <v>5</v>
      </c>
      <c r="AF6" t="str">
        <f t="shared" si="7"/>
        <v/>
      </c>
      <c r="AH6" s="21">
        <v>3</v>
      </c>
      <c r="AI6" s="21" t="s">
        <v>3657</v>
      </c>
      <c r="AJ6" s="21" t="s">
        <v>3667</v>
      </c>
      <c r="AK6" s="21" t="s">
        <v>3797</v>
      </c>
      <c r="AL6" s="21" t="s">
        <v>3798</v>
      </c>
      <c r="AM6" s="21" t="s">
        <v>3744</v>
      </c>
      <c r="AN6" s="21" t="s">
        <v>3799</v>
      </c>
      <c r="AO6" s="21" t="s">
        <v>1789</v>
      </c>
      <c r="AP6" s="21" t="s">
        <v>3703</v>
      </c>
      <c r="AQ6" s="21" t="s">
        <v>3702</v>
      </c>
      <c r="AR6" s="21" t="s">
        <v>3789</v>
      </c>
      <c r="AS6" s="21" t="s">
        <v>3792</v>
      </c>
      <c r="AT6" s="21"/>
      <c r="AU6" s="21" t="s">
        <v>3802</v>
      </c>
      <c r="AV6" s="21" t="s">
        <v>3793</v>
      </c>
      <c r="AW6" s="21" t="s">
        <v>3721</v>
      </c>
      <c r="AX6" s="21" t="s">
        <v>3816</v>
      </c>
      <c r="BD6">
        <f t="shared" si="8"/>
        <v>0</v>
      </c>
      <c r="BE6">
        <f t="shared" si="9"/>
        <v>0</v>
      </c>
      <c r="BF6">
        <f t="shared" si="10"/>
        <v>0</v>
      </c>
      <c r="BG6" s="136" t="s">
        <v>3816</v>
      </c>
      <c r="BH6" s="136"/>
      <c r="BI6" s="136"/>
      <c r="BJ6" s="136">
        <v>1</v>
      </c>
      <c r="BK6" s="136"/>
      <c r="BL6" s="136"/>
      <c r="BM6" s="136"/>
      <c r="BN6" s="136"/>
      <c r="BO6" s="136"/>
      <c r="BP6" s="136"/>
      <c r="BQ6" s="136"/>
      <c r="BR6" s="136"/>
      <c r="BS6" s="136"/>
      <c r="BT6" s="136"/>
      <c r="BU6" s="136"/>
      <c r="BV6" s="136"/>
      <c r="BW6" s="136"/>
      <c r="BX6" s="136"/>
      <c r="BY6" s="136"/>
      <c r="BZ6" s="136"/>
    </row>
    <row r="7" spans="2:78" x14ac:dyDescent="0.2">
      <c r="C7" s="50" t="s">
        <v>4057</v>
      </c>
      <c r="D7" s="51" t="str">
        <f>IF('MOD1'!AP24="","",'MOD1'!AP24)</f>
        <v/>
      </c>
      <c r="G7" s="16" t="s">
        <v>459</v>
      </c>
      <c r="H7" s="20"/>
      <c r="I7" s="20">
        <f t="shared" si="1"/>
        <v>0</v>
      </c>
      <c r="J7" s="16" t="s">
        <v>4</v>
      </c>
      <c r="K7" s="16" t="s">
        <v>75</v>
      </c>
      <c r="L7" s="20"/>
      <c r="M7" s="20" t="str">
        <f t="shared" si="2"/>
        <v>AMAZONAS BAGUA LA PECA</v>
      </c>
      <c r="N7" s="20">
        <f t="shared" si="3"/>
        <v>0</v>
      </c>
      <c r="O7" s="16" t="s">
        <v>4</v>
      </c>
      <c r="P7" s="16" t="s">
        <v>5</v>
      </c>
      <c r="Q7" s="16" t="s">
        <v>11</v>
      </c>
      <c r="R7" s="16" t="s">
        <v>1814</v>
      </c>
      <c r="T7" s="20">
        <f t="shared" si="4"/>
        <v>0</v>
      </c>
      <c r="U7" s="112" t="s">
        <v>4</v>
      </c>
      <c r="V7" s="112" t="s">
        <v>4205</v>
      </c>
      <c r="W7" s="112" t="s">
        <v>3969</v>
      </c>
      <c r="Y7">
        <v>6</v>
      </c>
      <c r="Z7" t="str">
        <f t="shared" si="5"/>
        <v/>
      </c>
      <c r="AB7">
        <v>6</v>
      </c>
      <c r="AC7" t="str">
        <f t="shared" si="6"/>
        <v/>
      </c>
      <c r="AE7">
        <v>6</v>
      </c>
      <c r="AF7" t="str">
        <f t="shared" si="7"/>
        <v/>
      </c>
      <c r="AH7" s="21">
        <v>3</v>
      </c>
      <c r="AI7" s="21" t="s">
        <v>3657</v>
      </c>
      <c r="AJ7" s="21" t="s">
        <v>3728</v>
      </c>
      <c r="AK7" s="21" t="s">
        <v>3745</v>
      </c>
      <c r="AL7" s="21" t="s">
        <v>3746</v>
      </c>
      <c r="AM7" s="21" t="s">
        <v>3747</v>
      </c>
      <c r="AN7" s="21" t="s">
        <v>3748</v>
      </c>
      <c r="AO7" s="21" t="s">
        <v>3778</v>
      </c>
      <c r="AP7" s="21" t="s">
        <v>3706</v>
      </c>
      <c r="AQ7" s="21" t="s">
        <v>3702</v>
      </c>
      <c r="AR7" s="21" t="s">
        <v>3702</v>
      </c>
      <c r="AS7" s="21" t="s">
        <v>3792</v>
      </c>
      <c r="AT7" s="21"/>
      <c r="AU7" s="21" t="s">
        <v>3802</v>
      </c>
      <c r="AV7" s="21" t="s">
        <v>3793</v>
      </c>
      <c r="AW7" s="21" t="s">
        <v>3721</v>
      </c>
      <c r="AX7" s="21" t="s">
        <v>3823</v>
      </c>
      <c r="BD7">
        <f t="shared" si="8"/>
        <v>0</v>
      </c>
      <c r="BE7">
        <f t="shared" si="9"/>
        <v>0</v>
      </c>
      <c r="BF7">
        <f t="shared" si="10"/>
        <v>0</v>
      </c>
      <c r="BG7" s="136" t="s">
        <v>3823</v>
      </c>
      <c r="BH7" s="136"/>
      <c r="BI7" s="136"/>
      <c r="BJ7" s="136"/>
      <c r="BK7" s="136"/>
      <c r="BL7" s="136"/>
      <c r="BM7" s="136">
        <v>1</v>
      </c>
      <c r="BN7" s="136"/>
      <c r="BO7" s="136"/>
      <c r="BP7" s="136"/>
      <c r="BQ7" s="136"/>
      <c r="BR7" s="136"/>
      <c r="BS7" s="136"/>
      <c r="BT7" s="136"/>
      <c r="BU7" s="136"/>
      <c r="BV7" s="136"/>
      <c r="BW7" s="136"/>
      <c r="BX7" s="136"/>
      <c r="BY7" s="136"/>
      <c r="BZ7" s="136"/>
    </row>
    <row r="8" spans="2:78" x14ac:dyDescent="0.2">
      <c r="G8" s="16" t="s">
        <v>575</v>
      </c>
      <c r="H8" s="20"/>
      <c r="I8" s="20">
        <f t="shared" si="1"/>
        <v>0</v>
      </c>
      <c r="J8" s="16" t="s">
        <v>4</v>
      </c>
      <c r="K8" s="16" t="s">
        <v>88</v>
      </c>
      <c r="L8" s="20"/>
      <c r="M8" s="20" t="str">
        <f t="shared" si="2"/>
        <v>AMAZONAS BONGARA CHISQUILLA</v>
      </c>
      <c r="N8" s="20">
        <f t="shared" si="3"/>
        <v>0</v>
      </c>
      <c r="O8" s="16" t="s">
        <v>4</v>
      </c>
      <c r="P8" s="16" t="s">
        <v>12</v>
      </c>
      <c r="Q8" s="16" t="s">
        <v>13</v>
      </c>
      <c r="R8" s="16" t="s">
        <v>1815</v>
      </c>
      <c r="T8" s="20">
        <f t="shared" si="4"/>
        <v>0</v>
      </c>
      <c r="U8" s="112" t="s">
        <v>4</v>
      </c>
      <c r="V8" s="112" t="s">
        <v>4205</v>
      </c>
      <c r="W8" s="112" t="s">
        <v>4013</v>
      </c>
      <c r="Y8">
        <v>7</v>
      </c>
      <c r="Z8" t="str">
        <f t="shared" si="5"/>
        <v/>
      </c>
      <c r="AB8">
        <v>7</v>
      </c>
      <c r="AC8" t="str">
        <f t="shared" si="6"/>
        <v/>
      </c>
      <c r="AE8">
        <v>7</v>
      </c>
      <c r="AF8" t="str">
        <f t="shared" si="7"/>
        <v/>
      </c>
      <c r="AH8" s="21">
        <v>3</v>
      </c>
      <c r="AI8" s="21" t="s">
        <v>3657</v>
      </c>
      <c r="AJ8" s="21" t="s">
        <v>3729</v>
      </c>
      <c r="AK8" s="21" t="s">
        <v>3749</v>
      </c>
      <c r="AL8" s="21" t="s">
        <v>3750</v>
      </c>
      <c r="AM8" s="21" t="s">
        <v>3751</v>
      </c>
      <c r="AN8" s="21" t="s">
        <v>3752</v>
      </c>
      <c r="AO8" s="21" t="s">
        <v>3835</v>
      </c>
      <c r="AP8" s="21" t="s">
        <v>3784</v>
      </c>
      <c r="AQ8" s="21" t="s">
        <v>3784</v>
      </c>
      <c r="AR8" s="21" t="s">
        <v>3784</v>
      </c>
      <c r="AS8" s="21" t="s">
        <v>3710</v>
      </c>
      <c r="AT8" s="21"/>
      <c r="AU8" s="21" t="s">
        <v>3802</v>
      </c>
      <c r="AV8" s="21" t="s">
        <v>3793</v>
      </c>
      <c r="AW8" s="21" t="s">
        <v>3721</v>
      </c>
      <c r="AX8" s="21" t="s">
        <v>3795</v>
      </c>
      <c r="BD8">
        <f t="shared" si="8"/>
        <v>0</v>
      </c>
      <c r="BE8">
        <f t="shared" si="9"/>
        <v>0</v>
      </c>
      <c r="BF8">
        <f t="shared" si="10"/>
        <v>0</v>
      </c>
      <c r="BG8" s="136" t="s">
        <v>3795</v>
      </c>
      <c r="BH8" s="136"/>
      <c r="BI8" s="136">
        <v>1</v>
      </c>
      <c r="BJ8" s="136"/>
      <c r="BK8" s="136"/>
      <c r="BL8" s="136"/>
      <c r="BM8" s="136"/>
      <c r="BN8" s="136">
        <v>1</v>
      </c>
      <c r="BO8" s="136"/>
      <c r="BP8" s="136"/>
      <c r="BQ8" s="136"/>
      <c r="BR8" s="136"/>
      <c r="BS8" s="136"/>
      <c r="BT8" s="136"/>
      <c r="BU8" s="136"/>
      <c r="BV8" s="136"/>
      <c r="BW8" s="136"/>
      <c r="BX8" s="136"/>
      <c r="BY8" s="136"/>
      <c r="BZ8" s="136"/>
    </row>
    <row r="9" spans="2:78" x14ac:dyDescent="0.2">
      <c r="C9" s="50" t="s">
        <v>3682</v>
      </c>
      <c r="D9" s="51" t="str">
        <f>'MOD1'!D34</f>
        <v>Seleccionar</v>
      </c>
      <c r="G9" s="16" t="s">
        <v>690</v>
      </c>
      <c r="H9" s="20"/>
      <c r="I9" s="20">
        <f t="shared" si="1"/>
        <v>0</v>
      </c>
      <c r="J9" s="16" t="s">
        <v>96</v>
      </c>
      <c r="K9" s="16" t="s">
        <v>97</v>
      </c>
      <c r="L9" s="20"/>
      <c r="M9" s="20" t="str">
        <f t="shared" si="2"/>
        <v>AMAZONAS BONGARA CHURUJA</v>
      </c>
      <c r="N9" s="20">
        <f t="shared" si="3"/>
        <v>0</v>
      </c>
      <c r="O9" s="16" t="s">
        <v>4</v>
      </c>
      <c r="P9" s="16" t="s">
        <v>12</v>
      </c>
      <c r="Q9" s="16" t="s">
        <v>14</v>
      </c>
      <c r="R9" s="16" t="s">
        <v>1816</v>
      </c>
      <c r="T9" s="20">
        <f t="shared" si="4"/>
        <v>0</v>
      </c>
      <c r="U9" s="112" t="s">
        <v>4</v>
      </c>
      <c r="V9" s="112" t="s">
        <v>4207</v>
      </c>
      <c r="W9" s="112" t="s">
        <v>4043</v>
      </c>
      <c r="Y9">
        <v>8</v>
      </c>
      <c r="Z9" t="str">
        <f t="shared" si="5"/>
        <v/>
      </c>
      <c r="AB9">
        <v>8</v>
      </c>
      <c r="AC9" t="str">
        <f t="shared" si="6"/>
        <v/>
      </c>
      <c r="AE9">
        <v>8</v>
      </c>
      <c r="AF9" t="str">
        <f t="shared" si="7"/>
        <v/>
      </c>
      <c r="AH9" s="21">
        <v>3</v>
      </c>
      <c r="AI9" s="21" t="s">
        <v>3657</v>
      </c>
      <c r="AJ9" s="21" t="s">
        <v>3668</v>
      </c>
      <c r="AK9" s="21" t="s">
        <v>3753</v>
      </c>
      <c r="AL9" s="21" t="s">
        <v>3754</v>
      </c>
      <c r="AM9" s="21" t="s">
        <v>3755</v>
      </c>
      <c r="AN9" s="21" t="s">
        <v>3756</v>
      </c>
      <c r="AO9" s="21" t="s">
        <v>3836</v>
      </c>
      <c r="AP9" s="21" t="s">
        <v>3784</v>
      </c>
      <c r="AQ9" s="21" t="s">
        <v>3784</v>
      </c>
      <c r="AR9" s="21" t="s">
        <v>3784</v>
      </c>
      <c r="AS9" s="21" t="s">
        <v>3711</v>
      </c>
      <c r="AT9" s="21"/>
      <c r="AU9" s="21" t="s">
        <v>3802</v>
      </c>
      <c r="AV9" s="21" t="s">
        <v>3793</v>
      </c>
      <c r="AW9" s="21" t="s">
        <v>3721</v>
      </c>
      <c r="AX9" s="21" t="s">
        <v>3722</v>
      </c>
      <c r="BD9">
        <f t="shared" si="8"/>
        <v>0</v>
      </c>
      <c r="BE9">
        <f t="shared" si="9"/>
        <v>0</v>
      </c>
      <c r="BF9">
        <f t="shared" si="10"/>
        <v>0</v>
      </c>
      <c r="BG9" s="136" t="s">
        <v>3722</v>
      </c>
      <c r="BH9" s="136"/>
      <c r="BI9" s="136"/>
      <c r="BJ9" s="136"/>
      <c r="BK9" s="136">
        <v>1</v>
      </c>
      <c r="BL9" s="136"/>
      <c r="BM9" s="136"/>
      <c r="BN9" s="136"/>
      <c r="BO9" s="136">
        <v>1</v>
      </c>
      <c r="BP9" s="136"/>
      <c r="BQ9" s="136"/>
      <c r="BR9" s="136"/>
      <c r="BS9" s="136"/>
      <c r="BT9" s="136"/>
      <c r="BU9" s="136"/>
      <c r="BV9" s="136"/>
      <c r="BW9" s="136"/>
      <c r="BX9" s="136"/>
      <c r="BY9" s="136"/>
      <c r="BZ9" s="136"/>
    </row>
    <row r="10" spans="2:78" x14ac:dyDescent="0.2">
      <c r="C10" s="50" t="s">
        <v>3683</v>
      </c>
      <c r="D10" s="51" t="str">
        <f>'MOD1'!S34</f>
        <v>Seleccionar</v>
      </c>
      <c r="G10" s="16" t="s">
        <v>696</v>
      </c>
      <c r="H10" s="20"/>
      <c r="I10" s="20">
        <f t="shared" si="1"/>
        <v>0</v>
      </c>
      <c r="J10" s="16" t="s">
        <v>96</v>
      </c>
      <c r="K10" s="16" t="s">
        <v>102</v>
      </c>
      <c r="L10" s="20"/>
      <c r="M10" s="20" t="str">
        <f t="shared" si="2"/>
        <v>AMAZONAS BONGARA COROSHA</v>
      </c>
      <c r="N10" s="20">
        <f t="shared" si="3"/>
        <v>0</v>
      </c>
      <c r="O10" s="16" t="s">
        <v>4</v>
      </c>
      <c r="P10" s="16" t="s">
        <v>12</v>
      </c>
      <c r="Q10" s="16" t="s">
        <v>15</v>
      </c>
      <c r="R10" s="16" t="s">
        <v>1817</v>
      </c>
      <c r="T10" s="20">
        <f t="shared" si="4"/>
        <v>0</v>
      </c>
      <c r="U10" s="112" t="s">
        <v>96</v>
      </c>
      <c r="V10" s="112" t="s">
        <v>4208</v>
      </c>
      <c r="W10" s="112" t="s">
        <v>3861</v>
      </c>
      <c r="Y10">
        <v>9</v>
      </c>
      <c r="Z10" t="str">
        <f t="shared" si="5"/>
        <v/>
      </c>
      <c r="AB10">
        <v>9</v>
      </c>
      <c r="AC10" t="str">
        <f t="shared" si="6"/>
        <v/>
      </c>
      <c r="AE10">
        <v>9</v>
      </c>
      <c r="AF10" t="str">
        <f t="shared" si="7"/>
        <v/>
      </c>
      <c r="AH10" s="21">
        <v>4</v>
      </c>
      <c r="AI10" s="21" t="s">
        <v>4095</v>
      </c>
      <c r="AJ10" s="21" t="s">
        <v>3730</v>
      </c>
      <c r="AK10" s="21" t="s">
        <v>3757</v>
      </c>
      <c r="AL10" s="21" t="s">
        <v>3758</v>
      </c>
      <c r="AM10" s="21" t="s">
        <v>3829</v>
      </c>
      <c r="AN10" s="21" t="s">
        <v>3833</v>
      </c>
      <c r="AO10" s="21" t="s">
        <v>3779</v>
      </c>
      <c r="AP10" s="21" t="s">
        <v>3785</v>
      </c>
      <c r="AQ10" s="21" t="s">
        <v>3786</v>
      </c>
      <c r="AR10" s="21" t="s">
        <v>3706</v>
      </c>
      <c r="AS10" s="21" t="s">
        <v>3711</v>
      </c>
      <c r="AT10" s="21"/>
      <c r="AU10" s="21" t="s">
        <v>3802</v>
      </c>
      <c r="AV10" s="21" t="s">
        <v>3793</v>
      </c>
      <c r="AW10" s="21" t="s">
        <v>3721</v>
      </c>
      <c r="AX10" s="21" t="s">
        <v>3824</v>
      </c>
      <c r="BD10">
        <f t="shared" si="8"/>
        <v>0</v>
      </c>
      <c r="BE10">
        <f t="shared" si="9"/>
        <v>0</v>
      </c>
      <c r="BF10">
        <f t="shared" si="10"/>
        <v>0</v>
      </c>
      <c r="BG10" s="136" t="s">
        <v>3824</v>
      </c>
      <c r="BH10" s="136"/>
      <c r="BI10" s="136"/>
      <c r="BJ10" s="136"/>
      <c r="BK10" s="136"/>
      <c r="BL10" s="136"/>
      <c r="BM10" s="136"/>
      <c r="BN10" s="136"/>
      <c r="BO10" s="136"/>
      <c r="BP10" s="136"/>
      <c r="BQ10" s="136"/>
      <c r="BR10" s="136"/>
      <c r="BS10" s="136"/>
      <c r="BT10" s="136"/>
      <c r="BU10" s="136"/>
      <c r="BV10" s="136"/>
      <c r="BW10" s="136"/>
      <c r="BX10" s="136">
        <v>1</v>
      </c>
      <c r="BY10" s="136"/>
      <c r="BZ10" s="136"/>
    </row>
    <row r="11" spans="2:78" x14ac:dyDescent="0.2">
      <c r="C11" s="50" t="s">
        <v>3684</v>
      </c>
      <c r="D11" s="51" t="str">
        <f>'MOD1'!D39</f>
        <v>Seleccionar</v>
      </c>
      <c r="G11" s="16" t="s">
        <v>799</v>
      </c>
      <c r="H11" s="20"/>
      <c r="I11" s="20">
        <f t="shared" si="1"/>
        <v>0</v>
      </c>
      <c r="J11" s="16" t="s">
        <v>96</v>
      </c>
      <c r="K11" s="16" t="s">
        <v>27</v>
      </c>
      <c r="L11" s="20"/>
      <c r="M11" s="20" t="str">
        <f t="shared" si="2"/>
        <v>AMAZONAS BONGARA CUISPES</v>
      </c>
      <c r="N11" s="20">
        <f t="shared" si="3"/>
        <v>0</v>
      </c>
      <c r="O11" s="16" t="s">
        <v>4</v>
      </c>
      <c r="P11" s="16" t="s">
        <v>12</v>
      </c>
      <c r="Q11" s="16" t="s">
        <v>16</v>
      </c>
      <c r="R11" s="16" t="s">
        <v>1818</v>
      </c>
      <c r="T11" s="20">
        <f t="shared" si="4"/>
        <v>0</v>
      </c>
      <c r="U11" s="112" t="s">
        <v>96</v>
      </c>
      <c r="V11" s="112" t="s">
        <v>4209</v>
      </c>
      <c r="W11" s="112" t="s">
        <v>3869</v>
      </c>
      <c r="Y11">
        <v>10</v>
      </c>
      <c r="Z11" t="str">
        <f t="shared" si="5"/>
        <v/>
      </c>
      <c r="AB11">
        <v>10</v>
      </c>
      <c r="AC11" t="str">
        <f t="shared" si="6"/>
        <v/>
      </c>
      <c r="AE11">
        <v>10</v>
      </c>
      <c r="AF11" t="str">
        <f t="shared" si="7"/>
        <v/>
      </c>
      <c r="AH11" s="21">
        <v>4</v>
      </c>
      <c r="AI11" s="21" t="s">
        <v>4096</v>
      </c>
      <c r="AJ11" s="21" t="s">
        <v>3826</v>
      </c>
      <c r="AK11" s="21" t="s">
        <v>3759</v>
      </c>
      <c r="AL11" s="21" t="s">
        <v>3828</v>
      </c>
      <c r="AM11" s="21" t="s">
        <v>3830</v>
      </c>
      <c r="AN11" s="21" t="s">
        <v>3834</v>
      </c>
      <c r="AO11" s="21" t="s">
        <v>3837</v>
      </c>
      <c r="AP11" s="21" t="s">
        <v>3706</v>
      </c>
      <c r="AQ11" s="21" t="s">
        <v>3787</v>
      </c>
      <c r="AR11" s="21" t="s">
        <v>3706</v>
      </c>
      <c r="AS11" s="21" t="s">
        <v>3706</v>
      </c>
      <c r="AT11" s="21"/>
      <c r="AU11" s="21" t="s">
        <v>3802</v>
      </c>
      <c r="AV11" s="21" t="s">
        <v>3793</v>
      </c>
      <c r="AW11" s="21" t="s">
        <v>3721</v>
      </c>
      <c r="AX11" s="21" t="s">
        <v>3708</v>
      </c>
      <c r="BD11">
        <f t="shared" si="8"/>
        <v>0</v>
      </c>
      <c r="BE11">
        <f t="shared" si="9"/>
        <v>0</v>
      </c>
      <c r="BF11">
        <f t="shared" si="10"/>
        <v>0</v>
      </c>
      <c r="BG11" s="136" t="s">
        <v>3708</v>
      </c>
      <c r="BH11" s="136"/>
      <c r="BI11" s="136"/>
      <c r="BJ11" s="136"/>
      <c r="BK11" s="136"/>
      <c r="BL11" s="136"/>
      <c r="BM11" s="136"/>
      <c r="BN11" s="136"/>
      <c r="BO11" s="136">
        <v>1</v>
      </c>
      <c r="BP11" s="136"/>
      <c r="BQ11" s="136"/>
      <c r="BR11" s="136"/>
      <c r="BS11" s="136"/>
      <c r="BT11" s="136"/>
      <c r="BU11" s="136"/>
      <c r="BV11" s="136"/>
      <c r="BW11" s="136"/>
      <c r="BX11" s="136"/>
      <c r="BY11" s="136"/>
      <c r="BZ11" s="136"/>
    </row>
    <row r="12" spans="2:78" x14ac:dyDescent="0.2">
      <c r="C12" s="52"/>
      <c r="G12" s="16" t="s">
        <v>885</v>
      </c>
      <c r="H12" s="20"/>
      <c r="I12" s="20">
        <f t="shared" si="1"/>
        <v>0</v>
      </c>
      <c r="J12" s="16" t="s">
        <v>96</v>
      </c>
      <c r="K12" s="16" t="s">
        <v>111</v>
      </c>
      <c r="L12" s="20"/>
      <c r="M12" s="20" t="str">
        <f t="shared" si="2"/>
        <v>AMAZONAS BONGARA FLORIDA</v>
      </c>
      <c r="N12" s="20">
        <f t="shared" si="3"/>
        <v>0</v>
      </c>
      <c r="O12" s="16" t="s">
        <v>4</v>
      </c>
      <c r="P12" s="16" t="s">
        <v>12</v>
      </c>
      <c r="Q12" s="16" t="s">
        <v>17</v>
      </c>
      <c r="R12" s="16" t="s">
        <v>1819</v>
      </c>
      <c r="T12" s="20">
        <f t="shared" si="4"/>
        <v>0</v>
      </c>
      <c r="U12" s="112" t="s">
        <v>96</v>
      </c>
      <c r="V12" s="112" t="s">
        <v>4210</v>
      </c>
      <c r="W12" s="112" t="s">
        <v>3873</v>
      </c>
      <c r="Y12">
        <v>11</v>
      </c>
      <c r="Z12" t="str">
        <f t="shared" si="5"/>
        <v/>
      </c>
      <c r="AB12">
        <v>11</v>
      </c>
      <c r="AC12" t="str">
        <f t="shared" si="6"/>
        <v/>
      </c>
      <c r="AE12">
        <v>11</v>
      </c>
      <c r="AF12" t="str">
        <f t="shared" si="7"/>
        <v/>
      </c>
      <c r="AH12" s="21">
        <v>4</v>
      </c>
      <c r="AI12" s="21" t="s">
        <v>3658</v>
      </c>
      <c r="AJ12" s="21" t="s">
        <v>3731</v>
      </c>
      <c r="AK12" s="21" t="s">
        <v>3760</v>
      </c>
      <c r="AL12" s="21" t="s">
        <v>3761</v>
      </c>
      <c r="AM12" s="21" t="s">
        <v>3762</v>
      </c>
      <c r="AN12" s="21" t="s">
        <v>3763</v>
      </c>
      <c r="AO12" s="21" t="s">
        <v>3780</v>
      </c>
      <c r="AP12" s="21" t="s">
        <v>3706</v>
      </c>
      <c r="AQ12" s="21" t="s">
        <v>3702</v>
      </c>
      <c r="AR12" s="21" t="s">
        <v>3790</v>
      </c>
      <c r="AS12" s="21" t="s">
        <v>3710</v>
      </c>
      <c r="AT12" s="21"/>
      <c r="AU12" s="21" t="s">
        <v>3802</v>
      </c>
      <c r="AV12" s="21" t="s">
        <v>3793</v>
      </c>
      <c r="AW12" s="21" t="s">
        <v>3721</v>
      </c>
      <c r="AX12" s="21" t="s">
        <v>3793</v>
      </c>
      <c r="BD12">
        <f t="shared" si="8"/>
        <v>0</v>
      </c>
      <c r="BE12">
        <f t="shared" si="9"/>
        <v>0</v>
      </c>
      <c r="BF12">
        <f t="shared" si="10"/>
        <v>0</v>
      </c>
      <c r="BG12" s="136" t="s">
        <v>3793</v>
      </c>
      <c r="BH12" s="136"/>
      <c r="BI12" s="136"/>
      <c r="BJ12" s="136"/>
      <c r="BK12" s="136"/>
      <c r="BL12" s="136"/>
      <c r="BM12" s="136"/>
      <c r="BN12" s="136"/>
      <c r="BO12" s="136"/>
      <c r="BP12" s="136"/>
      <c r="BQ12" s="136"/>
      <c r="BR12" s="136"/>
      <c r="BS12" s="136"/>
      <c r="BT12" s="136"/>
      <c r="BU12" s="136"/>
      <c r="BV12" s="136"/>
      <c r="BW12" s="136"/>
      <c r="BX12" s="136"/>
      <c r="BY12" s="136"/>
      <c r="BZ12" s="136"/>
    </row>
    <row r="13" spans="2:78" x14ac:dyDescent="0.2">
      <c r="B13" s="53" t="str">
        <f>D9&amp;" "&amp;D10&amp;" "&amp;D11</f>
        <v>Seleccionar Seleccionar Seleccionar</v>
      </c>
      <c r="C13" s="50" t="s">
        <v>1808</v>
      </c>
      <c r="D13" s="51" t="str">
        <f>IFERROR(VLOOKUP(B13,M1:R1864,6,FALSE),"")</f>
        <v/>
      </c>
      <c r="G13" s="16" t="s">
        <v>968</v>
      </c>
      <c r="H13" s="20"/>
      <c r="I13" s="20">
        <f t="shared" si="1"/>
        <v>0</v>
      </c>
      <c r="J13" s="16" t="s">
        <v>96</v>
      </c>
      <c r="K13" s="16" t="s">
        <v>127</v>
      </c>
      <c r="L13" s="20"/>
      <c r="M13" s="20" t="str">
        <f t="shared" si="2"/>
        <v>AMAZONAS BONGARA JAZAN</v>
      </c>
      <c r="N13" s="20">
        <f t="shared" si="3"/>
        <v>0</v>
      </c>
      <c r="O13" s="16" t="s">
        <v>4</v>
      </c>
      <c r="P13" s="16" t="s">
        <v>12</v>
      </c>
      <c r="Q13" s="16" t="s">
        <v>18</v>
      </c>
      <c r="R13" s="16" t="s">
        <v>1820</v>
      </c>
      <c r="T13" s="20">
        <f t="shared" si="4"/>
        <v>0</v>
      </c>
      <c r="U13" s="112" t="s">
        <v>96</v>
      </c>
      <c r="V13" s="112" t="s">
        <v>4211</v>
      </c>
      <c r="W13" s="112" t="s">
        <v>3881</v>
      </c>
      <c r="Y13">
        <v>12</v>
      </c>
      <c r="Z13" t="str">
        <f t="shared" si="5"/>
        <v/>
      </c>
      <c r="AB13">
        <v>12</v>
      </c>
      <c r="AC13" t="str">
        <f t="shared" si="6"/>
        <v/>
      </c>
      <c r="AE13">
        <v>12</v>
      </c>
      <c r="AF13" t="str">
        <f t="shared" si="7"/>
        <v/>
      </c>
      <c r="AH13" s="21">
        <v>4</v>
      </c>
      <c r="AI13" s="21" t="s">
        <v>3658</v>
      </c>
      <c r="AJ13" s="21" t="s">
        <v>3732</v>
      </c>
      <c r="AK13" s="21" t="s">
        <v>3764</v>
      </c>
      <c r="AL13" s="21" t="s">
        <v>3765</v>
      </c>
      <c r="AM13" s="21" t="s">
        <v>3766</v>
      </c>
      <c r="AN13" s="21" t="s">
        <v>3659</v>
      </c>
      <c r="AO13" s="21" t="s">
        <v>3781</v>
      </c>
      <c r="AP13" s="21" t="s">
        <v>3706</v>
      </c>
      <c r="AQ13" s="21" t="s">
        <v>3702</v>
      </c>
      <c r="AR13" s="21" t="s">
        <v>3702</v>
      </c>
      <c r="AS13" s="21" t="s">
        <v>3710</v>
      </c>
      <c r="AT13" s="21"/>
      <c r="AU13" s="21" t="s">
        <v>3802</v>
      </c>
      <c r="AV13" s="21" t="s">
        <v>3793</v>
      </c>
      <c r="AW13" s="21" t="s">
        <v>3721</v>
      </c>
      <c r="AX13" s="21" t="s">
        <v>3802</v>
      </c>
      <c r="BD13">
        <f t="shared" si="8"/>
        <v>0</v>
      </c>
      <c r="BE13">
        <f t="shared" si="9"/>
        <v>0</v>
      </c>
      <c r="BF13">
        <f t="shared" si="10"/>
        <v>0</v>
      </c>
      <c r="BG13" s="136" t="s">
        <v>3802</v>
      </c>
      <c r="BH13" s="136"/>
      <c r="BI13" s="136"/>
      <c r="BJ13" s="136"/>
      <c r="BK13" s="136"/>
      <c r="BL13" s="136"/>
      <c r="BM13" s="136"/>
      <c r="BN13" s="136"/>
      <c r="BO13" s="136"/>
      <c r="BP13" s="136"/>
      <c r="BQ13" s="136"/>
      <c r="BR13" s="136"/>
      <c r="BS13" s="136"/>
      <c r="BT13" s="136"/>
      <c r="BU13" s="136"/>
      <c r="BV13" s="136"/>
      <c r="BW13" s="136"/>
      <c r="BX13" s="136"/>
      <c r="BY13" s="136"/>
      <c r="BZ13" s="136"/>
    </row>
    <row r="14" spans="2:78" x14ac:dyDescent="0.2">
      <c r="G14" s="16" t="s">
        <v>1006</v>
      </c>
      <c r="H14" s="20"/>
      <c r="I14" s="20">
        <f t="shared" si="1"/>
        <v>0</v>
      </c>
      <c r="J14" s="16" t="s">
        <v>96</v>
      </c>
      <c r="K14" s="16" t="s">
        <v>138</v>
      </c>
      <c r="L14" s="20"/>
      <c r="M14" s="20" t="str">
        <f t="shared" si="2"/>
        <v>AMAZONAS BONGARA JUMBILLA</v>
      </c>
      <c r="N14" s="20">
        <f t="shared" si="3"/>
        <v>0</v>
      </c>
      <c r="O14" s="16" t="s">
        <v>4</v>
      </c>
      <c r="P14" s="16" t="s">
        <v>12</v>
      </c>
      <c r="Q14" s="16" t="s">
        <v>20</v>
      </c>
      <c r="R14" s="16" t="s">
        <v>1821</v>
      </c>
      <c r="T14" s="20">
        <f t="shared" si="4"/>
        <v>0</v>
      </c>
      <c r="U14" s="112" t="s">
        <v>96</v>
      </c>
      <c r="V14" s="112" t="s">
        <v>4212</v>
      </c>
      <c r="W14" s="112" t="s">
        <v>3892</v>
      </c>
      <c r="Y14">
        <v>13</v>
      </c>
      <c r="Z14" t="str">
        <f t="shared" si="5"/>
        <v/>
      </c>
      <c r="AB14">
        <v>13</v>
      </c>
      <c r="AC14" t="str">
        <f t="shared" si="6"/>
        <v/>
      </c>
      <c r="AE14">
        <v>13</v>
      </c>
      <c r="AF14" t="str">
        <f t="shared" si="7"/>
        <v/>
      </c>
      <c r="AH14" s="21">
        <v>4</v>
      </c>
      <c r="AI14" s="21" t="s">
        <v>3658</v>
      </c>
      <c r="AJ14" s="21" t="s">
        <v>3733</v>
      </c>
      <c r="AK14" s="21" t="s">
        <v>3767</v>
      </c>
      <c r="AL14" s="21" t="s">
        <v>3768</v>
      </c>
      <c r="AM14" s="21" t="s">
        <v>3817</v>
      </c>
      <c r="AN14" s="21" t="s">
        <v>3660</v>
      </c>
      <c r="AO14" s="21" t="s">
        <v>3661</v>
      </c>
      <c r="AP14" s="21" t="s">
        <v>3706</v>
      </c>
      <c r="AQ14" s="21" t="s">
        <v>3784</v>
      </c>
      <c r="AR14" s="21" t="s">
        <v>3784</v>
      </c>
      <c r="AS14" s="21" t="s">
        <v>3710</v>
      </c>
      <c r="AT14" s="21"/>
      <c r="AU14" s="21" t="s">
        <v>3802</v>
      </c>
      <c r="AV14" s="21" t="s">
        <v>3793</v>
      </c>
      <c r="AW14" s="21" t="s">
        <v>3721</v>
      </c>
      <c r="AX14" s="21" t="s">
        <v>3724</v>
      </c>
      <c r="BD14">
        <f t="shared" si="8"/>
        <v>0</v>
      </c>
      <c r="BE14">
        <f t="shared" si="9"/>
        <v>0</v>
      </c>
      <c r="BF14">
        <f t="shared" si="10"/>
        <v>0</v>
      </c>
      <c r="BG14" s="136" t="s">
        <v>3724</v>
      </c>
      <c r="BH14" s="136"/>
      <c r="BI14" s="136"/>
      <c r="BJ14" s="136"/>
      <c r="BK14" s="136"/>
      <c r="BL14" s="136"/>
      <c r="BM14" s="136"/>
      <c r="BN14" s="136">
        <v>1</v>
      </c>
      <c r="BO14" s="136">
        <v>1</v>
      </c>
      <c r="BP14" s="136"/>
      <c r="BQ14" s="136"/>
      <c r="BR14" s="136"/>
      <c r="BS14" s="136"/>
      <c r="BT14" s="136"/>
      <c r="BU14" s="136"/>
      <c r="BV14" s="136"/>
      <c r="BW14" s="136"/>
      <c r="BX14" s="136"/>
      <c r="BY14" s="136"/>
      <c r="BZ14" s="136"/>
    </row>
    <row r="15" spans="2:78" x14ac:dyDescent="0.2">
      <c r="C15" s="54" t="s">
        <v>4058</v>
      </c>
      <c r="D15" s="54" t="b">
        <f>(COUNTIF(D2:D3,"")+COUNTIF(D5:D6,"")+COUNTIF(D9:D11,"Seleccionar"))=0</f>
        <v>0</v>
      </c>
      <c r="G15" s="16" t="s">
        <v>159</v>
      </c>
      <c r="H15" s="20"/>
      <c r="I15" s="20">
        <f t="shared" si="1"/>
        <v>0</v>
      </c>
      <c r="J15" s="16" t="s">
        <v>96</v>
      </c>
      <c r="K15" s="16" t="s">
        <v>141</v>
      </c>
      <c r="L15" s="20"/>
      <c r="M15" s="20" t="str">
        <f t="shared" si="2"/>
        <v>AMAZONAS BONGARA RECTA</v>
      </c>
      <c r="N15" s="20">
        <f t="shared" si="3"/>
        <v>0</v>
      </c>
      <c r="O15" s="16" t="s">
        <v>4</v>
      </c>
      <c r="P15" s="16" t="s">
        <v>12</v>
      </c>
      <c r="Q15" s="16" t="s">
        <v>21</v>
      </c>
      <c r="R15" s="16" t="s">
        <v>1822</v>
      </c>
      <c r="T15" s="20">
        <f t="shared" si="4"/>
        <v>0</v>
      </c>
      <c r="U15" s="112" t="s">
        <v>96</v>
      </c>
      <c r="V15" s="112" t="s">
        <v>4213</v>
      </c>
      <c r="W15" s="112" t="s">
        <v>3893</v>
      </c>
      <c r="Y15">
        <v>14</v>
      </c>
      <c r="Z15" t="str">
        <f t="shared" si="5"/>
        <v/>
      </c>
      <c r="AB15">
        <v>14</v>
      </c>
      <c r="AC15" t="str">
        <f t="shared" si="6"/>
        <v/>
      </c>
      <c r="AE15">
        <v>14</v>
      </c>
      <c r="AF15" t="str">
        <f t="shared" si="7"/>
        <v/>
      </c>
      <c r="AH15" s="21">
        <v>4</v>
      </c>
      <c r="AI15" s="21" t="s">
        <v>3658</v>
      </c>
      <c r="AJ15" s="21" t="s">
        <v>3827</v>
      </c>
      <c r="AK15" s="21" t="s">
        <v>3769</v>
      </c>
      <c r="AL15" s="21" t="s">
        <v>3770</v>
      </c>
      <c r="AM15" s="21" t="s">
        <v>3771</v>
      </c>
      <c r="AN15" s="21" t="s">
        <v>3662</v>
      </c>
      <c r="AO15" s="21" t="s">
        <v>1790</v>
      </c>
      <c r="AP15" s="21" t="s">
        <v>3706</v>
      </c>
      <c r="AQ15" s="21" t="s">
        <v>3702</v>
      </c>
      <c r="AR15" s="21" t="s">
        <v>3706</v>
      </c>
      <c r="AS15" s="21" t="s">
        <v>3710</v>
      </c>
      <c r="AT15" s="21"/>
      <c r="AU15" s="21" t="s">
        <v>3802</v>
      </c>
      <c r="AV15" s="21" t="s">
        <v>3793</v>
      </c>
      <c r="AW15" s="21" t="s">
        <v>3721</v>
      </c>
      <c r="AX15" s="21" t="s">
        <v>3803</v>
      </c>
      <c r="BD15">
        <f t="shared" si="8"/>
        <v>0</v>
      </c>
      <c r="BE15">
        <f t="shared" si="9"/>
        <v>0</v>
      </c>
      <c r="BF15">
        <f t="shared" si="10"/>
        <v>0</v>
      </c>
      <c r="BG15" s="136" t="s">
        <v>3803</v>
      </c>
      <c r="BH15" s="136"/>
      <c r="BI15" s="136"/>
      <c r="BJ15" s="136"/>
      <c r="BK15" s="136"/>
      <c r="BL15" s="136"/>
      <c r="BM15" s="136"/>
      <c r="BN15" s="136"/>
      <c r="BO15" s="136"/>
      <c r="BP15" s="136"/>
      <c r="BQ15" s="136"/>
      <c r="BR15" s="136"/>
      <c r="BS15" s="136"/>
      <c r="BT15" s="136"/>
      <c r="BU15" s="136"/>
      <c r="BV15" s="136"/>
      <c r="BW15" s="136"/>
      <c r="BX15" s="136"/>
      <c r="BY15" s="136"/>
      <c r="BZ15" s="136"/>
    </row>
    <row r="16" spans="2:78" x14ac:dyDescent="0.2">
      <c r="G16" s="16" t="s">
        <v>1191</v>
      </c>
      <c r="H16" s="20"/>
      <c r="I16" s="20">
        <f t="shared" si="1"/>
        <v>0</v>
      </c>
      <c r="J16" s="16" t="s">
        <v>96</v>
      </c>
      <c r="K16" s="16" t="s">
        <v>146</v>
      </c>
      <c r="L16" s="20"/>
      <c r="M16" s="20" t="str">
        <f t="shared" si="2"/>
        <v>AMAZONAS BONGARA SAN CARLOS</v>
      </c>
      <c r="N16" s="20">
        <f t="shared" si="3"/>
        <v>0</v>
      </c>
      <c r="O16" s="16" t="s">
        <v>4</v>
      </c>
      <c r="P16" s="16" t="s">
        <v>12</v>
      </c>
      <c r="Q16" s="16" t="s">
        <v>22</v>
      </c>
      <c r="R16" s="16" t="s">
        <v>1823</v>
      </c>
      <c r="T16" s="20">
        <f t="shared" si="4"/>
        <v>0</v>
      </c>
      <c r="U16" s="112" t="s">
        <v>96</v>
      </c>
      <c r="V16" s="112" t="s">
        <v>4214</v>
      </c>
      <c r="W16" s="112" t="s">
        <v>3894</v>
      </c>
      <c r="Y16">
        <v>15</v>
      </c>
      <c r="Z16" t="str">
        <f t="shared" si="5"/>
        <v/>
      </c>
      <c r="AB16">
        <v>15</v>
      </c>
      <c r="AC16" t="str">
        <f t="shared" si="6"/>
        <v/>
      </c>
      <c r="AE16">
        <v>15</v>
      </c>
      <c r="AF16" t="str">
        <f t="shared" si="7"/>
        <v/>
      </c>
      <c r="AH16" s="21">
        <v>5</v>
      </c>
      <c r="AI16" s="21" t="s">
        <v>3663</v>
      </c>
      <c r="AJ16" s="21" t="s">
        <v>3734</v>
      </c>
      <c r="AK16" s="21" t="s">
        <v>3772</v>
      </c>
      <c r="AL16" s="21" t="s">
        <v>3773</v>
      </c>
      <c r="AM16" s="21" t="s">
        <v>3774</v>
      </c>
      <c r="AN16" s="21" t="s">
        <v>3775</v>
      </c>
      <c r="AO16" s="21" t="s">
        <v>1791</v>
      </c>
      <c r="AP16" s="21" t="s">
        <v>3706</v>
      </c>
      <c r="AQ16" s="21" t="s">
        <v>3702</v>
      </c>
      <c r="AR16" s="21" t="s">
        <v>3706</v>
      </c>
      <c r="AS16" s="21" t="s">
        <v>3710</v>
      </c>
      <c r="AT16" s="21"/>
      <c r="AU16" s="21" t="s">
        <v>3802</v>
      </c>
      <c r="AV16" s="21" t="s">
        <v>3793</v>
      </c>
      <c r="AW16" s="21" t="s">
        <v>3721</v>
      </c>
      <c r="AX16" s="21" t="s">
        <v>3706</v>
      </c>
      <c r="BD16">
        <f t="shared" si="8"/>
        <v>0</v>
      </c>
      <c r="BE16">
        <f t="shared" si="9"/>
        <v>0</v>
      </c>
      <c r="BF16">
        <f t="shared" si="10"/>
        <v>0</v>
      </c>
      <c r="BG16" s="136" t="s">
        <v>3706</v>
      </c>
      <c r="BH16" s="136">
        <v>1</v>
      </c>
      <c r="BI16" s="136"/>
      <c r="BJ16" s="136">
        <v>1</v>
      </c>
      <c r="BK16" s="136"/>
      <c r="BL16" s="136">
        <v>1</v>
      </c>
      <c r="BM16" s="136">
        <v>1</v>
      </c>
      <c r="BN16" s="136">
        <v>1</v>
      </c>
      <c r="BO16" s="136">
        <v>1</v>
      </c>
      <c r="BP16" s="136"/>
      <c r="BQ16" s="136">
        <v>1</v>
      </c>
      <c r="BR16" s="136"/>
      <c r="BS16" s="136">
        <v>1</v>
      </c>
      <c r="BT16" s="136">
        <v>1</v>
      </c>
      <c r="BU16" s="136">
        <v>1</v>
      </c>
      <c r="BV16" s="136"/>
      <c r="BW16" s="136"/>
      <c r="BX16" s="136"/>
      <c r="BY16" s="136"/>
      <c r="BZ16" s="136"/>
    </row>
    <row r="17" spans="1:78" x14ac:dyDescent="0.2">
      <c r="C17" s="50" t="s">
        <v>4061</v>
      </c>
      <c r="D17" s="51" t="str">
        <f>IF('MOD2'!D13="","",'MOD2'!D13)</f>
        <v/>
      </c>
      <c r="G17" s="16" t="s">
        <v>1225</v>
      </c>
      <c r="H17" s="20"/>
      <c r="I17" s="20">
        <f t="shared" si="1"/>
        <v>0</v>
      </c>
      <c r="J17" s="16" t="s">
        <v>96</v>
      </c>
      <c r="K17" s="16" t="s">
        <v>153</v>
      </c>
      <c r="L17" s="20"/>
      <c r="M17" s="20" t="str">
        <f t="shared" si="2"/>
        <v>AMAZONAS BONGARA SHIPASBAMBA</v>
      </c>
      <c r="N17" s="20">
        <f t="shared" si="3"/>
        <v>0</v>
      </c>
      <c r="O17" s="16" t="s">
        <v>4</v>
      </c>
      <c r="P17" s="16" t="s">
        <v>12</v>
      </c>
      <c r="Q17" s="16" t="s">
        <v>23</v>
      </c>
      <c r="R17" s="16" t="s">
        <v>1824</v>
      </c>
      <c r="T17" s="20">
        <f t="shared" si="4"/>
        <v>0</v>
      </c>
      <c r="U17" s="112" t="s">
        <v>96</v>
      </c>
      <c r="V17" s="112" t="s">
        <v>4215</v>
      </c>
      <c r="W17" s="112" t="s">
        <v>3917</v>
      </c>
      <c r="Y17">
        <v>16</v>
      </c>
      <c r="Z17" t="str">
        <f t="shared" si="5"/>
        <v/>
      </c>
      <c r="AB17">
        <v>16</v>
      </c>
      <c r="AC17" t="str">
        <f t="shared" si="6"/>
        <v/>
      </c>
      <c r="AE17">
        <v>16</v>
      </c>
      <c r="AF17" t="str">
        <f t="shared" si="7"/>
        <v/>
      </c>
      <c r="AH17" s="21"/>
      <c r="AI17" s="21" t="s">
        <v>3671</v>
      </c>
      <c r="AJ17" s="21" t="s">
        <v>3735</v>
      </c>
      <c r="AK17" s="21" t="s">
        <v>3664</v>
      </c>
      <c r="AL17" s="21" t="s">
        <v>3776</v>
      </c>
      <c r="AM17" s="21" t="s">
        <v>3777</v>
      </c>
      <c r="AN17" s="21" t="s">
        <v>3665</v>
      </c>
      <c r="AO17" s="21" t="s">
        <v>3782</v>
      </c>
      <c r="AP17" s="21" t="s">
        <v>3706</v>
      </c>
      <c r="AQ17" s="21" t="s">
        <v>3788</v>
      </c>
      <c r="AR17" s="21" t="s">
        <v>3706</v>
      </c>
      <c r="AS17" s="21" t="s">
        <v>3711</v>
      </c>
      <c r="AT17" s="21"/>
      <c r="AU17" s="21" t="s">
        <v>3802</v>
      </c>
      <c r="AV17" s="21" t="s">
        <v>3708</v>
      </c>
      <c r="AW17" s="21" t="s">
        <v>3803</v>
      </c>
      <c r="AX17" s="21" t="s">
        <v>3702</v>
      </c>
      <c r="BD17">
        <f t="shared" si="8"/>
        <v>0</v>
      </c>
      <c r="BE17">
        <f t="shared" si="9"/>
        <v>0</v>
      </c>
      <c r="BF17">
        <f t="shared" si="10"/>
        <v>0</v>
      </c>
      <c r="BG17" s="136" t="s">
        <v>3702</v>
      </c>
      <c r="BH17" s="136"/>
      <c r="BI17" s="136"/>
      <c r="BJ17" s="136"/>
      <c r="BK17" s="136"/>
      <c r="BL17" s="136"/>
      <c r="BM17" s="136"/>
      <c r="BN17" s="136"/>
      <c r="BO17" s="136"/>
      <c r="BP17" s="136">
        <v>1</v>
      </c>
      <c r="BQ17" s="136">
        <v>1</v>
      </c>
      <c r="BR17" s="136"/>
      <c r="BS17" s="136"/>
      <c r="BT17" s="136"/>
      <c r="BU17" s="136"/>
      <c r="BV17" s="136">
        <v>1</v>
      </c>
      <c r="BW17" s="136"/>
      <c r="BX17" s="136"/>
      <c r="BY17" s="136"/>
      <c r="BZ17" s="136"/>
    </row>
    <row r="18" spans="1:78" x14ac:dyDescent="0.2">
      <c r="C18" s="50" t="s">
        <v>4063</v>
      </c>
      <c r="D18" s="51" t="str">
        <f>IF('MOD2'!T13="","",'MOD2'!T13)</f>
        <v/>
      </c>
      <c r="G18" s="16" t="s">
        <v>1375</v>
      </c>
      <c r="H18" s="20"/>
      <c r="I18" s="20">
        <f t="shared" si="1"/>
        <v>0</v>
      </c>
      <c r="J18" s="16" t="s">
        <v>96</v>
      </c>
      <c r="K18" s="16" t="s">
        <v>164</v>
      </c>
      <c r="L18" s="20"/>
      <c r="M18" s="20" t="str">
        <f t="shared" si="2"/>
        <v>AMAZONAS BONGARA VALERA</v>
      </c>
      <c r="N18" s="20">
        <f t="shared" si="3"/>
        <v>0</v>
      </c>
      <c r="O18" s="16" t="s">
        <v>4</v>
      </c>
      <c r="P18" s="16" t="s">
        <v>12</v>
      </c>
      <c r="Q18" s="16" t="s">
        <v>24</v>
      </c>
      <c r="R18" s="16" t="s">
        <v>1825</v>
      </c>
      <c r="T18" s="20">
        <f t="shared" si="4"/>
        <v>0</v>
      </c>
      <c r="U18" s="112" t="s">
        <v>96</v>
      </c>
      <c r="V18" s="112" t="s">
        <v>4216</v>
      </c>
      <c r="W18" s="112" t="s">
        <v>3943</v>
      </c>
      <c r="Y18">
        <v>17</v>
      </c>
      <c r="Z18" t="str">
        <f t="shared" si="5"/>
        <v/>
      </c>
      <c r="AB18">
        <v>17</v>
      </c>
      <c r="AC18" t="str">
        <f t="shared" si="6"/>
        <v/>
      </c>
      <c r="AE18">
        <v>17</v>
      </c>
      <c r="AF18" t="str">
        <f t="shared" si="7"/>
        <v/>
      </c>
      <c r="AH18" s="21"/>
      <c r="AI18" s="21" t="s">
        <v>3672</v>
      </c>
      <c r="AJ18" s="21" t="s">
        <v>3735</v>
      </c>
      <c r="AK18" s="21" t="s">
        <v>3664</v>
      </c>
      <c r="AL18" s="21" t="s">
        <v>3776</v>
      </c>
      <c r="AM18" s="21" t="s">
        <v>3777</v>
      </c>
      <c r="AN18" s="21" t="s">
        <v>3665</v>
      </c>
      <c r="AO18" s="21" t="s">
        <v>3782</v>
      </c>
      <c r="AP18" s="21" t="s">
        <v>3706</v>
      </c>
      <c r="AQ18" s="21" t="s">
        <v>3788</v>
      </c>
      <c r="AR18" s="21" t="s">
        <v>3706</v>
      </c>
      <c r="AS18" s="21" t="s">
        <v>3711</v>
      </c>
      <c r="AT18" s="21"/>
      <c r="AU18" s="21" t="s">
        <v>3802</v>
      </c>
      <c r="AV18" s="21" t="s">
        <v>3708</v>
      </c>
      <c r="AW18" s="21" t="s">
        <v>3803</v>
      </c>
      <c r="AX18" s="21" t="s">
        <v>3705</v>
      </c>
      <c r="BD18">
        <f t="shared" si="8"/>
        <v>0</v>
      </c>
      <c r="BE18">
        <f t="shared" si="9"/>
        <v>0</v>
      </c>
      <c r="BF18">
        <f t="shared" si="10"/>
        <v>0</v>
      </c>
      <c r="BG18" s="136" t="s">
        <v>3705</v>
      </c>
      <c r="BH18" s="136"/>
      <c r="BI18" s="136"/>
      <c r="BJ18" s="136"/>
      <c r="BK18" s="136"/>
      <c r="BL18" s="136"/>
      <c r="BM18" s="136"/>
      <c r="BN18" s="136"/>
      <c r="BO18" s="136"/>
      <c r="BP18" s="136"/>
      <c r="BQ18" s="136"/>
      <c r="BR18" s="136">
        <v>1</v>
      </c>
      <c r="BS18" s="136"/>
      <c r="BT18" s="136"/>
      <c r="BU18" s="136"/>
      <c r="BV18" s="136"/>
      <c r="BW18" s="136"/>
      <c r="BX18" s="136"/>
      <c r="BY18" s="136"/>
      <c r="BZ18" s="136"/>
    </row>
    <row r="19" spans="1:78" x14ac:dyDescent="0.2">
      <c r="C19" s="50" t="s">
        <v>4062</v>
      </c>
      <c r="D19" s="51" t="str">
        <f>IF('MOD2'!AJ13="","",'MOD2'!AJ13)</f>
        <v/>
      </c>
      <c r="G19" s="16" t="s">
        <v>1425</v>
      </c>
      <c r="H19" s="20"/>
      <c r="I19" s="20">
        <f t="shared" si="1"/>
        <v>0</v>
      </c>
      <c r="J19" s="16" t="s">
        <v>96</v>
      </c>
      <c r="K19" s="16" t="s">
        <v>179</v>
      </c>
      <c r="L19" s="20"/>
      <c r="M19" s="20" t="str">
        <f t="shared" si="2"/>
        <v>AMAZONAS BONGARA YAMBRASBAMBA</v>
      </c>
      <c r="N19" s="20">
        <f t="shared" si="3"/>
        <v>0</v>
      </c>
      <c r="O19" s="16" t="s">
        <v>4</v>
      </c>
      <c r="P19" s="16" t="s">
        <v>12</v>
      </c>
      <c r="Q19" s="16" t="s">
        <v>25</v>
      </c>
      <c r="R19" s="16" t="s">
        <v>1826</v>
      </c>
      <c r="T19" s="20">
        <f t="shared" si="4"/>
        <v>0</v>
      </c>
      <c r="U19" s="112" t="s">
        <v>96</v>
      </c>
      <c r="V19" s="112" t="s">
        <v>4217</v>
      </c>
      <c r="W19" s="112" t="s">
        <v>3944</v>
      </c>
      <c r="Y19">
        <v>18</v>
      </c>
      <c r="Z19" t="str">
        <f t="shared" si="5"/>
        <v/>
      </c>
      <c r="AB19">
        <v>18</v>
      </c>
      <c r="AC19" t="str">
        <f t="shared" si="6"/>
        <v/>
      </c>
      <c r="AE19">
        <v>18</v>
      </c>
      <c r="AF19" t="str">
        <f t="shared" si="7"/>
        <v/>
      </c>
      <c r="AH19" s="21"/>
      <c r="AI19" s="21" t="s">
        <v>3673</v>
      </c>
      <c r="AJ19" s="21" t="s">
        <v>3735</v>
      </c>
      <c r="AK19" s="21" t="s">
        <v>3664</v>
      </c>
      <c r="AL19" s="21" t="s">
        <v>3776</v>
      </c>
      <c r="AM19" s="21" t="s">
        <v>3777</v>
      </c>
      <c r="AN19" s="21" t="s">
        <v>3665</v>
      </c>
      <c r="AO19" s="21" t="s">
        <v>3782</v>
      </c>
      <c r="AP19" s="21" t="s">
        <v>3706</v>
      </c>
      <c r="AQ19" s="21" t="s">
        <v>3788</v>
      </c>
      <c r="AR19" s="21" t="s">
        <v>3706</v>
      </c>
      <c r="AS19" s="21" t="s">
        <v>3711</v>
      </c>
      <c r="AT19" s="21"/>
      <c r="AU19" s="21" t="s">
        <v>3802</v>
      </c>
      <c r="AV19" s="21" t="s">
        <v>3708</v>
      </c>
      <c r="AW19" s="21" t="s">
        <v>3803</v>
      </c>
      <c r="AX19" s="21" t="s">
        <v>3814</v>
      </c>
      <c r="BD19">
        <f t="shared" si="8"/>
        <v>0</v>
      </c>
      <c r="BE19">
        <f t="shared" si="9"/>
        <v>0</v>
      </c>
      <c r="BF19">
        <f t="shared" si="10"/>
        <v>0</v>
      </c>
      <c r="BG19" s="136" t="s">
        <v>3814</v>
      </c>
      <c r="BH19" s="136"/>
      <c r="BI19" s="136"/>
      <c r="BJ19" s="136"/>
      <c r="BK19" s="136"/>
      <c r="BL19" s="136"/>
      <c r="BM19" s="136"/>
      <c r="BN19" s="136"/>
      <c r="BO19" s="136"/>
      <c r="BP19" s="136"/>
      <c r="BQ19" s="136"/>
      <c r="BR19" s="136"/>
      <c r="BS19" s="136">
        <v>1</v>
      </c>
      <c r="BT19" s="136"/>
      <c r="BU19" s="136"/>
      <c r="BV19" s="136"/>
      <c r="BW19" s="136"/>
      <c r="BX19" s="136"/>
      <c r="BY19" s="136"/>
      <c r="BZ19" s="136"/>
    </row>
    <row r="20" spans="1:78" x14ac:dyDescent="0.2">
      <c r="G20" s="16" t="s">
        <v>1436</v>
      </c>
      <c r="H20" s="20"/>
      <c r="I20" s="20">
        <f t="shared" si="1"/>
        <v>0</v>
      </c>
      <c r="J20" s="16" t="s">
        <v>96</v>
      </c>
      <c r="K20" s="16" t="s">
        <v>184</v>
      </c>
      <c r="L20" s="20"/>
      <c r="M20" s="20" t="str">
        <f t="shared" si="2"/>
        <v>AMAZONAS CHACHAPOYAS ASUNCION</v>
      </c>
      <c r="N20" s="20">
        <f t="shared" si="3"/>
        <v>0</v>
      </c>
      <c r="O20" s="16" t="s">
        <v>4</v>
      </c>
      <c r="P20" s="16" t="s">
        <v>26</v>
      </c>
      <c r="Q20" s="16" t="s">
        <v>27</v>
      </c>
      <c r="R20" s="16" t="s">
        <v>1827</v>
      </c>
      <c r="T20" s="20">
        <f t="shared" si="4"/>
        <v>0</v>
      </c>
      <c r="U20" s="112" t="s">
        <v>96</v>
      </c>
      <c r="V20" s="112" t="s">
        <v>4218</v>
      </c>
      <c r="W20" s="112" t="s">
        <v>3946</v>
      </c>
      <c r="Y20">
        <v>19</v>
      </c>
      <c r="Z20" t="str">
        <f t="shared" si="5"/>
        <v/>
      </c>
      <c r="AB20">
        <v>19</v>
      </c>
      <c r="AC20" t="str">
        <f t="shared" si="6"/>
        <v/>
      </c>
      <c r="AE20">
        <v>19</v>
      </c>
      <c r="AF20" t="str">
        <f t="shared" si="7"/>
        <v/>
      </c>
      <c r="AH20" s="21"/>
      <c r="AI20" s="21" t="s">
        <v>3674</v>
      </c>
      <c r="AJ20" s="21" t="s">
        <v>3735</v>
      </c>
      <c r="AK20" s="21" t="s">
        <v>3664</v>
      </c>
      <c r="AL20" s="21" t="s">
        <v>3776</v>
      </c>
      <c r="AM20" s="21" t="s">
        <v>3777</v>
      </c>
      <c r="AN20" s="21" t="s">
        <v>3665</v>
      </c>
      <c r="AO20" s="21" t="s">
        <v>3782</v>
      </c>
      <c r="AP20" s="21" t="s">
        <v>3706</v>
      </c>
      <c r="AQ20" s="21" t="s">
        <v>3788</v>
      </c>
      <c r="AR20" s="21" t="s">
        <v>3706</v>
      </c>
      <c r="AS20" s="21" t="s">
        <v>3711</v>
      </c>
      <c r="AT20" s="21"/>
      <c r="AU20" s="21" t="s">
        <v>3802</v>
      </c>
      <c r="AV20" s="21" t="s">
        <v>3708</v>
      </c>
      <c r="AW20" s="21" t="s">
        <v>3803</v>
      </c>
      <c r="AX20" s="21" t="s">
        <v>3815</v>
      </c>
      <c r="BD20">
        <f t="shared" si="8"/>
        <v>0</v>
      </c>
      <c r="BE20">
        <f t="shared" si="9"/>
        <v>0</v>
      </c>
      <c r="BF20">
        <f t="shared" si="10"/>
        <v>0</v>
      </c>
      <c r="BG20" s="136" t="s">
        <v>3815</v>
      </c>
      <c r="BH20" s="136"/>
      <c r="BI20" s="136"/>
      <c r="BJ20" s="136"/>
      <c r="BK20" s="136"/>
      <c r="BL20" s="136"/>
      <c r="BM20" s="136"/>
      <c r="BN20" s="136"/>
      <c r="BO20" s="136"/>
      <c r="BP20" s="136"/>
      <c r="BQ20" s="136"/>
      <c r="BR20" s="136"/>
      <c r="BS20" s="136"/>
      <c r="BT20" s="136">
        <v>1</v>
      </c>
      <c r="BU20" s="136"/>
      <c r="BV20" s="136"/>
      <c r="BW20" s="136"/>
      <c r="BX20" s="136"/>
      <c r="BY20" s="136"/>
      <c r="BZ20" s="136"/>
    </row>
    <row r="21" spans="1:78" x14ac:dyDescent="0.2">
      <c r="C21" s="50" t="s">
        <v>4064</v>
      </c>
      <c r="D21" s="51" t="str">
        <f>IF('MOD2'!D18="","",'MOD2'!D18)</f>
        <v/>
      </c>
      <c r="G21" s="16" t="s">
        <v>1457</v>
      </c>
      <c r="H21" s="20"/>
      <c r="I21" s="20">
        <f t="shared" si="1"/>
        <v>0</v>
      </c>
      <c r="J21" s="16" t="s">
        <v>96</v>
      </c>
      <c r="K21" s="16" t="s">
        <v>194</v>
      </c>
      <c r="L21" s="20"/>
      <c r="M21" s="20" t="str">
        <f t="shared" si="2"/>
        <v>AMAZONAS CHACHAPOYAS BALSAS</v>
      </c>
      <c r="N21" s="20">
        <f t="shared" si="3"/>
        <v>0</v>
      </c>
      <c r="O21" s="16" t="s">
        <v>4</v>
      </c>
      <c r="P21" s="16" t="s">
        <v>26</v>
      </c>
      <c r="Q21" s="16" t="s">
        <v>28</v>
      </c>
      <c r="R21" s="16" t="s">
        <v>1828</v>
      </c>
      <c r="T21" s="20">
        <f t="shared" si="4"/>
        <v>0</v>
      </c>
      <c r="U21" s="112" t="s">
        <v>96</v>
      </c>
      <c r="V21" s="112" t="s">
        <v>4219</v>
      </c>
      <c r="W21" s="112" t="s">
        <v>3947</v>
      </c>
      <c r="Y21">
        <v>20</v>
      </c>
      <c r="Z21" t="str">
        <f t="shared" si="5"/>
        <v/>
      </c>
      <c r="AB21">
        <v>20</v>
      </c>
      <c r="AC21" t="str">
        <f t="shared" si="6"/>
        <v/>
      </c>
      <c r="AE21">
        <v>20</v>
      </c>
      <c r="AF21" t="str">
        <f t="shared" si="7"/>
        <v/>
      </c>
      <c r="AH21" s="21"/>
      <c r="AI21" s="21" t="s">
        <v>3675</v>
      </c>
      <c r="AJ21" s="21" t="s">
        <v>3735</v>
      </c>
      <c r="AK21" s="21" t="s">
        <v>3664</v>
      </c>
      <c r="AL21" s="21" t="s">
        <v>3776</v>
      </c>
      <c r="AM21" s="21" t="s">
        <v>3777</v>
      </c>
      <c r="AN21" s="21" t="s">
        <v>3665</v>
      </c>
      <c r="AO21" s="21" t="s">
        <v>3782</v>
      </c>
      <c r="AP21" s="21" t="s">
        <v>3706</v>
      </c>
      <c r="AQ21" s="21" t="s">
        <v>3788</v>
      </c>
      <c r="AR21" s="21" t="s">
        <v>3706</v>
      </c>
      <c r="AS21" s="21" t="s">
        <v>3711</v>
      </c>
      <c r="AT21" s="21"/>
      <c r="AU21" s="21" t="s">
        <v>3802</v>
      </c>
      <c r="AV21" s="21" t="s">
        <v>3708</v>
      </c>
      <c r="AW21" s="21" t="s">
        <v>3803</v>
      </c>
      <c r="AX21" s="21" t="s">
        <v>3821</v>
      </c>
      <c r="BD21">
        <f t="shared" si="8"/>
        <v>0</v>
      </c>
      <c r="BE21">
        <f t="shared" si="9"/>
        <v>0</v>
      </c>
      <c r="BF21">
        <f t="shared" si="10"/>
        <v>0</v>
      </c>
      <c r="BG21" s="136" t="s">
        <v>3821</v>
      </c>
      <c r="BH21" s="136"/>
      <c r="BI21" s="136"/>
      <c r="BJ21" s="136"/>
      <c r="BK21" s="136"/>
      <c r="BL21" s="136"/>
      <c r="BM21" s="136"/>
      <c r="BN21" s="136"/>
      <c r="BO21" s="136"/>
      <c r="BP21" s="136"/>
      <c r="BQ21" s="136"/>
      <c r="BR21" s="136"/>
      <c r="BS21" s="136"/>
      <c r="BT21" s="136"/>
      <c r="BU21" s="136">
        <v>1</v>
      </c>
      <c r="BV21" s="136">
        <v>1</v>
      </c>
      <c r="BW21" s="136"/>
      <c r="BX21" s="136"/>
      <c r="BY21" s="136"/>
      <c r="BZ21" s="136"/>
    </row>
    <row r="22" spans="1:78" x14ac:dyDescent="0.2">
      <c r="C22" s="50" t="s">
        <v>4065</v>
      </c>
      <c r="D22" s="51" t="str">
        <f>IF('MOD2'!L18="","",'MOD2'!L18)</f>
        <v/>
      </c>
      <c r="G22" s="16" t="s">
        <v>1483</v>
      </c>
      <c r="H22" s="20"/>
      <c r="I22" s="20">
        <f t="shared" si="1"/>
        <v>0</v>
      </c>
      <c r="J22" s="16" t="s">
        <v>96</v>
      </c>
      <c r="K22" s="16" t="s">
        <v>204</v>
      </c>
      <c r="L22" s="20"/>
      <c r="M22" s="20" t="str">
        <f t="shared" si="2"/>
        <v>AMAZONAS CHACHAPOYAS CHACHAPOYAS</v>
      </c>
      <c r="N22" s="20">
        <f t="shared" si="3"/>
        <v>0</v>
      </c>
      <c r="O22" s="16" t="s">
        <v>4</v>
      </c>
      <c r="P22" s="16" t="s">
        <v>26</v>
      </c>
      <c r="Q22" s="16" t="s">
        <v>26</v>
      </c>
      <c r="R22" s="16" t="s">
        <v>1829</v>
      </c>
      <c r="T22" s="20">
        <f t="shared" si="4"/>
        <v>0</v>
      </c>
      <c r="U22" s="112" t="s">
        <v>96</v>
      </c>
      <c r="V22" s="112" t="s">
        <v>4220</v>
      </c>
      <c r="W22" s="112" t="s">
        <v>3972</v>
      </c>
      <c r="Y22">
        <v>21</v>
      </c>
      <c r="Z22" t="str">
        <f t="shared" si="5"/>
        <v/>
      </c>
      <c r="AB22">
        <v>21</v>
      </c>
      <c r="AC22" t="str">
        <f t="shared" si="6"/>
        <v/>
      </c>
      <c r="AE22">
        <v>21</v>
      </c>
      <c r="AF22" t="str">
        <f t="shared" si="7"/>
        <v/>
      </c>
      <c r="AH22" s="21"/>
      <c r="AI22" s="21" t="str">
        <f>D145</f>
        <v/>
      </c>
      <c r="AJ22" s="21" t="s">
        <v>3735</v>
      </c>
      <c r="AK22" s="21" t="s">
        <v>3664</v>
      </c>
      <c r="AL22" s="21" t="s">
        <v>3776</v>
      </c>
      <c r="AM22" s="21" t="s">
        <v>3777</v>
      </c>
      <c r="AN22" s="21" t="s">
        <v>3665</v>
      </c>
      <c r="AO22" s="21" t="s">
        <v>3782</v>
      </c>
      <c r="AP22" s="21" t="s">
        <v>3706</v>
      </c>
      <c r="AQ22" s="21" t="s">
        <v>3788</v>
      </c>
      <c r="AR22" s="21" t="s">
        <v>3706</v>
      </c>
      <c r="AS22" s="21" t="s">
        <v>3711</v>
      </c>
      <c r="AT22" s="21"/>
      <c r="AU22" s="21" t="s">
        <v>3802</v>
      </c>
      <c r="AV22" s="21" t="s">
        <v>3708</v>
      </c>
      <c r="AW22" s="21" t="s">
        <v>3803</v>
      </c>
      <c r="AX22" s="21" t="s">
        <v>3707</v>
      </c>
      <c r="BD22">
        <f t="shared" si="8"/>
        <v>0</v>
      </c>
      <c r="BE22">
        <f t="shared" si="9"/>
        <v>0</v>
      </c>
      <c r="BF22">
        <f t="shared" si="10"/>
        <v>0</v>
      </c>
      <c r="BG22" s="136" t="s">
        <v>3707</v>
      </c>
      <c r="BH22" s="136"/>
      <c r="BI22" s="136"/>
      <c r="BJ22" s="136"/>
      <c r="BK22" s="136"/>
      <c r="BL22" s="136"/>
      <c r="BM22" s="136"/>
      <c r="BN22" s="136"/>
      <c r="BO22" s="136"/>
      <c r="BP22" s="136"/>
      <c r="BQ22" s="136"/>
      <c r="BR22" s="136"/>
      <c r="BS22" s="136"/>
      <c r="BT22" s="136"/>
      <c r="BU22" s="136"/>
      <c r="BV22" s="136"/>
      <c r="BW22" s="136">
        <v>1</v>
      </c>
      <c r="BX22" s="136">
        <v>1</v>
      </c>
      <c r="BY22" s="136"/>
      <c r="BZ22" s="136"/>
    </row>
    <row r="23" spans="1:78" x14ac:dyDescent="0.2">
      <c r="G23" s="16" t="s">
        <v>1542</v>
      </c>
      <c r="H23" s="20"/>
      <c r="I23" s="20">
        <f t="shared" si="1"/>
        <v>0</v>
      </c>
      <c r="J23" s="16" t="s">
        <v>96</v>
      </c>
      <c r="K23" s="16" t="s">
        <v>214</v>
      </c>
      <c r="L23" s="20"/>
      <c r="M23" s="20" t="str">
        <f t="shared" si="2"/>
        <v>AMAZONAS CHACHAPOYAS CHETO</v>
      </c>
      <c r="N23" s="20">
        <f t="shared" si="3"/>
        <v>0</v>
      </c>
      <c r="O23" s="16" t="s">
        <v>4</v>
      </c>
      <c r="P23" s="16" t="s">
        <v>26</v>
      </c>
      <c r="Q23" s="16" t="s">
        <v>29</v>
      </c>
      <c r="R23" s="16" t="s">
        <v>1830</v>
      </c>
      <c r="T23" s="20">
        <f t="shared" si="4"/>
        <v>0</v>
      </c>
      <c r="U23" s="112" t="s">
        <v>96</v>
      </c>
      <c r="V23" s="112" t="s">
        <v>4221</v>
      </c>
      <c r="W23" s="112" t="s">
        <v>3980</v>
      </c>
      <c r="Y23">
        <v>22</v>
      </c>
      <c r="Z23" t="str">
        <f t="shared" si="5"/>
        <v/>
      </c>
      <c r="AB23">
        <v>22</v>
      </c>
      <c r="AC23" t="str">
        <f t="shared" si="6"/>
        <v/>
      </c>
      <c r="AE23">
        <v>22</v>
      </c>
      <c r="AF23" t="str">
        <f t="shared" si="7"/>
        <v/>
      </c>
      <c r="AH23" s="21"/>
      <c r="AI23" s="21" t="str">
        <f>D151</f>
        <v/>
      </c>
      <c r="AJ23" s="21" t="s">
        <v>3735</v>
      </c>
      <c r="AK23" s="21" t="s">
        <v>3664</v>
      </c>
      <c r="AL23" s="21" t="s">
        <v>3776</v>
      </c>
      <c r="AM23" s="21" t="s">
        <v>3777</v>
      </c>
      <c r="AN23" s="21" t="s">
        <v>3665</v>
      </c>
      <c r="AO23" s="21" t="s">
        <v>3782</v>
      </c>
      <c r="AP23" s="21" t="s">
        <v>3706</v>
      </c>
      <c r="AQ23" s="21" t="s">
        <v>3788</v>
      </c>
      <c r="AR23" s="21" t="s">
        <v>3706</v>
      </c>
      <c r="AS23" s="21" t="s">
        <v>3711</v>
      </c>
      <c r="AT23" s="21"/>
      <c r="AU23" s="21" t="s">
        <v>3802</v>
      </c>
      <c r="AV23" s="21" t="s">
        <v>3708</v>
      </c>
      <c r="AW23" s="21" t="s">
        <v>3803</v>
      </c>
      <c r="AX23" s="21" t="s">
        <v>3783</v>
      </c>
      <c r="BD23">
        <f t="shared" si="8"/>
        <v>0</v>
      </c>
      <c r="BE23">
        <f t="shared" si="9"/>
        <v>0</v>
      </c>
      <c r="BF23">
        <f t="shared" si="10"/>
        <v>0</v>
      </c>
      <c r="BG23" s="136" t="s">
        <v>3783</v>
      </c>
      <c r="BH23" s="136"/>
      <c r="BI23" s="136"/>
      <c r="BJ23" s="136"/>
      <c r="BK23" s="136"/>
      <c r="BL23" s="136"/>
      <c r="BM23" s="136"/>
      <c r="BN23" s="136"/>
      <c r="BO23" s="136"/>
      <c r="BP23" s="136"/>
      <c r="BQ23" s="136"/>
      <c r="BR23" s="136"/>
      <c r="BS23" s="136"/>
      <c r="BT23" s="136"/>
      <c r="BU23" s="136"/>
      <c r="BV23" s="136"/>
      <c r="BW23" s="136"/>
      <c r="BX23" s="136"/>
      <c r="BY23" s="136">
        <v>1</v>
      </c>
      <c r="BZ23" s="136"/>
    </row>
    <row r="24" spans="1:78" x14ac:dyDescent="0.2">
      <c r="C24" s="50" t="s">
        <v>1783</v>
      </c>
      <c r="D24" s="51" t="str">
        <f>IF('MOD2'!T18="","",'MOD2'!T18)</f>
        <v/>
      </c>
      <c r="G24" s="16" t="s">
        <v>1644</v>
      </c>
      <c r="H24" s="20"/>
      <c r="I24" s="20">
        <f t="shared" si="1"/>
        <v>0</v>
      </c>
      <c r="J24" s="16" t="s">
        <v>96</v>
      </c>
      <c r="K24" s="16" t="s">
        <v>223</v>
      </c>
      <c r="L24" s="20"/>
      <c r="M24" s="20" t="str">
        <f t="shared" si="2"/>
        <v>AMAZONAS CHACHAPOYAS CHILIQUIN</v>
      </c>
      <c r="N24" s="20">
        <f t="shared" si="3"/>
        <v>0</v>
      </c>
      <c r="O24" s="16" t="s">
        <v>4</v>
      </c>
      <c r="P24" s="16" t="s">
        <v>26</v>
      </c>
      <c r="Q24" s="16" t="s">
        <v>30</v>
      </c>
      <c r="R24" s="16" t="s">
        <v>1831</v>
      </c>
      <c r="T24" s="20">
        <f t="shared" si="4"/>
        <v>0</v>
      </c>
      <c r="U24" s="112" t="s">
        <v>96</v>
      </c>
      <c r="V24" s="112" t="s">
        <v>4222</v>
      </c>
      <c r="W24" s="112" t="s">
        <v>3987</v>
      </c>
      <c r="Y24">
        <v>23</v>
      </c>
      <c r="Z24" t="str">
        <f t="shared" si="5"/>
        <v/>
      </c>
      <c r="AB24">
        <v>23</v>
      </c>
      <c r="AC24" t="str">
        <f t="shared" si="6"/>
        <v/>
      </c>
      <c r="AE24">
        <v>23</v>
      </c>
      <c r="AF24" t="str">
        <f t="shared" si="7"/>
        <v/>
      </c>
      <c r="AH24" s="21"/>
      <c r="AI24" s="21" t="str">
        <f>D157</f>
        <v/>
      </c>
      <c r="AJ24" s="21" t="s">
        <v>3735</v>
      </c>
      <c r="AK24" s="21" t="s">
        <v>3664</v>
      </c>
      <c r="AL24" s="21" t="s">
        <v>3776</v>
      </c>
      <c r="AM24" s="21" t="s">
        <v>3777</v>
      </c>
      <c r="AN24" s="21" t="s">
        <v>3665</v>
      </c>
      <c r="AO24" s="21" t="s">
        <v>3782</v>
      </c>
      <c r="AP24" s="21" t="s">
        <v>3706</v>
      </c>
      <c r="AQ24" s="21" t="s">
        <v>3788</v>
      </c>
      <c r="AR24" s="21" t="s">
        <v>3706</v>
      </c>
      <c r="AS24" s="21" t="s">
        <v>3711</v>
      </c>
      <c r="AT24" s="21"/>
      <c r="AU24" s="21" t="s">
        <v>3802</v>
      </c>
      <c r="AV24" s="21" t="s">
        <v>3708</v>
      </c>
      <c r="AW24" s="21" t="s">
        <v>3803</v>
      </c>
      <c r="AX24" s="21" t="s">
        <v>3709</v>
      </c>
      <c r="BD24">
        <f t="shared" si="8"/>
        <v>0</v>
      </c>
      <c r="BE24">
        <f t="shared" si="9"/>
        <v>0</v>
      </c>
      <c r="BF24">
        <f t="shared" si="10"/>
        <v>0</v>
      </c>
      <c r="BG24" s="136" t="s">
        <v>3709</v>
      </c>
      <c r="BH24" s="136"/>
      <c r="BI24" s="136"/>
      <c r="BJ24" s="136"/>
      <c r="BK24" s="136"/>
      <c r="BL24" s="136"/>
      <c r="BM24" s="136"/>
      <c r="BN24" s="136"/>
      <c r="BO24" s="136"/>
      <c r="BP24" s="136"/>
      <c r="BQ24" s="136"/>
      <c r="BR24" s="136"/>
      <c r="BS24" s="136"/>
      <c r="BT24" s="136"/>
      <c r="BU24" s="136"/>
      <c r="BV24" s="136"/>
      <c r="BW24" s="136"/>
      <c r="BX24" s="136"/>
      <c r="BY24" s="136"/>
      <c r="BZ24" s="136">
        <v>1</v>
      </c>
    </row>
    <row r="25" spans="1:78" x14ac:dyDescent="0.2">
      <c r="C25" s="50" t="s">
        <v>4066</v>
      </c>
      <c r="D25" s="51" t="str">
        <f>IF('MOD2'!AA18="","",'MOD2'!AA18)</f>
        <v/>
      </c>
      <c r="G25" s="16" t="s">
        <v>1713</v>
      </c>
      <c r="H25" s="20"/>
      <c r="I25" s="20">
        <f t="shared" si="1"/>
        <v>0</v>
      </c>
      <c r="J25" s="16" t="s">
        <v>96</v>
      </c>
      <c r="K25" s="16" t="s">
        <v>227</v>
      </c>
      <c r="L25" s="20"/>
      <c r="M25" s="20" t="str">
        <f t="shared" si="2"/>
        <v>AMAZONAS CHACHAPOYAS CHUQUIBAMBA</v>
      </c>
      <c r="N25" s="20">
        <f t="shared" si="3"/>
        <v>0</v>
      </c>
      <c r="O25" s="16" t="s">
        <v>4</v>
      </c>
      <c r="P25" s="16" t="s">
        <v>26</v>
      </c>
      <c r="Q25" s="16" t="s">
        <v>31</v>
      </c>
      <c r="R25" s="16" t="s">
        <v>1832</v>
      </c>
      <c r="T25" s="20">
        <f t="shared" si="4"/>
        <v>0</v>
      </c>
      <c r="U25" s="112" t="s">
        <v>96</v>
      </c>
      <c r="V25" s="112" t="s">
        <v>4223</v>
      </c>
      <c r="W25" s="112" t="s">
        <v>4001</v>
      </c>
      <c r="Y25">
        <v>24</v>
      </c>
      <c r="Z25" t="str">
        <f t="shared" si="5"/>
        <v/>
      </c>
      <c r="AB25">
        <v>24</v>
      </c>
      <c r="AC25" t="str">
        <f t="shared" si="6"/>
        <v/>
      </c>
      <c r="AE25">
        <v>24</v>
      </c>
      <c r="AF25" t="str">
        <f t="shared" si="7"/>
        <v/>
      </c>
    </row>
    <row r="26" spans="1:78" x14ac:dyDescent="0.2">
      <c r="C26" s="50" t="s">
        <v>4094</v>
      </c>
      <c r="D26" s="51" t="str">
        <f>IF('MOD2'!M26="",D13&amp;'MOD2'!M38,D13&amp;'MOD2'!M26)</f>
        <v/>
      </c>
      <c r="G26" s="16" t="s">
        <v>1741</v>
      </c>
      <c r="H26" s="20"/>
      <c r="I26" s="20">
        <f t="shared" si="1"/>
        <v>0</v>
      </c>
      <c r="J26" s="16" t="s">
        <v>96</v>
      </c>
      <c r="K26" s="16" t="s">
        <v>237</v>
      </c>
      <c r="L26" s="20"/>
      <c r="M26" s="20" t="str">
        <f t="shared" si="2"/>
        <v>AMAZONAS CHACHAPOYAS GRANADA</v>
      </c>
      <c r="N26" s="20">
        <f t="shared" si="3"/>
        <v>0</v>
      </c>
      <c r="O26" s="16" t="s">
        <v>4</v>
      </c>
      <c r="P26" s="16" t="s">
        <v>26</v>
      </c>
      <c r="Q26" s="16" t="s">
        <v>32</v>
      </c>
      <c r="R26" s="16" t="s">
        <v>1833</v>
      </c>
      <c r="T26" s="20">
        <f t="shared" si="4"/>
        <v>0</v>
      </c>
      <c r="U26" s="112" t="s">
        <v>96</v>
      </c>
      <c r="V26" s="112" t="s">
        <v>4224</v>
      </c>
      <c r="W26" s="112" t="s">
        <v>4008</v>
      </c>
      <c r="Y26">
        <v>25</v>
      </c>
      <c r="Z26" t="str">
        <f t="shared" si="5"/>
        <v/>
      </c>
      <c r="AB26">
        <v>25</v>
      </c>
      <c r="AC26" t="str">
        <f t="shared" si="6"/>
        <v/>
      </c>
      <c r="AE26">
        <v>25</v>
      </c>
      <c r="AF26" t="str">
        <f t="shared" si="7"/>
        <v/>
      </c>
    </row>
    <row r="27" spans="1:78" x14ac:dyDescent="0.2">
      <c r="G27" s="16" t="s">
        <v>1419</v>
      </c>
      <c r="H27" s="20"/>
      <c r="I27" s="20">
        <f t="shared" si="1"/>
        <v>0</v>
      </c>
      <c r="J27" s="16" t="s">
        <v>96</v>
      </c>
      <c r="K27" s="16" t="s">
        <v>246</v>
      </c>
      <c r="L27" s="20"/>
      <c r="M27" s="20" t="str">
        <f t="shared" si="2"/>
        <v>AMAZONAS CHACHAPOYAS HUANCAS</v>
      </c>
      <c r="N27" s="20">
        <f t="shared" si="3"/>
        <v>0</v>
      </c>
      <c r="O27" s="16" t="s">
        <v>4</v>
      </c>
      <c r="P27" s="16" t="s">
        <v>26</v>
      </c>
      <c r="Q27" s="16" t="s">
        <v>33</v>
      </c>
      <c r="R27" s="16" t="s">
        <v>1834</v>
      </c>
      <c r="T27" s="20">
        <f t="shared" si="4"/>
        <v>0</v>
      </c>
      <c r="U27" s="112" t="s">
        <v>96</v>
      </c>
      <c r="V27" s="112" t="s">
        <v>4225</v>
      </c>
      <c r="W27" s="112" t="s">
        <v>4022</v>
      </c>
      <c r="Y27">
        <v>26</v>
      </c>
      <c r="Z27" t="str">
        <f>IFERROR(VLOOKUP(Y27,T26:W247,4,FALSE),"")</f>
        <v/>
      </c>
      <c r="AE27">
        <v>26</v>
      </c>
      <c r="AF27" t="str">
        <f t="shared" si="7"/>
        <v/>
      </c>
    </row>
    <row r="28" spans="1:78" x14ac:dyDescent="0.2">
      <c r="C28" s="54" t="s">
        <v>4093</v>
      </c>
      <c r="D28" s="54" t="b">
        <f>AND((COUNTIF(D24:D25,"")+COUNTIF(D17,"")+COUNTIF(D21:D22,""))=0,COUNTIF($BA$2:$BA$4,"")&lt;5)</f>
        <v>0</v>
      </c>
      <c r="I28" s="20">
        <f t="shared" si="1"/>
        <v>0</v>
      </c>
      <c r="J28" s="16" t="s">
        <v>96</v>
      </c>
      <c r="K28" s="16" t="s">
        <v>257</v>
      </c>
      <c r="M28" s="20" t="str">
        <f t="shared" si="2"/>
        <v>AMAZONAS CHACHAPOYAS LA JALCA</v>
      </c>
      <c r="N28" s="20">
        <f t="shared" si="3"/>
        <v>0</v>
      </c>
      <c r="O28" s="16" t="s">
        <v>4</v>
      </c>
      <c r="P28" s="16" t="s">
        <v>26</v>
      </c>
      <c r="Q28" s="16" t="s">
        <v>34</v>
      </c>
      <c r="R28" s="16" t="s">
        <v>1835</v>
      </c>
      <c r="T28" s="20">
        <f t="shared" si="4"/>
        <v>0</v>
      </c>
      <c r="U28" s="112" t="s">
        <v>96</v>
      </c>
      <c r="V28" s="112" t="s">
        <v>4226</v>
      </c>
      <c r="W28" s="112" t="s">
        <v>4027</v>
      </c>
      <c r="Y28">
        <v>27</v>
      </c>
      <c r="Z28" t="str">
        <f t="shared" si="5"/>
        <v/>
      </c>
      <c r="AE28">
        <v>27</v>
      </c>
      <c r="AF28" t="str">
        <f t="shared" si="7"/>
        <v/>
      </c>
    </row>
    <row r="29" spans="1:78" x14ac:dyDescent="0.2">
      <c r="I29" s="20">
        <f t="shared" si="1"/>
        <v>0</v>
      </c>
      <c r="J29" s="16" t="s">
        <v>266</v>
      </c>
      <c r="K29" s="16" t="s">
        <v>267</v>
      </c>
      <c r="M29" s="20" t="str">
        <f t="shared" si="2"/>
        <v>AMAZONAS CHACHAPOYAS LEIMEBAMBA</v>
      </c>
      <c r="N29" s="20">
        <f t="shared" si="3"/>
        <v>0</v>
      </c>
      <c r="O29" s="16" t="s">
        <v>4</v>
      </c>
      <c r="P29" s="16" t="s">
        <v>26</v>
      </c>
      <c r="Q29" s="16" t="s">
        <v>35</v>
      </c>
      <c r="R29" s="16" t="s">
        <v>1836</v>
      </c>
      <c r="T29" s="20">
        <f t="shared" si="4"/>
        <v>0</v>
      </c>
      <c r="U29" s="112" t="s">
        <v>96</v>
      </c>
      <c r="V29" s="112" t="s">
        <v>4227</v>
      </c>
      <c r="W29" s="112" t="s">
        <v>4050</v>
      </c>
      <c r="Y29">
        <v>28</v>
      </c>
      <c r="Z29" t="str">
        <f t="shared" si="5"/>
        <v/>
      </c>
      <c r="AE29">
        <v>28</v>
      </c>
      <c r="AF29" t="str">
        <f t="shared" si="7"/>
        <v/>
      </c>
    </row>
    <row r="30" spans="1:78" x14ac:dyDescent="0.2">
      <c r="A30">
        <v>1</v>
      </c>
      <c r="B30" t="s">
        <v>4078</v>
      </c>
      <c r="C30" s="50" t="s">
        <v>4079</v>
      </c>
      <c r="D30" s="51" t="str">
        <f>IF(MOD4_1!H$21="","",MOD4_1!H$21)</f>
        <v/>
      </c>
      <c r="E30" s="21" t="s">
        <v>3783</v>
      </c>
      <c r="F30" s="128" t="str">
        <f>IF(D30="SI",E30,"")</f>
        <v/>
      </c>
      <c r="I30" s="20">
        <f t="shared" si="1"/>
        <v>0</v>
      </c>
      <c r="J30" s="16" t="s">
        <v>266</v>
      </c>
      <c r="K30" s="16" t="s">
        <v>276</v>
      </c>
      <c r="M30" s="20" t="str">
        <f t="shared" si="2"/>
        <v>AMAZONAS CHACHAPOYAS LEVANTO</v>
      </c>
      <c r="N30" s="20">
        <f t="shared" si="3"/>
        <v>0</v>
      </c>
      <c r="O30" s="16" t="s">
        <v>4</v>
      </c>
      <c r="P30" s="16" t="s">
        <v>26</v>
      </c>
      <c r="Q30" s="16" t="s">
        <v>36</v>
      </c>
      <c r="R30" s="16" t="s">
        <v>1837</v>
      </c>
      <c r="T30" s="20">
        <f t="shared" si="4"/>
        <v>0</v>
      </c>
      <c r="U30" s="112" t="s">
        <v>266</v>
      </c>
      <c r="V30" s="112" t="s">
        <v>4228</v>
      </c>
      <c r="W30" s="112" t="s">
        <v>3858</v>
      </c>
      <c r="Y30">
        <v>29</v>
      </c>
      <c r="Z30" t="str">
        <f t="shared" si="5"/>
        <v/>
      </c>
      <c r="AE30">
        <v>29</v>
      </c>
      <c r="AF30" t="str">
        <f t="shared" si="7"/>
        <v/>
      </c>
    </row>
    <row r="31" spans="1:78" x14ac:dyDescent="0.2">
      <c r="A31">
        <v>1</v>
      </c>
      <c r="B31" t="s">
        <v>4078</v>
      </c>
      <c r="C31" s="50" t="s">
        <v>4080</v>
      </c>
      <c r="D31" s="51" t="str">
        <f>IF(MOD4_1!O$21="","",MOD4_1!O$21)</f>
        <v/>
      </c>
      <c r="E31" s="21" t="s">
        <v>3704</v>
      </c>
      <c r="F31" s="128" t="str">
        <f t="shared" ref="F31:F94" si="11">IF(D31="SI",E31,"")</f>
        <v/>
      </c>
      <c r="I31" s="20">
        <f t="shared" si="1"/>
        <v>0</v>
      </c>
      <c r="J31" s="16" t="s">
        <v>266</v>
      </c>
      <c r="K31" s="16" t="s">
        <v>296</v>
      </c>
      <c r="M31" s="20" t="str">
        <f t="shared" si="2"/>
        <v>AMAZONAS CHACHAPOYAS MAGDALENA</v>
      </c>
      <c r="N31" s="20">
        <f t="shared" si="3"/>
        <v>0</v>
      </c>
      <c r="O31" s="16" t="s">
        <v>4</v>
      </c>
      <c r="P31" s="16" t="s">
        <v>26</v>
      </c>
      <c r="Q31" s="16" t="s">
        <v>37</v>
      </c>
      <c r="R31" s="16" t="s">
        <v>1838</v>
      </c>
      <c r="T31" s="20">
        <f t="shared" si="4"/>
        <v>0</v>
      </c>
      <c r="U31" s="112" t="s">
        <v>266</v>
      </c>
      <c r="V31" s="112" t="s">
        <v>4229</v>
      </c>
      <c r="W31" s="112" t="s">
        <v>3865</v>
      </c>
      <c r="Y31">
        <v>30</v>
      </c>
      <c r="Z31" t="str">
        <f t="shared" si="5"/>
        <v/>
      </c>
      <c r="AE31">
        <v>30</v>
      </c>
      <c r="AF31" t="str">
        <f t="shared" si="7"/>
        <v/>
      </c>
    </row>
    <row r="32" spans="1:78" x14ac:dyDescent="0.2">
      <c r="A32">
        <v>1</v>
      </c>
      <c r="B32" t="s">
        <v>4078</v>
      </c>
      <c r="C32" s="50" t="s">
        <v>4081</v>
      </c>
      <c r="D32" s="51" t="str">
        <f>IF(MOD4_1!V$21="","",MOD4_1!V$21)</f>
        <v/>
      </c>
      <c r="E32" s="21" t="s">
        <v>3783</v>
      </c>
      <c r="F32" s="128" t="str">
        <f t="shared" si="11"/>
        <v/>
      </c>
      <c r="I32" s="20">
        <f t="shared" si="1"/>
        <v>0</v>
      </c>
      <c r="J32" s="16" t="s">
        <v>266</v>
      </c>
      <c r="K32" s="16" t="s">
        <v>302</v>
      </c>
      <c r="M32" s="20" t="str">
        <f t="shared" si="2"/>
        <v>AMAZONAS CHACHAPOYAS MARISCAL CASTILLA</v>
      </c>
      <c r="N32" s="20">
        <f t="shared" si="3"/>
        <v>0</v>
      </c>
      <c r="O32" s="16" t="s">
        <v>4</v>
      </c>
      <c r="P32" s="16" t="s">
        <v>26</v>
      </c>
      <c r="Q32" s="16" t="s">
        <v>38</v>
      </c>
      <c r="R32" s="16" t="s">
        <v>1839</v>
      </c>
      <c r="T32" s="20">
        <f t="shared" si="4"/>
        <v>0</v>
      </c>
      <c r="U32" s="112" t="s">
        <v>266</v>
      </c>
      <c r="V32" s="112" t="s">
        <v>4230</v>
      </c>
      <c r="W32" s="112" t="s">
        <v>3868</v>
      </c>
      <c r="Y32">
        <v>31</v>
      </c>
      <c r="Z32" t="str">
        <f t="shared" si="5"/>
        <v/>
      </c>
      <c r="AE32">
        <v>31</v>
      </c>
      <c r="AF32" t="str">
        <f t="shared" si="7"/>
        <v/>
      </c>
    </row>
    <row r="33" spans="1:32" x14ac:dyDescent="0.2">
      <c r="A33">
        <v>1</v>
      </c>
      <c r="B33" t="s">
        <v>4078</v>
      </c>
      <c r="C33" s="50" t="s">
        <v>4082</v>
      </c>
      <c r="D33" s="51" t="str">
        <f>IF(MOD4_1!AC$21="","",MOD4_1!AC$21)</f>
        <v/>
      </c>
      <c r="E33" s="21" t="s">
        <v>3783</v>
      </c>
      <c r="F33" s="128" t="str">
        <f t="shared" si="11"/>
        <v/>
      </c>
      <c r="I33" s="20">
        <f t="shared" si="1"/>
        <v>0</v>
      </c>
      <c r="J33" s="16" t="s">
        <v>266</v>
      </c>
      <c r="K33" s="16" t="s">
        <v>319</v>
      </c>
      <c r="M33" s="20" t="str">
        <f t="shared" si="2"/>
        <v>AMAZONAS CHACHAPOYAS MOLINOPAMPA</v>
      </c>
      <c r="N33" s="20">
        <f t="shared" si="3"/>
        <v>0</v>
      </c>
      <c r="O33" s="16" t="s">
        <v>4</v>
      </c>
      <c r="P33" s="16" t="s">
        <v>26</v>
      </c>
      <c r="Q33" s="16" t="s">
        <v>39</v>
      </c>
      <c r="R33" s="16" t="s">
        <v>1840</v>
      </c>
      <c r="T33" s="20">
        <f t="shared" si="4"/>
        <v>0</v>
      </c>
      <c r="U33" s="112" t="s">
        <v>266</v>
      </c>
      <c r="V33" s="112" t="s">
        <v>4231</v>
      </c>
      <c r="W33" s="112" t="s">
        <v>3876</v>
      </c>
      <c r="Y33">
        <v>32</v>
      </c>
      <c r="Z33" t="str">
        <f t="shared" si="5"/>
        <v/>
      </c>
      <c r="AE33">
        <v>32</v>
      </c>
      <c r="AF33" t="str">
        <f t="shared" si="7"/>
        <v/>
      </c>
    </row>
    <row r="34" spans="1:32" x14ac:dyDescent="0.2">
      <c r="B34" t="s">
        <v>4078</v>
      </c>
      <c r="C34" s="50" t="s">
        <v>4083</v>
      </c>
      <c r="D34" s="51" t="str">
        <f>IF(MOD4_1!AP$13="","",MOD4_1!AP$13)</f>
        <v/>
      </c>
      <c r="F34" s="128" t="str">
        <f t="shared" si="11"/>
        <v/>
      </c>
      <c r="I34" s="20">
        <f t="shared" si="1"/>
        <v>0</v>
      </c>
      <c r="J34" s="16" t="s">
        <v>266</v>
      </c>
      <c r="K34" s="16" t="s">
        <v>329</v>
      </c>
      <c r="M34" s="20" t="str">
        <f t="shared" si="2"/>
        <v>AMAZONAS CHACHAPOYAS MONTEVIDEO</v>
      </c>
      <c r="N34" s="20">
        <f t="shared" si="3"/>
        <v>0</v>
      </c>
      <c r="O34" s="16" t="s">
        <v>4</v>
      </c>
      <c r="P34" s="16" t="s">
        <v>26</v>
      </c>
      <c r="Q34" s="16" t="s">
        <v>41</v>
      </c>
      <c r="R34" s="16" t="s">
        <v>1841</v>
      </c>
      <c r="T34" s="20">
        <f t="shared" si="4"/>
        <v>0</v>
      </c>
      <c r="U34" s="112" t="s">
        <v>266</v>
      </c>
      <c r="V34" s="112" t="s">
        <v>4232</v>
      </c>
      <c r="W34" s="112" t="s">
        <v>3904</v>
      </c>
      <c r="Y34">
        <v>33</v>
      </c>
      <c r="Z34" t="str">
        <f t="shared" si="5"/>
        <v/>
      </c>
      <c r="AE34">
        <v>33</v>
      </c>
      <c r="AF34" t="str">
        <f t="shared" si="7"/>
        <v/>
      </c>
    </row>
    <row r="35" spans="1:32" x14ac:dyDescent="0.2">
      <c r="A35">
        <v>1</v>
      </c>
      <c r="B35" t="s">
        <v>4078</v>
      </c>
      <c r="C35" s="50" t="s">
        <v>4084</v>
      </c>
      <c r="D35" s="51" t="str">
        <f>IF(MOD4_1!H$36="","",MOD4_1!H$36)</f>
        <v/>
      </c>
      <c r="E35" s="21" t="s">
        <v>3705</v>
      </c>
      <c r="F35" s="128" t="str">
        <f t="shared" si="11"/>
        <v/>
      </c>
      <c r="I35" s="20">
        <f t="shared" si="1"/>
        <v>0</v>
      </c>
      <c r="J35" s="16" t="s">
        <v>266</v>
      </c>
      <c r="K35" s="16" t="s">
        <v>335</v>
      </c>
      <c r="M35" s="20" t="str">
        <f t="shared" si="2"/>
        <v>AMAZONAS CHACHAPOYAS OLLEROS</v>
      </c>
      <c r="N35" s="20">
        <f t="shared" si="3"/>
        <v>0</v>
      </c>
      <c r="O35" s="16" t="s">
        <v>4</v>
      </c>
      <c r="P35" s="16" t="s">
        <v>26</v>
      </c>
      <c r="Q35" s="16" t="s">
        <v>42</v>
      </c>
      <c r="R35" s="16" t="s">
        <v>1842</v>
      </c>
      <c r="T35" s="20">
        <f t="shared" si="4"/>
        <v>0</v>
      </c>
      <c r="U35" s="112" t="s">
        <v>266</v>
      </c>
      <c r="V35" s="112" t="s">
        <v>4233</v>
      </c>
      <c r="W35" s="112" t="s">
        <v>3918</v>
      </c>
      <c r="Y35">
        <v>34</v>
      </c>
      <c r="Z35" t="str">
        <f t="shared" si="5"/>
        <v/>
      </c>
      <c r="AE35">
        <v>34</v>
      </c>
      <c r="AF35" t="str">
        <f t="shared" si="7"/>
        <v/>
      </c>
    </row>
    <row r="36" spans="1:32" x14ac:dyDescent="0.2">
      <c r="A36">
        <v>1</v>
      </c>
      <c r="B36" t="s">
        <v>4078</v>
      </c>
      <c r="C36" s="50" t="s">
        <v>4085</v>
      </c>
      <c r="D36" s="51" t="str">
        <f>IF(MOD4_1!O$36="","",MOD4_1!O$36)</f>
        <v/>
      </c>
      <c r="E36" s="21" t="s">
        <v>3705</v>
      </c>
      <c r="F36" s="128" t="str">
        <f t="shared" si="11"/>
        <v/>
      </c>
      <c r="I36" s="20">
        <f t="shared" si="1"/>
        <v>0</v>
      </c>
      <c r="J36" s="16" t="s">
        <v>349</v>
      </c>
      <c r="K36" s="16" t="s">
        <v>349</v>
      </c>
      <c r="M36" s="20" t="str">
        <f t="shared" si="2"/>
        <v>AMAZONAS CHACHAPOYAS QUINJALCA</v>
      </c>
      <c r="N36" s="20">
        <f t="shared" si="3"/>
        <v>0</v>
      </c>
      <c r="O36" s="16" t="s">
        <v>4</v>
      </c>
      <c r="P36" s="16" t="s">
        <v>26</v>
      </c>
      <c r="Q36" s="16" t="s">
        <v>43</v>
      </c>
      <c r="R36" s="16" t="s">
        <v>1843</v>
      </c>
      <c r="T36" s="20">
        <f t="shared" si="4"/>
        <v>0</v>
      </c>
      <c r="U36" s="112" t="s">
        <v>266</v>
      </c>
      <c r="V36" s="112" t="s">
        <v>4234</v>
      </c>
      <c r="W36" s="112" t="s">
        <v>3929</v>
      </c>
      <c r="Y36">
        <v>35</v>
      </c>
      <c r="Z36" t="str">
        <f t="shared" si="5"/>
        <v/>
      </c>
      <c r="AE36">
        <v>35</v>
      </c>
      <c r="AF36" t="str">
        <f t="shared" si="7"/>
        <v/>
      </c>
    </row>
    <row r="37" spans="1:32" x14ac:dyDescent="0.2">
      <c r="A37">
        <v>1</v>
      </c>
      <c r="B37" t="s">
        <v>4078</v>
      </c>
      <c r="C37" s="50" t="s">
        <v>4086</v>
      </c>
      <c r="D37" s="51" t="str">
        <f>IF(MOD4_1!V$36="","",MOD4_1!V$36)</f>
        <v/>
      </c>
      <c r="E37" s="21" t="s">
        <v>3706</v>
      </c>
      <c r="F37" s="128" t="str">
        <f t="shared" si="11"/>
        <v/>
      </c>
      <c r="I37" s="20">
        <f t="shared" si="1"/>
        <v>0</v>
      </c>
      <c r="J37" s="16" t="s">
        <v>349</v>
      </c>
      <c r="K37" s="16" t="s">
        <v>378</v>
      </c>
      <c r="M37" s="20" t="str">
        <f t="shared" si="2"/>
        <v>AMAZONAS CHACHAPOYAS SAN FRANCISCO DE DAGUAS</v>
      </c>
      <c r="N37" s="20">
        <f t="shared" si="3"/>
        <v>0</v>
      </c>
      <c r="O37" s="16" t="s">
        <v>4</v>
      </c>
      <c r="P37" s="16" t="s">
        <v>26</v>
      </c>
      <c r="Q37" s="16" t="s">
        <v>44</v>
      </c>
      <c r="R37" s="16" t="s">
        <v>1844</v>
      </c>
      <c r="T37" s="20">
        <f t="shared" si="4"/>
        <v>0</v>
      </c>
      <c r="U37" s="112" t="s">
        <v>266</v>
      </c>
      <c r="V37" s="112" t="s">
        <v>4235</v>
      </c>
      <c r="W37" s="112" t="s">
        <v>3937</v>
      </c>
      <c r="AE37">
        <v>36</v>
      </c>
      <c r="AF37" t="str">
        <f t="shared" si="7"/>
        <v/>
      </c>
    </row>
    <row r="38" spans="1:32" x14ac:dyDescent="0.2">
      <c r="A38">
        <v>1</v>
      </c>
      <c r="B38" t="s">
        <v>4078</v>
      </c>
      <c r="C38" s="50" t="s">
        <v>4087</v>
      </c>
      <c r="D38" s="51" t="str">
        <f>IF(MOD4_1!AC$36="","",MOD4_1!AC$36)</f>
        <v/>
      </c>
      <c r="E38" s="21" t="s">
        <v>3709</v>
      </c>
      <c r="F38" s="128" t="str">
        <f t="shared" si="11"/>
        <v/>
      </c>
      <c r="I38" s="20">
        <f t="shared" si="1"/>
        <v>0</v>
      </c>
      <c r="J38" s="16" t="s">
        <v>349</v>
      </c>
      <c r="K38" s="16" t="s">
        <v>386</v>
      </c>
      <c r="M38" s="20" t="str">
        <f t="shared" si="2"/>
        <v>AMAZONAS CHACHAPOYAS SAN ISIDRO DE MAINO</v>
      </c>
      <c r="N38" s="20">
        <f t="shared" si="3"/>
        <v>0</v>
      </c>
      <c r="O38" s="16" t="s">
        <v>4</v>
      </c>
      <c r="P38" s="16" t="s">
        <v>26</v>
      </c>
      <c r="Q38" s="16" t="s">
        <v>45</v>
      </c>
      <c r="R38" s="16" t="s">
        <v>1845</v>
      </c>
      <c r="T38" s="20">
        <f t="shared" si="4"/>
        <v>0</v>
      </c>
      <c r="U38" s="112" t="s">
        <v>349</v>
      </c>
      <c r="V38" s="112" t="s">
        <v>4236</v>
      </c>
      <c r="W38" s="112" t="s">
        <v>3870</v>
      </c>
      <c r="AE38">
        <v>37</v>
      </c>
      <c r="AF38" t="str">
        <f t="shared" si="7"/>
        <v/>
      </c>
    </row>
    <row r="39" spans="1:32" x14ac:dyDescent="0.2">
      <c r="B39" t="s">
        <v>4078</v>
      </c>
      <c r="C39" s="50" t="s">
        <v>4088</v>
      </c>
      <c r="D39" s="51" t="str">
        <f>IF(MOD4_1!AP$28="","",MOD4_1!AP$28)</f>
        <v/>
      </c>
      <c r="F39" s="128" t="str">
        <f t="shared" si="11"/>
        <v/>
      </c>
      <c r="I39" s="20">
        <f t="shared" si="1"/>
        <v>0</v>
      </c>
      <c r="J39" s="16" t="s">
        <v>349</v>
      </c>
      <c r="K39" s="16" t="s">
        <v>399</v>
      </c>
      <c r="M39" s="20" t="str">
        <f t="shared" si="2"/>
        <v>AMAZONAS CHACHAPOYAS SOLOCO</v>
      </c>
      <c r="N39" s="20">
        <f t="shared" si="3"/>
        <v>0</v>
      </c>
      <c r="O39" s="16" t="s">
        <v>4</v>
      </c>
      <c r="P39" s="16" t="s">
        <v>26</v>
      </c>
      <c r="Q39" s="16" t="s">
        <v>46</v>
      </c>
      <c r="R39" s="16" t="s">
        <v>1846</v>
      </c>
      <c r="T39" s="20">
        <f t="shared" si="4"/>
        <v>0</v>
      </c>
      <c r="U39" s="112" t="s">
        <v>349</v>
      </c>
      <c r="V39" s="112" t="s">
        <v>4237</v>
      </c>
      <c r="W39" s="112" t="s">
        <v>3871</v>
      </c>
      <c r="AE39">
        <v>38</v>
      </c>
      <c r="AF39" t="str">
        <f t="shared" si="7"/>
        <v/>
      </c>
    </row>
    <row r="40" spans="1:32" x14ac:dyDescent="0.2">
      <c r="A40">
        <v>1</v>
      </c>
      <c r="B40" t="s">
        <v>4078</v>
      </c>
      <c r="C40" s="50" t="s">
        <v>4097</v>
      </c>
      <c r="D40" s="51" t="str">
        <f>IF(MOD4_1!H$51="","",MOD4_1!H$51)</f>
        <v/>
      </c>
      <c r="E40" s="21" t="s">
        <v>3702</v>
      </c>
      <c r="F40" s="128" t="str">
        <f t="shared" si="11"/>
        <v/>
      </c>
      <c r="I40" s="20">
        <f t="shared" si="1"/>
        <v>0</v>
      </c>
      <c r="J40" s="16" t="s">
        <v>349</v>
      </c>
      <c r="K40" s="16" t="s">
        <v>414</v>
      </c>
      <c r="M40" s="20" t="str">
        <f t="shared" si="2"/>
        <v>AMAZONAS CHACHAPOYAS SONCHE</v>
      </c>
      <c r="N40" s="20">
        <f t="shared" si="3"/>
        <v>0</v>
      </c>
      <c r="O40" s="16" t="s">
        <v>4</v>
      </c>
      <c r="P40" s="16" t="s">
        <v>26</v>
      </c>
      <c r="Q40" s="16" t="s">
        <v>47</v>
      </c>
      <c r="R40" s="16" t="s">
        <v>1847</v>
      </c>
      <c r="T40" s="20">
        <f t="shared" si="4"/>
        <v>0</v>
      </c>
      <c r="U40" s="112" t="s">
        <v>349</v>
      </c>
      <c r="V40" s="112" t="s">
        <v>4238</v>
      </c>
      <c r="W40" s="112" t="s">
        <v>3885</v>
      </c>
      <c r="AE40">
        <v>39</v>
      </c>
      <c r="AF40" t="str">
        <f t="shared" si="7"/>
        <v/>
      </c>
    </row>
    <row r="41" spans="1:32" x14ac:dyDescent="0.2">
      <c r="A41">
        <v>1</v>
      </c>
      <c r="B41" t="s">
        <v>4078</v>
      </c>
      <c r="C41" s="50" t="s">
        <v>4098</v>
      </c>
      <c r="D41" s="51" t="str">
        <f>IF(MOD4_1!O$51="","",MOD4_1!O$51)</f>
        <v/>
      </c>
      <c r="E41" s="21" t="s">
        <v>3707</v>
      </c>
      <c r="F41" s="128" t="str">
        <f t="shared" si="11"/>
        <v/>
      </c>
      <c r="I41" s="20">
        <f t="shared" si="1"/>
        <v>0</v>
      </c>
      <c r="J41" s="16" t="s">
        <v>349</v>
      </c>
      <c r="K41" s="16" t="s">
        <v>433</v>
      </c>
      <c r="M41" s="20" t="str">
        <f t="shared" si="2"/>
        <v>AMAZONAS CONDORCANQUI EL CENEPA</v>
      </c>
      <c r="N41" s="20">
        <f t="shared" si="3"/>
        <v>0</v>
      </c>
      <c r="O41" s="16" t="s">
        <v>4</v>
      </c>
      <c r="P41" s="16" t="s">
        <v>48</v>
      </c>
      <c r="Q41" s="16" t="s">
        <v>49</v>
      </c>
      <c r="R41" s="16" t="s">
        <v>1848</v>
      </c>
      <c r="T41" s="20">
        <f t="shared" si="4"/>
        <v>0</v>
      </c>
      <c r="U41" s="112" t="s">
        <v>349</v>
      </c>
      <c r="V41" s="112" t="s">
        <v>4238</v>
      </c>
      <c r="W41" s="112" t="s">
        <v>3891</v>
      </c>
      <c r="AE41">
        <v>40</v>
      </c>
      <c r="AF41" t="str">
        <f t="shared" si="7"/>
        <v/>
      </c>
    </row>
    <row r="42" spans="1:32" x14ac:dyDescent="0.2">
      <c r="A42">
        <v>1</v>
      </c>
      <c r="B42" t="s">
        <v>4078</v>
      </c>
      <c r="C42" s="50" t="s">
        <v>4099</v>
      </c>
      <c r="D42" s="51" t="str">
        <f>IF(MOD4_1!V$51="","",MOD4_1!V$51)</f>
        <v/>
      </c>
      <c r="E42" s="21" t="s">
        <v>3707</v>
      </c>
      <c r="F42" s="128" t="str">
        <f t="shared" si="11"/>
        <v/>
      </c>
      <c r="I42" s="20">
        <f t="shared" si="1"/>
        <v>0</v>
      </c>
      <c r="J42" s="16" t="s">
        <v>349</v>
      </c>
      <c r="K42" s="16" t="s">
        <v>441</v>
      </c>
      <c r="M42" s="20" t="str">
        <f t="shared" si="2"/>
        <v>AMAZONAS CONDORCANQUI NIEVA</v>
      </c>
      <c r="N42" s="20">
        <f t="shared" si="3"/>
        <v>0</v>
      </c>
      <c r="O42" s="16" t="s">
        <v>4</v>
      </c>
      <c r="P42" s="16" t="s">
        <v>48</v>
      </c>
      <c r="Q42" s="16" t="s">
        <v>50</v>
      </c>
      <c r="R42" s="16" t="s">
        <v>1849</v>
      </c>
      <c r="T42" s="20">
        <f t="shared" si="4"/>
        <v>0</v>
      </c>
      <c r="U42" s="112" t="s">
        <v>349</v>
      </c>
      <c r="V42" s="112" t="s">
        <v>4238</v>
      </c>
      <c r="W42" s="112" t="s">
        <v>3895</v>
      </c>
      <c r="AE42">
        <v>41</v>
      </c>
      <c r="AF42" t="str">
        <f t="shared" si="7"/>
        <v/>
      </c>
    </row>
    <row r="43" spans="1:32" x14ac:dyDescent="0.2">
      <c r="A43">
        <v>1</v>
      </c>
      <c r="B43" t="s">
        <v>4078</v>
      </c>
      <c r="C43" s="50" t="s">
        <v>4100</v>
      </c>
      <c r="D43" s="51" t="str">
        <f>IF(MOD4_1!AC$51="","",MOD4_1!AC$51)</f>
        <v/>
      </c>
      <c r="E43" s="21" t="s">
        <v>3791</v>
      </c>
      <c r="F43" s="128" t="str">
        <f t="shared" si="11"/>
        <v/>
      </c>
      <c r="I43" s="20">
        <f t="shared" si="1"/>
        <v>0</v>
      </c>
      <c r="J43" s="16" t="s">
        <v>349</v>
      </c>
      <c r="K43" s="16" t="s">
        <v>447</v>
      </c>
      <c r="M43" s="20" t="str">
        <f t="shared" si="2"/>
        <v>AMAZONAS CONDORCANQUI RIO SANTIAGO</v>
      </c>
      <c r="N43" s="20">
        <f t="shared" si="3"/>
        <v>0</v>
      </c>
      <c r="O43" s="16" t="s">
        <v>4</v>
      </c>
      <c r="P43" s="16" t="s">
        <v>48</v>
      </c>
      <c r="Q43" s="16" t="s">
        <v>51</v>
      </c>
      <c r="R43" s="16" t="s">
        <v>1850</v>
      </c>
      <c r="T43" s="20">
        <f t="shared" si="4"/>
        <v>0</v>
      </c>
      <c r="U43" s="112" t="s">
        <v>349</v>
      </c>
      <c r="V43" s="112" t="s">
        <v>4236</v>
      </c>
      <c r="W43" s="112" t="s">
        <v>3897</v>
      </c>
      <c r="AE43">
        <v>42</v>
      </c>
      <c r="AF43" t="str">
        <f t="shared" si="7"/>
        <v/>
      </c>
    </row>
    <row r="44" spans="1:32" x14ac:dyDescent="0.2">
      <c r="B44" t="s">
        <v>4078</v>
      </c>
      <c r="C44" s="50" t="s">
        <v>4101</v>
      </c>
      <c r="D44" s="51" t="str">
        <f>IF(MOD4_1!AP$43="","",MOD4_1!AP$43)</f>
        <v/>
      </c>
      <c r="F44" s="128" t="str">
        <f t="shared" si="11"/>
        <v/>
      </c>
      <c r="I44" s="20">
        <f t="shared" si="1"/>
        <v>0</v>
      </c>
      <c r="J44" s="16" t="s">
        <v>459</v>
      </c>
      <c r="K44" s="16" t="s">
        <v>460</v>
      </c>
      <c r="M44" s="20" t="str">
        <f t="shared" si="2"/>
        <v>AMAZONAS LUYA CAMPORREDONDO</v>
      </c>
      <c r="N44" s="20">
        <f t="shared" si="3"/>
        <v>0</v>
      </c>
      <c r="O44" s="16" t="s">
        <v>4</v>
      </c>
      <c r="P44" s="16" t="s">
        <v>52</v>
      </c>
      <c r="Q44" s="16" t="s">
        <v>53</v>
      </c>
      <c r="R44" s="16" t="s">
        <v>1851</v>
      </c>
      <c r="T44" s="20">
        <f t="shared" si="4"/>
        <v>0</v>
      </c>
      <c r="U44" s="112" t="s">
        <v>349</v>
      </c>
      <c r="V44" s="112" t="s">
        <v>4238</v>
      </c>
      <c r="W44" s="112" t="s">
        <v>3912</v>
      </c>
      <c r="AE44">
        <v>43</v>
      </c>
      <c r="AF44" t="str">
        <f t="shared" si="7"/>
        <v/>
      </c>
    </row>
    <row r="45" spans="1:32" ht="12.75" customHeight="1" x14ac:dyDescent="0.2">
      <c r="C45" s="54" t="s">
        <v>4120</v>
      </c>
      <c r="D45" s="54" t="b">
        <f>(COUNTIF(D40:D43,"")+COUNTIF(D30:D33,"")+COUNTIF(D35:D38,""))=0</f>
        <v>0</v>
      </c>
      <c r="F45" s="128" t="str">
        <f t="shared" si="11"/>
        <v/>
      </c>
      <c r="I45" s="20">
        <f t="shared" si="1"/>
        <v>0</v>
      </c>
      <c r="J45" s="16" t="s">
        <v>459</v>
      </c>
      <c r="K45" s="16" t="s">
        <v>466</v>
      </c>
      <c r="M45" s="20" t="str">
        <f t="shared" si="2"/>
        <v>AMAZONAS LUYA COCABAMBA</v>
      </c>
      <c r="N45" s="20">
        <f t="shared" si="3"/>
        <v>0</v>
      </c>
      <c r="O45" s="16" t="s">
        <v>4</v>
      </c>
      <c r="P45" s="16" t="s">
        <v>52</v>
      </c>
      <c r="Q45" s="16" t="s">
        <v>54</v>
      </c>
      <c r="R45" s="16" t="s">
        <v>1852</v>
      </c>
      <c r="T45" s="20">
        <f t="shared" si="4"/>
        <v>0</v>
      </c>
      <c r="U45" s="112" t="s">
        <v>349</v>
      </c>
      <c r="V45" s="112" t="s">
        <v>4238</v>
      </c>
      <c r="W45" s="112" t="s">
        <v>3952</v>
      </c>
      <c r="AE45">
        <v>44</v>
      </c>
      <c r="AF45" t="str">
        <f t="shared" si="7"/>
        <v/>
      </c>
    </row>
    <row r="46" spans="1:32" x14ac:dyDescent="0.2">
      <c r="A46">
        <v>2</v>
      </c>
      <c r="B46" t="s">
        <v>4089</v>
      </c>
      <c r="C46" s="50" t="s">
        <v>4079</v>
      </c>
      <c r="D46" s="51" t="str">
        <f>IF(MOD4_2!H$21="","",MOD4_2!H$21)</f>
        <v/>
      </c>
      <c r="E46" s="21" t="s">
        <v>3784</v>
      </c>
      <c r="F46" s="128" t="str">
        <f t="shared" si="11"/>
        <v/>
      </c>
      <c r="I46" s="20">
        <f t="shared" si="1"/>
        <v>0</v>
      </c>
      <c r="J46" s="16" t="s">
        <v>459</v>
      </c>
      <c r="K46" s="16" t="s">
        <v>479</v>
      </c>
      <c r="M46" s="20" t="str">
        <f t="shared" si="2"/>
        <v>AMAZONAS LUYA COLCAMAR</v>
      </c>
      <c r="N46" s="20">
        <f t="shared" si="3"/>
        <v>0</v>
      </c>
      <c r="O46" s="16" t="s">
        <v>4</v>
      </c>
      <c r="P46" s="16" t="s">
        <v>52</v>
      </c>
      <c r="Q46" s="16" t="s">
        <v>55</v>
      </c>
      <c r="R46" s="16" t="s">
        <v>1853</v>
      </c>
      <c r="T46" s="20">
        <f t="shared" si="4"/>
        <v>0</v>
      </c>
      <c r="U46" s="112" t="s">
        <v>349</v>
      </c>
      <c r="V46" s="112" t="s">
        <v>4236</v>
      </c>
      <c r="W46" s="112" t="s">
        <v>3959</v>
      </c>
      <c r="AE46">
        <v>45</v>
      </c>
      <c r="AF46" t="str">
        <f t="shared" si="7"/>
        <v/>
      </c>
    </row>
    <row r="47" spans="1:32" x14ac:dyDescent="0.2">
      <c r="A47">
        <v>2</v>
      </c>
      <c r="B47" t="s">
        <v>4089</v>
      </c>
      <c r="C47" s="50" t="s">
        <v>4080</v>
      </c>
      <c r="D47" s="51" t="str">
        <f>IF(MOD4_2!O$21="","",MOD4_2!O$21)</f>
        <v/>
      </c>
      <c r="E47" s="21" t="s">
        <v>3702</v>
      </c>
      <c r="F47" s="128" t="str">
        <f t="shared" si="11"/>
        <v/>
      </c>
      <c r="I47" s="20">
        <f t="shared" si="1"/>
        <v>0</v>
      </c>
      <c r="J47" s="16" t="s">
        <v>459</v>
      </c>
      <c r="K47" s="16" t="s">
        <v>484</v>
      </c>
      <c r="M47" s="20" t="str">
        <f t="shared" si="2"/>
        <v>AMAZONAS LUYA CONILA</v>
      </c>
      <c r="N47" s="20">
        <f t="shared" si="3"/>
        <v>0</v>
      </c>
      <c r="O47" s="16" t="s">
        <v>4</v>
      </c>
      <c r="P47" s="16" t="s">
        <v>52</v>
      </c>
      <c r="Q47" s="16" t="s">
        <v>56</v>
      </c>
      <c r="R47" s="16" t="s">
        <v>1854</v>
      </c>
      <c r="T47" s="20">
        <f t="shared" si="4"/>
        <v>0</v>
      </c>
      <c r="U47" s="112" t="s">
        <v>349</v>
      </c>
      <c r="V47" s="112" t="s">
        <v>4238</v>
      </c>
      <c r="W47" s="112" t="s">
        <v>3961</v>
      </c>
      <c r="AE47">
        <v>46</v>
      </c>
      <c r="AF47" t="str">
        <f t="shared" si="7"/>
        <v/>
      </c>
    </row>
    <row r="48" spans="1:32" x14ac:dyDescent="0.2">
      <c r="A48">
        <v>2</v>
      </c>
      <c r="B48" t="s">
        <v>4089</v>
      </c>
      <c r="C48" s="50" t="s">
        <v>4081</v>
      </c>
      <c r="D48" s="51" t="str">
        <f>IF(MOD4_2!V$21="","",MOD4_2!V$21)</f>
        <v/>
      </c>
      <c r="E48" s="21" t="s">
        <v>3702</v>
      </c>
      <c r="F48" s="128" t="str">
        <f t="shared" si="11"/>
        <v/>
      </c>
      <c r="I48" s="20">
        <f t="shared" si="1"/>
        <v>0</v>
      </c>
      <c r="J48" s="16" t="s">
        <v>459</v>
      </c>
      <c r="K48" s="16" t="s">
        <v>496</v>
      </c>
      <c r="M48" s="20" t="str">
        <f t="shared" si="2"/>
        <v>AMAZONAS LUYA INGUILPATA</v>
      </c>
      <c r="N48" s="20">
        <f t="shared" si="3"/>
        <v>0</v>
      </c>
      <c r="O48" s="16" t="s">
        <v>4</v>
      </c>
      <c r="P48" s="16" t="s">
        <v>52</v>
      </c>
      <c r="Q48" s="16" t="s">
        <v>57</v>
      </c>
      <c r="R48" s="16" t="s">
        <v>1855</v>
      </c>
      <c r="T48" s="20">
        <f t="shared" si="4"/>
        <v>0</v>
      </c>
      <c r="U48" s="112" t="s">
        <v>459</v>
      </c>
      <c r="V48" s="112" t="s">
        <v>4239</v>
      </c>
      <c r="W48" s="112" t="s">
        <v>3889</v>
      </c>
      <c r="AE48">
        <v>47</v>
      </c>
      <c r="AF48" t="str">
        <f t="shared" si="7"/>
        <v/>
      </c>
    </row>
    <row r="49" spans="1:43" x14ac:dyDescent="0.2">
      <c r="A49">
        <v>2</v>
      </c>
      <c r="B49" t="s">
        <v>4089</v>
      </c>
      <c r="C49" s="50" t="s">
        <v>4082</v>
      </c>
      <c r="D49" s="51" t="str">
        <f>IF(MOD4_2!AC$21="","",MOD4_2!AC$21)</f>
        <v/>
      </c>
      <c r="E49" s="21" t="s">
        <v>3784</v>
      </c>
      <c r="F49" s="128" t="str">
        <f t="shared" si="11"/>
        <v/>
      </c>
      <c r="I49" s="20">
        <f t="shared" si="1"/>
        <v>0</v>
      </c>
      <c r="J49" s="16" t="s">
        <v>459</v>
      </c>
      <c r="K49" s="16" t="s">
        <v>506</v>
      </c>
      <c r="M49" s="20" t="str">
        <f t="shared" si="2"/>
        <v>AMAZONAS LUYA LAMUD</v>
      </c>
      <c r="N49" s="20">
        <f t="shared" si="3"/>
        <v>0</v>
      </c>
      <c r="O49" s="16" t="s">
        <v>4</v>
      </c>
      <c r="P49" s="16" t="s">
        <v>52</v>
      </c>
      <c r="Q49" s="16" t="s">
        <v>58</v>
      </c>
      <c r="R49" s="16" t="s">
        <v>1856</v>
      </c>
      <c r="T49" s="20">
        <f t="shared" si="4"/>
        <v>0</v>
      </c>
      <c r="U49" s="112" t="s">
        <v>459</v>
      </c>
      <c r="V49" s="112" t="s">
        <v>4240</v>
      </c>
      <c r="W49" s="112" t="s">
        <v>3934</v>
      </c>
      <c r="AE49">
        <v>48</v>
      </c>
      <c r="AF49" t="str">
        <f t="shared" si="7"/>
        <v/>
      </c>
    </row>
    <row r="50" spans="1:43" x14ac:dyDescent="0.2">
      <c r="B50" t="s">
        <v>4089</v>
      </c>
      <c r="C50" s="50" t="s">
        <v>4083</v>
      </c>
      <c r="D50" s="51" t="str">
        <f>IF(MOD4_2!AP$13="","",MOD4_2!AP$13)</f>
        <v/>
      </c>
      <c r="F50" s="128" t="str">
        <f t="shared" si="11"/>
        <v/>
      </c>
      <c r="I50" s="20">
        <f t="shared" si="1"/>
        <v>0</v>
      </c>
      <c r="J50" s="16" t="s">
        <v>459</v>
      </c>
      <c r="K50" s="16" t="s">
        <v>522</v>
      </c>
      <c r="M50" s="20" t="str">
        <f t="shared" si="2"/>
        <v>AMAZONAS LUYA LONGUITA</v>
      </c>
      <c r="N50" s="20">
        <f t="shared" si="3"/>
        <v>0</v>
      </c>
      <c r="O50" s="16" t="s">
        <v>4</v>
      </c>
      <c r="P50" s="16" t="s">
        <v>52</v>
      </c>
      <c r="Q50" s="16" t="s">
        <v>59</v>
      </c>
      <c r="R50" s="16" t="s">
        <v>1857</v>
      </c>
      <c r="T50" s="20">
        <f t="shared" si="4"/>
        <v>0</v>
      </c>
      <c r="U50" s="112" t="s">
        <v>459</v>
      </c>
      <c r="V50" s="112" t="s">
        <v>4241</v>
      </c>
      <c r="W50" s="112" t="s">
        <v>3938</v>
      </c>
      <c r="AE50">
        <v>49</v>
      </c>
      <c r="AF50" t="str">
        <f t="shared" si="7"/>
        <v/>
      </c>
    </row>
    <row r="51" spans="1:43" x14ac:dyDescent="0.2">
      <c r="C51" s="54" t="s">
        <v>4121</v>
      </c>
      <c r="D51" s="54" t="b">
        <f>COUNTIF(D46:D49,"")=0</f>
        <v>0</v>
      </c>
      <c r="F51" s="128" t="str">
        <f t="shared" si="11"/>
        <v/>
      </c>
      <c r="I51" s="20">
        <f t="shared" si="1"/>
        <v>0</v>
      </c>
      <c r="J51" s="16" t="s">
        <v>459</v>
      </c>
      <c r="K51" s="16" t="s">
        <v>531</v>
      </c>
      <c r="M51" s="20" t="str">
        <f t="shared" si="2"/>
        <v>AMAZONAS LUYA LONYA CHICO</v>
      </c>
      <c r="N51" s="20">
        <f t="shared" si="3"/>
        <v>0</v>
      </c>
      <c r="O51" s="16" t="s">
        <v>4</v>
      </c>
      <c r="P51" s="16" t="s">
        <v>52</v>
      </c>
      <c r="Q51" s="16" t="s">
        <v>60</v>
      </c>
      <c r="R51" s="16" t="s">
        <v>1858</v>
      </c>
      <c r="T51" s="20">
        <f t="shared" si="4"/>
        <v>0</v>
      </c>
      <c r="U51" s="112" t="s">
        <v>459</v>
      </c>
      <c r="V51" s="112" t="s">
        <v>4242</v>
      </c>
      <c r="W51" s="112" t="s">
        <v>3941</v>
      </c>
      <c r="AE51">
        <v>50</v>
      </c>
      <c r="AF51" t="str">
        <f t="shared" si="7"/>
        <v/>
      </c>
    </row>
    <row r="52" spans="1:43" x14ac:dyDescent="0.2">
      <c r="A52">
        <v>3</v>
      </c>
      <c r="B52" t="s">
        <v>4090</v>
      </c>
      <c r="C52" s="50" t="s">
        <v>4079</v>
      </c>
      <c r="D52" s="51" t="str">
        <f>IF(MOD4_3!H$21="","",MOD4_3!H$21)</f>
        <v/>
      </c>
      <c r="E52" s="21" t="s">
        <v>3703</v>
      </c>
      <c r="F52" s="128" t="str">
        <f t="shared" si="11"/>
        <v/>
      </c>
      <c r="I52" s="20">
        <f t="shared" si="1"/>
        <v>0</v>
      </c>
      <c r="J52" s="16" t="s">
        <v>459</v>
      </c>
      <c r="K52" s="16" t="s">
        <v>542</v>
      </c>
      <c r="M52" s="20" t="str">
        <f t="shared" si="2"/>
        <v>AMAZONAS LUYA LUYA</v>
      </c>
      <c r="N52" s="20">
        <f t="shared" si="3"/>
        <v>0</v>
      </c>
      <c r="O52" s="16" t="s">
        <v>4</v>
      </c>
      <c r="P52" s="16" t="s">
        <v>52</v>
      </c>
      <c r="Q52" s="16" t="s">
        <v>52</v>
      </c>
      <c r="R52" s="16" t="s">
        <v>1859</v>
      </c>
      <c r="T52" s="20">
        <f t="shared" si="4"/>
        <v>0</v>
      </c>
      <c r="U52" s="112" t="s">
        <v>459</v>
      </c>
      <c r="V52" s="112" t="s">
        <v>4243</v>
      </c>
      <c r="W52" s="112" t="s">
        <v>3960</v>
      </c>
    </row>
    <row r="53" spans="1:43" x14ac:dyDescent="0.2">
      <c r="A53">
        <v>3</v>
      </c>
      <c r="B53" t="s">
        <v>4090</v>
      </c>
      <c r="C53" s="50" t="s">
        <v>4080</v>
      </c>
      <c r="D53" s="51" t="str">
        <f>IF(MOD4_3!O$21="","",MOD4_3!O$21)</f>
        <v/>
      </c>
      <c r="E53" s="21" t="s">
        <v>3702</v>
      </c>
      <c r="F53" s="128" t="str">
        <f t="shared" si="11"/>
        <v/>
      </c>
      <c r="I53" s="20">
        <f t="shared" si="1"/>
        <v>0</v>
      </c>
      <c r="J53" s="16" t="s">
        <v>459</v>
      </c>
      <c r="K53" s="16" t="s">
        <v>555</v>
      </c>
      <c r="M53" s="20" t="str">
        <f t="shared" si="2"/>
        <v>AMAZONAS LUYA LUYA VIEJO</v>
      </c>
      <c r="N53" s="20">
        <f t="shared" si="3"/>
        <v>0</v>
      </c>
      <c r="O53" s="16" t="s">
        <v>4</v>
      </c>
      <c r="P53" s="16" t="s">
        <v>52</v>
      </c>
      <c r="Q53" s="16" t="s">
        <v>61</v>
      </c>
      <c r="R53" s="16" t="s">
        <v>1860</v>
      </c>
      <c r="T53" s="20">
        <f t="shared" si="4"/>
        <v>0</v>
      </c>
      <c r="U53" s="112" t="s">
        <v>459</v>
      </c>
      <c r="V53" s="112" t="s">
        <v>4244</v>
      </c>
      <c r="W53" s="112" t="s">
        <v>3968</v>
      </c>
    </row>
    <row r="54" spans="1:43" x14ac:dyDescent="0.2">
      <c r="A54">
        <v>3</v>
      </c>
      <c r="B54" t="s">
        <v>4090</v>
      </c>
      <c r="C54" s="50" t="s">
        <v>4081</v>
      </c>
      <c r="D54" s="51" t="str">
        <f>IF(MOD4_3!V$21="","",MOD4_3!V$21)</f>
        <v/>
      </c>
      <c r="E54" s="21" t="s">
        <v>3789</v>
      </c>
      <c r="F54" s="128" t="str">
        <f t="shared" si="11"/>
        <v/>
      </c>
      <c r="I54" s="20">
        <f t="shared" si="1"/>
        <v>0</v>
      </c>
      <c r="J54" s="16" t="s">
        <v>459</v>
      </c>
      <c r="K54" s="16" t="s">
        <v>568</v>
      </c>
      <c r="M54" s="20" t="str">
        <f t="shared" si="2"/>
        <v>AMAZONAS LUYA MARIA</v>
      </c>
      <c r="N54" s="20">
        <f t="shared" si="3"/>
        <v>0</v>
      </c>
      <c r="O54" s="16" t="s">
        <v>4</v>
      </c>
      <c r="P54" s="16" t="s">
        <v>52</v>
      </c>
      <c r="Q54" s="16" t="s">
        <v>62</v>
      </c>
      <c r="R54" s="16" t="s">
        <v>1861</v>
      </c>
      <c r="T54" s="20">
        <f t="shared" si="4"/>
        <v>0</v>
      </c>
      <c r="U54" s="112" t="s">
        <v>459</v>
      </c>
      <c r="V54" s="112" t="s">
        <v>4245</v>
      </c>
      <c r="W54" s="112" t="s">
        <v>3990</v>
      </c>
    </row>
    <row r="55" spans="1:43" x14ac:dyDescent="0.2">
      <c r="A55">
        <v>3</v>
      </c>
      <c r="B55" t="s">
        <v>4090</v>
      </c>
      <c r="C55" s="50" t="s">
        <v>4082</v>
      </c>
      <c r="D55" s="51" t="str">
        <f>IF(MOD4_3!AC$21="","",MOD4_3!AC$21)</f>
        <v/>
      </c>
      <c r="E55" s="21" t="s">
        <v>3792</v>
      </c>
      <c r="F55" s="128" t="str">
        <f t="shared" si="11"/>
        <v/>
      </c>
      <c r="I55" s="20">
        <f t="shared" si="1"/>
        <v>0</v>
      </c>
      <c r="J55" s="16" t="s">
        <v>575</v>
      </c>
      <c r="K55" s="16" t="s">
        <v>576</v>
      </c>
      <c r="M55" s="20" t="str">
        <f t="shared" si="2"/>
        <v>AMAZONAS LUYA OCALLI</v>
      </c>
      <c r="N55" s="20">
        <f t="shared" si="3"/>
        <v>0</v>
      </c>
      <c r="O55" s="16" t="s">
        <v>4</v>
      </c>
      <c r="P55" s="16" t="s">
        <v>52</v>
      </c>
      <c r="Q55" s="16" t="s">
        <v>63</v>
      </c>
      <c r="R55" s="16" t="s">
        <v>1862</v>
      </c>
      <c r="T55" s="20">
        <f t="shared" si="4"/>
        <v>0</v>
      </c>
      <c r="U55" s="112" t="s">
        <v>459</v>
      </c>
      <c r="V55" s="112" t="s">
        <v>4246</v>
      </c>
      <c r="W55" s="112" t="s">
        <v>3994</v>
      </c>
    </row>
    <row r="56" spans="1:43" x14ac:dyDescent="0.2">
      <c r="B56" t="s">
        <v>4090</v>
      </c>
      <c r="C56" s="50" t="s">
        <v>4083</v>
      </c>
      <c r="D56" s="51" t="str">
        <f>IF(MOD4_3!AP$13="","",MOD4_3!AP$13)</f>
        <v/>
      </c>
      <c r="F56" s="128" t="str">
        <f t="shared" si="11"/>
        <v/>
      </c>
      <c r="I56" s="20">
        <f t="shared" si="1"/>
        <v>0</v>
      </c>
      <c r="J56" s="16" t="s">
        <v>575</v>
      </c>
      <c r="K56" s="16" t="s">
        <v>575</v>
      </c>
      <c r="M56" s="20" t="str">
        <f t="shared" si="2"/>
        <v>AMAZONAS LUYA OCUMAL</v>
      </c>
      <c r="N56" s="20">
        <f t="shared" si="3"/>
        <v>0</v>
      </c>
      <c r="O56" s="16" t="s">
        <v>4</v>
      </c>
      <c r="P56" s="16" t="s">
        <v>52</v>
      </c>
      <c r="Q56" s="16" t="s">
        <v>64</v>
      </c>
      <c r="R56" s="16" t="s">
        <v>1863</v>
      </c>
      <c r="T56" s="20">
        <f t="shared" si="4"/>
        <v>0</v>
      </c>
      <c r="U56" s="112" t="s">
        <v>459</v>
      </c>
      <c r="V56" s="112" t="s">
        <v>4247</v>
      </c>
      <c r="W56" s="112" t="s">
        <v>4028</v>
      </c>
    </row>
    <row r="57" spans="1:43" ht="12.75" customHeight="1" x14ac:dyDescent="0.2">
      <c r="A57">
        <v>3</v>
      </c>
      <c r="B57" t="s">
        <v>4090</v>
      </c>
      <c r="C57" s="50" t="s">
        <v>4084</v>
      </c>
      <c r="D57" s="51" t="str">
        <f>IF(MOD4_3!H$36="","",MOD4_3!H$36)</f>
        <v/>
      </c>
      <c r="E57" s="21" t="s">
        <v>3706</v>
      </c>
      <c r="F57" s="128" t="str">
        <f t="shared" si="11"/>
        <v/>
      </c>
      <c r="I57" s="20">
        <f t="shared" si="1"/>
        <v>0</v>
      </c>
      <c r="J57" s="16" t="s">
        <v>575</v>
      </c>
      <c r="K57" s="16" t="s">
        <v>588</v>
      </c>
      <c r="M57" s="20" t="str">
        <f t="shared" si="2"/>
        <v>AMAZONAS LUYA PISUQUIA</v>
      </c>
      <c r="N57" s="20">
        <f t="shared" si="3"/>
        <v>0</v>
      </c>
      <c r="O57" s="16" t="s">
        <v>4</v>
      </c>
      <c r="P57" s="16" t="s">
        <v>52</v>
      </c>
      <c r="Q57" s="16" t="s">
        <v>65</v>
      </c>
      <c r="R57" s="16" t="s">
        <v>1864</v>
      </c>
      <c r="T57" s="20">
        <f t="shared" si="4"/>
        <v>0</v>
      </c>
      <c r="U57" s="112" t="s">
        <v>459</v>
      </c>
      <c r="V57" s="112" t="s">
        <v>4248</v>
      </c>
      <c r="W57" s="112" t="s">
        <v>4045</v>
      </c>
    </row>
    <row r="58" spans="1:43" x14ac:dyDescent="0.2">
      <c r="A58">
        <v>3</v>
      </c>
      <c r="B58" t="s">
        <v>4090</v>
      </c>
      <c r="C58" s="50" t="s">
        <v>4085</v>
      </c>
      <c r="D58" s="51" t="str">
        <f>IF(MOD4_3!O$36="","",MOD4_3!O$36)</f>
        <v/>
      </c>
      <c r="E58" s="21" t="s">
        <v>3702</v>
      </c>
      <c r="F58" s="128" t="str">
        <f t="shared" si="11"/>
        <v/>
      </c>
      <c r="I58" s="20">
        <f t="shared" si="1"/>
        <v>0</v>
      </c>
      <c r="J58" s="16" t="s">
        <v>575</v>
      </c>
      <c r="K58" s="16" t="s">
        <v>598</v>
      </c>
      <c r="M58" s="20" t="str">
        <f t="shared" si="2"/>
        <v>AMAZONAS LUYA PROVIDENCIA</v>
      </c>
      <c r="N58" s="20">
        <f t="shared" si="3"/>
        <v>0</v>
      </c>
      <c r="O58" s="16" t="s">
        <v>4</v>
      </c>
      <c r="P58" s="16" t="s">
        <v>52</v>
      </c>
      <c r="Q58" s="16" t="s">
        <v>66</v>
      </c>
      <c r="R58" s="16" t="s">
        <v>1865</v>
      </c>
      <c r="T58" s="20">
        <f t="shared" si="4"/>
        <v>0</v>
      </c>
      <c r="U58" s="112" t="s">
        <v>459</v>
      </c>
      <c r="V58" s="112" t="s">
        <v>4249</v>
      </c>
      <c r="W58" s="112" t="s">
        <v>4046</v>
      </c>
      <c r="AQ58" t="str">
        <f>IF(LISTAS!D45=TRUE,"Anterior","")</f>
        <v/>
      </c>
    </row>
    <row r="59" spans="1:43" x14ac:dyDescent="0.2">
      <c r="A59">
        <v>3</v>
      </c>
      <c r="B59" t="s">
        <v>4090</v>
      </c>
      <c r="C59" s="50" t="s">
        <v>4086</v>
      </c>
      <c r="D59" s="51" t="str">
        <f>IF(MOD4_3!V$36="","",MOD4_3!V$36)</f>
        <v/>
      </c>
      <c r="E59" s="21" t="s">
        <v>3702</v>
      </c>
      <c r="F59" s="128" t="str">
        <f t="shared" si="11"/>
        <v/>
      </c>
      <c r="I59" s="20">
        <f t="shared" si="1"/>
        <v>0</v>
      </c>
      <c r="J59" s="16" t="s">
        <v>575</v>
      </c>
      <c r="K59" s="16" t="s">
        <v>616</v>
      </c>
      <c r="M59" s="20" t="str">
        <f t="shared" si="2"/>
        <v>AMAZONAS LUYA SAN CRISTOBAL</v>
      </c>
      <c r="N59" s="20">
        <f t="shared" si="3"/>
        <v>0</v>
      </c>
      <c r="O59" s="16" t="s">
        <v>4</v>
      </c>
      <c r="P59" s="16" t="s">
        <v>52</v>
      </c>
      <c r="Q59" s="16" t="s">
        <v>67</v>
      </c>
      <c r="R59" s="16" t="s">
        <v>1866</v>
      </c>
      <c r="T59" s="20">
        <f t="shared" si="4"/>
        <v>0</v>
      </c>
      <c r="U59" s="112" t="s">
        <v>575</v>
      </c>
      <c r="V59" s="112" t="s">
        <v>4250</v>
      </c>
      <c r="W59" s="112" t="s">
        <v>3838</v>
      </c>
    </row>
    <row r="60" spans="1:43" x14ac:dyDescent="0.2">
      <c r="A60">
        <v>3</v>
      </c>
      <c r="B60" t="s">
        <v>4090</v>
      </c>
      <c r="C60" s="50" t="s">
        <v>4087</v>
      </c>
      <c r="D60" s="51" t="str">
        <f>IF(MOD4_3!AC$36="","",MOD4_3!AC$36)</f>
        <v/>
      </c>
      <c r="E60" s="21" t="s">
        <v>3792</v>
      </c>
      <c r="F60" s="128" t="str">
        <f t="shared" si="11"/>
        <v/>
      </c>
      <c r="I60" s="20">
        <f t="shared" si="1"/>
        <v>0</v>
      </c>
      <c r="J60" s="16" t="s">
        <v>575</v>
      </c>
      <c r="K60" s="16" t="s">
        <v>623</v>
      </c>
      <c r="M60" s="20" t="str">
        <f t="shared" si="2"/>
        <v>AMAZONAS LUYA SAN FRANCISCO DEL YESO</v>
      </c>
      <c r="N60" s="20">
        <f t="shared" si="3"/>
        <v>0</v>
      </c>
      <c r="O60" s="16" t="s">
        <v>4</v>
      </c>
      <c r="P60" s="16" t="s">
        <v>52</v>
      </c>
      <c r="Q60" s="16" t="s">
        <v>68</v>
      </c>
      <c r="R60" s="16" t="s">
        <v>1867</v>
      </c>
      <c r="T60" s="20">
        <f t="shared" si="4"/>
        <v>0</v>
      </c>
      <c r="U60" s="112" t="s">
        <v>575</v>
      </c>
      <c r="V60" s="112" t="s">
        <v>4251</v>
      </c>
      <c r="W60" s="112" t="s">
        <v>3883</v>
      </c>
    </row>
    <row r="61" spans="1:43" x14ac:dyDescent="0.2">
      <c r="B61" t="s">
        <v>4090</v>
      </c>
      <c r="C61" s="50" t="s">
        <v>4088</v>
      </c>
      <c r="D61" s="51" t="str">
        <f>IF(MOD4_3!AP$28="","",MOD4_3!AP$28)</f>
        <v/>
      </c>
      <c r="F61" s="128" t="str">
        <f t="shared" si="11"/>
        <v/>
      </c>
      <c r="I61" s="20">
        <f t="shared" si="1"/>
        <v>0</v>
      </c>
      <c r="J61" s="16" t="s">
        <v>575</v>
      </c>
      <c r="K61" s="16" t="s">
        <v>636</v>
      </c>
      <c r="M61" s="20" t="str">
        <f t="shared" si="2"/>
        <v>AMAZONAS LUYA SAN JERONIMO</v>
      </c>
      <c r="N61" s="20">
        <f t="shared" si="3"/>
        <v>0</v>
      </c>
      <c r="O61" s="16" t="s">
        <v>4</v>
      </c>
      <c r="P61" s="16" t="s">
        <v>52</v>
      </c>
      <c r="Q61" s="16" t="s">
        <v>69</v>
      </c>
      <c r="R61" s="16" t="s">
        <v>1868</v>
      </c>
      <c r="T61" s="20">
        <f t="shared" si="4"/>
        <v>0</v>
      </c>
      <c r="U61" s="112" t="s">
        <v>575</v>
      </c>
      <c r="V61" s="112" t="s">
        <v>4252</v>
      </c>
      <c r="W61" s="112" t="s">
        <v>3898</v>
      </c>
    </row>
    <row r="62" spans="1:43" x14ac:dyDescent="0.2">
      <c r="A62">
        <v>3</v>
      </c>
      <c r="B62" t="s">
        <v>4090</v>
      </c>
      <c r="C62" s="50" t="s">
        <v>4097</v>
      </c>
      <c r="D62" s="51" t="str">
        <f>IF(MOD4_3!H$51="","",MOD4_3!H$51)</f>
        <v/>
      </c>
      <c r="E62" s="21" t="s">
        <v>3784</v>
      </c>
      <c r="F62" s="128" t="str">
        <f t="shared" si="11"/>
        <v/>
      </c>
      <c r="I62" s="20">
        <f t="shared" si="1"/>
        <v>0</v>
      </c>
      <c r="J62" s="16" t="s">
        <v>575</v>
      </c>
      <c r="K62" s="16" t="s">
        <v>639</v>
      </c>
      <c r="M62" s="20" t="str">
        <f t="shared" si="2"/>
        <v>AMAZONAS LUYA SAN JUAN DE LOPECANCHA</v>
      </c>
      <c r="N62" s="20">
        <f t="shared" si="3"/>
        <v>0</v>
      </c>
      <c r="O62" s="16" t="s">
        <v>4</v>
      </c>
      <c r="P62" s="16" t="s">
        <v>52</v>
      </c>
      <c r="Q62" s="16" t="s">
        <v>70</v>
      </c>
      <c r="R62" s="16" t="s">
        <v>1869</v>
      </c>
      <c r="T62" s="20">
        <f t="shared" si="4"/>
        <v>0</v>
      </c>
      <c r="U62" s="112" t="s">
        <v>575</v>
      </c>
      <c r="V62" s="112" t="s">
        <v>4253</v>
      </c>
      <c r="W62" s="112" t="s">
        <v>3905</v>
      </c>
    </row>
    <row r="63" spans="1:43" x14ac:dyDescent="0.2">
      <c r="A63">
        <v>3</v>
      </c>
      <c r="B63" t="s">
        <v>4090</v>
      </c>
      <c r="C63" s="50" t="s">
        <v>4098</v>
      </c>
      <c r="D63" s="51" t="str">
        <f>IF(MOD4_3!O$51="","",MOD4_3!O$51)</f>
        <v/>
      </c>
      <c r="E63" s="21" t="s">
        <v>3784</v>
      </c>
      <c r="F63" s="128" t="str">
        <f t="shared" si="11"/>
        <v/>
      </c>
      <c r="I63" s="20">
        <f t="shared" si="1"/>
        <v>0</v>
      </c>
      <c r="J63" s="16" t="s">
        <v>575</v>
      </c>
      <c r="K63" s="16" t="s">
        <v>546</v>
      </c>
      <c r="M63" s="20" t="str">
        <f t="shared" si="2"/>
        <v>AMAZONAS LUYA SANTA CATALINA</v>
      </c>
      <c r="N63" s="20">
        <f t="shared" si="3"/>
        <v>0</v>
      </c>
      <c r="O63" s="16" t="s">
        <v>4</v>
      </c>
      <c r="P63" s="16" t="s">
        <v>52</v>
      </c>
      <c r="Q63" s="16" t="s">
        <v>71</v>
      </c>
      <c r="R63" s="16" t="s">
        <v>1870</v>
      </c>
      <c r="T63" s="20">
        <f t="shared" si="4"/>
        <v>0</v>
      </c>
      <c r="U63" s="112" t="s">
        <v>575</v>
      </c>
      <c r="V63" s="112" t="s">
        <v>4254</v>
      </c>
      <c r="W63" s="112" t="s">
        <v>3915</v>
      </c>
    </row>
    <row r="64" spans="1:43" x14ac:dyDescent="0.2">
      <c r="A64">
        <v>3</v>
      </c>
      <c r="B64" t="s">
        <v>4090</v>
      </c>
      <c r="C64" s="50" t="s">
        <v>4099</v>
      </c>
      <c r="D64" s="51" t="str">
        <f>IF(MOD4_3!V$51="","",MOD4_3!V$51)</f>
        <v/>
      </c>
      <c r="E64" s="21" t="s">
        <v>3784</v>
      </c>
      <c r="F64" s="128" t="str">
        <f t="shared" si="11"/>
        <v/>
      </c>
      <c r="I64" s="20">
        <f t="shared" si="1"/>
        <v>0</v>
      </c>
      <c r="J64" s="16" t="s">
        <v>575</v>
      </c>
      <c r="K64" s="16" t="s">
        <v>143</v>
      </c>
      <c r="M64" s="20" t="str">
        <f t="shared" si="2"/>
        <v>AMAZONAS LUYA SANTO TOMAS</v>
      </c>
      <c r="N64" s="20">
        <f t="shared" si="3"/>
        <v>0</v>
      </c>
      <c r="O64" s="16" t="s">
        <v>4</v>
      </c>
      <c r="P64" s="16" t="s">
        <v>52</v>
      </c>
      <c r="Q64" s="16" t="s">
        <v>72</v>
      </c>
      <c r="R64" s="16" t="s">
        <v>1871</v>
      </c>
      <c r="T64" s="20">
        <f t="shared" si="4"/>
        <v>0</v>
      </c>
      <c r="U64" s="112" t="s">
        <v>575</v>
      </c>
      <c r="V64" s="112" t="s">
        <v>4255</v>
      </c>
      <c r="W64" s="112" t="s">
        <v>3921</v>
      </c>
    </row>
    <row r="65" spans="1:23" x14ac:dyDescent="0.2">
      <c r="A65">
        <v>3</v>
      </c>
      <c r="B65" t="s">
        <v>4090</v>
      </c>
      <c r="C65" s="50" t="s">
        <v>4100</v>
      </c>
      <c r="D65" s="51" t="str">
        <f>IF(MOD4_3!AC$51="","",MOD4_3!AC$51)</f>
        <v/>
      </c>
      <c r="E65" s="21" t="s">
        <v>3710</v>
      </c>
      <c r="F65" s="128" t="str">
        <f t="shared" si="11"/>
        <v/>
      </c>
      <c r="I65" s="20">
        <f t="shared" si="1"/>
        <v>0</v>
      </c>
      <c r="J65" s="16" t="s">
        <v>575</v>
      </c>
      <c r="K65" s="16" t="s">
        <v>504</v>
      </c>
      <c r="M65" s="20" t="str">
        <f t="shared" si="2"/>
        <v>AMAZONAS LUYA TINGO</v>
      </c>
      <c r="N65" s="20">
        <f t="shared" si="3"/>
        <v>0</v>
      </c>
      <c r="O65" s="16" t="s">
        <v>4</v>
      </c>
      <c r="P65" s="16" t="s">
        <v>52</v>
      </c>
      <c r="Q65" s="16" t="s">
        <v>73</v>
      </c>
      <c r="R65" s="16" t="s">
        <v>1872</v>
      </c>
      <c r="T65" s="20">
        <f t="shared" si="4"/>
        <v>0</v>
      </c>
      <c r="U65" s="112" t="s">
        <v>575</v>
      </c>
      <c r="V65" s="112" t="s">
        <v>4256</v>
      </c>
      <c r="W65" s="112" t="s">
        <v>3931</v>
      </c>
    </row>
    <row r="66" spans="1:23" x14ac:dyDescent="0.2">
      <c r="B66" t="s">
        <v>4090</v>
      </c>
      <c r="C66" s="50" t="s">
        <v>4101</v>
      </c>
      <c r="D66" s="51" t="str">
        <f>IF(MOD4_3!AP$43="","",MOD4_3!AP$43)</f>
        <v/>
      </c>
      <c r="F66" s="128" t="str">
        <f t="shared" si="11"/>
        <v/>
      </c>
      <c r="I66" s="20">
        <f t="shared" si="1"/>
        <v>0</v>
      </c>
      <c r="J66" s="16" t="s">
        <v>575</v>
      </c>
      <c r="K66" s="16" t="s">
        <v>677</v>
      </c>
      <c r="M66" s="20" t="str">
        <f t="shared" si="2"/>
        <v>AMAZONAS LUYA TRITA</v>
      </c>
      <c r="N66" s="20">
        <f t="shared" si="3"/>
        <v>0</v>
      </c>
      <c r="O66" s="16" t="s">
        <v>4</v>
      </c>
      <c r="P66" s="16" t="s">
        <v>52</v>
      </c>
      <c r="Q66" s="16" t="s">
        <v>74</v>
      </c>
      <c r="R66" s="16" t="s">
        <v>1873</v>
      </c>
      <c r="T66" s="20">
        <f t="shared" si="4"/>
        <v>0</v>
      </c>
      <c r="U66" s="112" t="s">
        <v>575</v>
      </c>
      <c r="V66" s="112" t="s">
        <v>4257</v>
      </c>
      <c r="W66" s="112" t="s">
        <v>3953</v>
      </c>
    </row>
    <row r="67" spans="1:23" x14ac:dyDescent="0.2">
      <c r="A67">
        <v>3</v>
      </c>
      <c r="B67" t="s">
        <v>4090</v>
      </c>
      <c r="C67" s="50" t="s">
        <v>4102</v>
      </c>
      <c r="D67" s="51" t="str">
        <f>IF(MOD4_3!H$66="","",MOD4_3!H$66)</f>
        <v/>
      </c>
      <c r="E67" s="21" t="s">
        <v>3784</v>
      </c>
      <c r="F67" s="128" t="str">
        <f t="shared" si="11"/>
        <v/>
      </c>
      <c r="I67" s="20">
        <f t="shared" ref="I67:I130" si="12">IF($D$9=J67,I66+1,0)</f>
        <v>0</v>
      </c>
      <c r="J67" s="16" t="s">
        <v>575</v>
      </c>
      <c r="K67" s="16" t="s">
        <v>190</v>
      </c>
      <c r="M67" s="20" t="str">
        <f t="shared" ref="M67:M130" si="13">O67&amp;" "&amp;P67&amp;" "&amp;Q67</f>
        <v>AMAZONAS RODRIGUEZ DE MENDOZA CHIRIMOTO</v>
      </c>
      <c r="N67" s="20">
        <f t="shared" ref="N67:N130" si="14">IF(AND($D$9=O67,$D$10=P67),N66+1,0)</f>
        <v>0</v>
      </c>
      <c r="O67" s="16" t="s">
        <v>4</v>
      </c>
      <c r="P67" s="16" t="s">
        <v>75</v>
      </c>
      <c r="Q67" s="16" t="s">
        <v>76</v>
      </c>
      <c r="R67" s="16" t="s">
        <v>1874</v>
      </c>
      <c r="T67" s="20">
        <f t="shared" ref="T67:T130" si="15">IF($D$9=U67,T66+1,0)</f>
        <v>0</v>
      </c>
      <c r="U67" s="112" t="s">
        <v>575</v>
      </c>
      <c r="V67" s="112" t="s">
        <v>4258</v>
      </c>
      <c r="W67" s="112" t="s">
        <v>4015</v>
      </c>
    </row>
    <row r="68" spans="1:23" x14ac:dyDescent="0.2">
      <c r="A68">
        <v>3</v>
      </c>
      <c r="B68" t="s">
        <v>4090</v>
      </c>
      <c r="C68" s="50" t="s">
        <v>4103</v>
      </c>
      <c r="D68" s="51" t="str">
        <f>IF(MOD4_3!O$66="","",MOD4_3!O$66)</f>
        <v/>
      </c>
      <c r="E68" s="21" t="s">
        <v>3784</v>
      </c>
      <c r="F68" s="128" t="str">
        <f t="shared" si="11"/>
        <v/>
      </c>
      <c r="I68" s="20">
        <f t="shared" si="12"/>
        <v>0</v>
      </c>
      <c r="J68" s="16" t="s">
        <v>690</v>
      </c>
      <c r="K68" s="16" t="s">
        <v>690</v>
      </c>
      <c r="M68" s="20" t="str">
        <f t="shared" si="13"/>
        <v>AMAZONAS RODRIGUEZ DE MENDOZA COCHAMAL</v>
      </c>
      <c r="N68" s="20">
        <f t="shared" si="14"/>
        <v>0</v>
      </c>
      <c r="O68" s="16" t="s">
        <v>4</v>
      </c>
      <c r="P68" s="16" t="s">
        <v>75</v>
      </c>
      <c r="Q68" s="16" t="s">
        <v>77</v>
      </c>
      <c r="R68" s="16" t="s">
        <v>1875</v>
      </c>
      <c r="T68" s="20">
        <f t="shared" si="15"/>
        <v>0</v>
      </c>
      <c r="U68" s="112" t="s">
        <v>575</v>
      </c>
      <c r="V68" s="112" t="s">
        <v>4259</v>
      </c>
      <c r="W68" s="112" t="s">
        <v>3839</v>
      </c>
    </row>
    <row r="69" spans="1:23" x14ac:dyDescent="0.2">
      <c r="A69">
        <v>3</v>
      </c>
      <c r="B69" t="s">
        <v>4090</v>
      </c>
      <c r="C69" s="50" t="s">
        <v>4104</v>
      </c>
      <c r="D69" s="51" t="str">
        <f>IF(MOD4_3!V$66="","",MOD4_3!V$66)</f>
        <v/>
      </c>
      <c r="E69" s="21" t="s">
        <v>3784</v>
      </c>
      <c r="F69" s="128" t="str">
        <f t="shared" si="11"/>
        <v/>
      </c>
      <c r="I69" s="20">
        <f t="shared" si="12"/>
        <v>0</v>
      </c>
      <c r="J69" s="16" t="s">
        <v>696</v>
      </c>
      <c r="K69" s="16" t="s">
        <v>697</v>
      </c>
      <c r="M69" s="20" t="str">
        <f t="shared" si="13"/>
        <v>AMAZONAS RODRIGUEZ DE MENDOZA HUAMBO</v>
      </c>
      <c r="N69" s="20">
        <f t="shared" si="14"/>
        <v>0</v>
      </c>
      <c r="O69" s="16" t="s">
        <v>4</v>
      </c>
      <c r="P69" s="16" t="s">
        <v>75</v>
      </c>
      <c r="Q69" s="16" t="s">
        <v>78</v>
      </c>
      <c r="R69" s="16" t="s">
        <v>1876</v>
      </c>
      <c r="T69" s="20">
        <f t="shared" si="15"/>
        <v>0</v>
      </c>
      <c r="U69" s="112" t="s">
        <v>575</v>
      </c>
      <c r="V69" s="112" t="s">
        <v>4260</v>
      </c>
      <c r="W69" s="112" t="s">
        <v>4017</v>
      </c>
    </row>
    <row r="70" spans="1:23" x14ac:dyDescent="0.2">
      <c r="A70">
        <v>3</v>
      </c>
      <c r="B70" t="s">
        <v>4090</v>
      </c>
      <c r="C70" s="50" t="s">
        <v>4105</v>
      </c>
      <c r="D70" s="51" t="str">
        <f>IF(MOD4_3!AC$66="","",MOD4_3!AC$66)</f>
        <v/>
      </c>
      <c r="E70" s="21" t="s">
        <v>3711</v>
      </c>
      <c r="F70" s="128" t="str">
        <f t="shared" si="11"/>
        <v/>
      </c>
      <c r="I70" s="20">
        <f t="shared" si="12"/>
        <v>0</v>
      </c>
      <c r="J70" s="16" t="s">
        <v>696</v>
      </c>
      <c r="K70" s="16" t="s">
        <v>130</v>
      </c>
      <c r="M70" s="20" t="str">
        <f t="shared" si="13"/>
        <v>AMAZONAS RODRIGUEZ DE MENDOZA LIMABAMBA</v>
      </c>
      <c r="N70" s="20">
        <f t="shared" si="14"/>
        <v>0</v>
      </c>
      <c r="O70" s="16" t="s">
        <v>4</v>
      </c>
      <c r="P70" s="16" t="s">
        <v>75</v>
      </c>
      <c r="Q70" s="16" t="s">
        <v>79</v>
      </c>
      <c r="R70" s="16" t="s">
        <v>1877</v>
      </c>
      <c r="T70" s="20">
        <f t="shared" si="15"/>
        <v>0</v>
      </c>
      <c r="U70" s="112" t="s">
        <v>575</v>
      </c>
      <c r="V70" s="112" t="s">
        <v>4261</v>
      </c>
      <c r="W70" s="112" t="s">
        <v>4018</v>
      </c>
    </row>
    <row r="71" spans="1:23" x14ac:dyDescent="0.2">
      <c r="B71" t="s">
        <v>4090</v>
      </c>
      <c r="C71" s="50" t="s">
        <v>4106</v>
      </c>
      <c r="D71" s="51" t="str">
        <f>IF(MOD4_3!AP$58="","",MOD4_3!AP$58)</f>
        <v/>
      </c>
      <c r="F71" s="128" t="str">
        <f t="shared" si="11"/>
        <v/>
      </c>
      <c r="I71" s="20">
        <f t="shared" si="12"/>
        <v>0</v>
      </c>
      <c r="J71" s="16" t="s">
        <v>696</v>
      </c>
      <c r="K71" s="16" t="s">
        <v>712</v>
      </c>
      <c r="M71" s="20" t="str">
        <f t="shared" si="13"/>
        <v>AMAZONAS RODRIGUEZ DE MENDOZA LONGAR</v>
      </c>
      <c r="N71" s="20">
        <f t="shared" si="14"/>
        <v>0</v>
      </c>
      <c r="O71" s="16" t="s">
        <v>4</v>
      </c>
      <c r="P71" s="16" t="s">
        <v>75</v>
      </c>
      <c r="Q71" s="16" t="s">
        <v>80</v>
      </c>
      <c r="R71" s="16" t="s">
        <v>1878</v>
      </c>
      <c r="T71" s="20">
        <f t="shared" si="15"/>
        <v>0</v>
      </c>
      <c r="U71" s="112" t="s">
        <v>575</v>
      </c>
      <c r="V71" s="112" t="s">
        <v>4262</v>
      </c>
      <c r="W71" s="112" t="s">
        <v>4023</v>
      </c>
    </row>
    <row r="72" spans="1:23" x14ac:dyDescent="0.2">
      <c r="C72" s="54" t="s">
        <v>4122</v>
      </c>
      <c r="D72" s="54" t="b">
        <f>(COUNTIF(D62:D65,"")+COUNTIF(D52:D55,"")+COUNTIF(D67:D70,"")+COUNTIF(D57:D60,""))=0</f>
        <v>0</v>
      </c>
      <c r="F72" s="128" t="str">
        <f t="shared" si="11"/>
        <v/>
      </c>
      <c r="I72" s="20">
        <f t="shared" si="12"/>
        <v>0</v>
      </c>
      <c r="J72" s="16" t="s">
        <v>696</v>
      </c>
      <c r="K72" s="16" t="s">
        <v>720</v>
      </c>
      <c r="M72" s="20" t="str">
        <f t="shared" si="13"/>
        <v>AMAZONAS RODRIGUEZ DE MENDOZA MARISCAL BENAVIDES</v>
      </c>
      <c r="N72" s="20">
        <f t="shared" si="14"/>
        <v>0</v>
      </c>
      <c r="O72" s="16" t="s">
        <v>4</v>
      </c>
      <c r="P72" s="16" t="s">
        <v>75</v>
      </c>
      <c r="Q72" s="16" t="s">
        <v>81</v>
      </c>
      <c r="R72" s="16" t="s">
        <v>1879</v>
      </c>
      <c r="T72" s="20">
        <f t="shared" si="15"/>
        <v>0</v>
      </c>
      <c r="U72" s="112" t="s">
        <v>696</v>
      </c>
      <c r="V72" s="112" t="s">
        <v>4263</v>
      </c>
      <c r="W72" s="112" t="s">
        <v>3860</v>
      </c>
    </row>
    <row r="73" spans="1:23" x14ac:dyDescent="0.2">
      <c r="A73">
        <v>4</v>
      </c>
      <c r="B73" t="s">
        <v>4091</v>
      </c>
      <c r="C73" s="50" t="s">
        <v>4079</v>
      </c>
      <c r="D73" s="51" t="str">
        <f>IF(MOD4_4!H$21="","",MOD4_4!H$21)</f>
        <v/>
      </c>
      <c r="E73" s="21" t="s">
        <v>3785</v>
      </c>
      <c r="F73" s="128" t="str">
        <f t="shared" si="11"/>
        <v/>
      </c>
      <c r="I73" s="20">
        <f t="shared" si="12"/>
        <v>0</v>
      </c>
      <c r="J73" s="16" t="s">
        <v>696</v>
      </c>
      <c r="K73" s="16" t="s">
        <v>728</v>
      </c>
      <c r="M73" s="20" t="str">
        <f t="shared" si="13"/>
        <v>AMAZONAS RODRIGUEZ DE MENDOZA MILPUC</v>
      </c>
      <c r="N73" s="20">
        <f t="shared" si="14"/>
        <v>0</v>
      </c>
      <c r="O73" s="16" t="s">
        <v>4</v>
      </c>
      <c r="P73" s="16" t="s">
        <v>75</v>
      </c>
      <c r="Q73" s="16" t="s">
        <v>82</v>
      </c>
      <c r="R73" s="16" t="s">
        <v>1880</v>
      </c>
      <c r="T73" s="20">
        <f t="shared" si="15"/>
        <v>0</v>
      </c>
      <c r="U73" s="112" t="s">
        <v>696</v>
      </c>
      <c r="V73" s="112" t="s">
        <v>4264</v>
      </c>
      <c r="W73" s="112" t="s">
        <v>3867</v>
      </c>
    </row>
    <row r="74" spans="1:23" x14ac:dyDescent="0.2">
      <c r="A74">
        <v>4</v>
      </c>
      <c r="B74" t="s">
        <v>4091</v>
      </c>
      <c r="C74" s="50" t="s">
        <v>4080</v>
      </c>
      <c r="D74" s="51" t="str">
        <f>IF(MOD4_4!O$21="","",MOD4_4!O$21)</f>
        <v/>
      </c>
      <c r="E74" s="21" t="s">
        <v>3786</v>
      </c>
      <c r="F74" s="128" t="str">
        <f t="shared" si="11"/>
        <v/>
      </c>
      <c r="I74" s="20">
        <f t="shared" si="12"/>
        <v>0</v>
      </c>
      <c r="J74" s="16" t="s">
        <v>696</v>
      </c>
      <c r="K74" s="16" t="s">
        <v>735</v>
      </c>
      <c r="M74" s="20" t="str">
        <f t="shared" si="13"/>
        <v>AMAZONAS RODRIGUEZ DE MENDOZA OMIA</v>
      </c>
      <c r="N74" s="20">
        <f t="shared" si="14"/>
        <v>0</v>
      </c>
      <c r="O74" s="16" t="s">
        <v>4</v>
      </c>
      <c r="P74" s="16" t="s">
        <v>75</v>
      </c>
      <c r="Q74" s="16" t="s">
        <v>83</v>
      </c>
      <c r="R74" s="16" t="s">
        <v>1881</v>
      </c>
      <c r="T74" s="20">
        <f t="shared" si="15"/>
        <v>0</v>
      </c>
      <c r="U74" s="112" t="s">
        <v>696</v>
      </c>
      <c r="V74" s="112" t="s">
        <v>4265</v>
      </c>
      <c r="W74" s="112" t="s">
        <v>3884</v>
      </c>
    </row>
    <row r="75" spans="1:23" x14ac:dyDescent="0.2">
      <c r="A75">
        <v>4</v>
      </c>
      <c r="B75" t="s">
        <v>4091</v>
      </c>
      <c r="C75" s="50" t="s">
        <v>4081</v>
      </c>
      <c r="D75" s="51" t="str">
        <f>IF(MOD4_4!V$21="","",MOD4_4!V$21)</f>
        <v/>
      </c>
      <c r="E75" s="21" t="s">
        <v>3706</v>
      </c>
      <c r="F75" s="128" t="str">
        <f t="shared" si="11"/>
        <v/>
      </c>
      <c r="I75" s="20">
        <f t="shared" si="12"/>
        <v>0</v>
      </c>
      <c r="J75" s="16" t="s">
        <v>696</v>
      </c>
      <c r="K75" s="16" t="s">
        <v>696</v>
      </c>
      <c r="M75" s="20" t="str">
        <f t="shared" si="13"/>
        <v>AMAZONAS RODRIGUEZ DE MENDOZA SAN NICOLAS</v>
      </c>
      <c r="N75" s="20">
        <f t="shared" si="14"/>
        <v>0</v>
      </c>
      <c r="O75" s="16" t="s">
        <v>4</v>
      </c>
      <c r="P75" s="16" t="s">
        <v>75</v>
      </c>
      <c r="Q75" s="16" t="s">
        <v>84</v>
      </c>
      <c r="R75" s="16" t="s">
        <v>1882</v>
      </c>
      <c r="T75" s="20">
        <f t="shared" si="15"/>
        <v>0</v>
      </c>
      <c r="U75" s="112" t="s">
        <v>696</v>
      </c>
      <c r="V75" s="112" t="s">
        <v>4266</v>
      </c>
      <c r="W75" s="112" t="s">
        <v>3886</v>
      </c>
    </row>
    <row r="76" spans="1:23" x14ac:dyDescent="0.2">
      <c r="A76">
        <v>4</v>
      </c>
      <c r="B76" t="s">
        <v>4091</v>
      </c>
      <c r="C76" s="50" t="s">
        <v>4082</v>
      </c>
      <c r="D76" s="51" t="str">
        <f>IF(MOD4_4!AC$21="","",MOD4_4!AC$21)</f>
        <v/>
      </c>
      <c r="E76" s="21" t="s">
        <v>3711</v>
      </c>
      <c r="F76" s="128" t="str">
        <f t="shared" si="11"/>
        <v/>
      </c>
      <c r="I76" s="20">
        <f t="shared" si="12"/>
        <v>0</v>
      </c>
      <c r="J76" s="16" t="s">
        <v>696</v>
      </c>
      <c r="K76" s="16" t="s">
        <v>748</v>
      </c>
      <c r="M76" s="20" t="str">
        <f t="shared" si="13"/>
        <v>AMAZONAS RODRIGUEZ DE MENDOZA SANTA ROSA</v>
      </c>
      <c r="N76" s="20">
        <f t="shared" si="14"/>
        <v>0</v>
      </c>
      <c r="O76" s="16" t="s">
        <v>4</v>
      </c>
      <c r="P76" s="16" t="s">
        <v>75</v>
      </c>
      <c r="Q76" s="16" t="s">
        <v>85</v>
      </c>
      <c r="R76" s="16" t="s">
        <v>1883</v>
      </c>
      <c r="T76" s="20">
        <f t="shared" si="15"/>
        <v>0</v>
      </c>
      <c r="U76" s="112" t="s">
        <v>696</v>
      </c>
      <c r="V76" s="112" t="s">
        <v>4266</v>
      </c>
      <c r="W76" s="112" t="s">
        <v>3887</v>
      </c>
    </row>
    <row r="77" spans="1:23" x14ac:dyDescent="0.2">
      <c r="B77" t="s">
        <v>4091</v>
      </c>
      <c r="C77" s="50" t="s">
        <v>4083</v>
      </c>
      <c r="D77" s="51" t="str">
        <f>IF(MOD4_4!AP$13="","",MOD4_4!AP$13)</f>
        <v/>
      </c>
      <c r="F77" s="128" t="str">
        <f t="shared" si="11"/>
        <v/>
      </c>
      <c r="I77" s="20">
        <f t="shared" si="12"/>
        <v>0</v>
      </c>
      <c r="J77" s="16" t="s">
        <v>696</v>
      </c>
      <c r="K77" s="16" t="s">
        <v>755</v>
      </c>
      <c r="M77" s="20" t="str">
        <f t="shared" si="13"/>
        <v>AMAZONAS RODRIGUEZ DE MENDOZA TOTORA</v>
      </c>
      <c r="N77" s="20">
        <f t="shared" si="14"/>
        <v>0</v>
      </c>
      <c r="O77" s="16" t="s">
        <v>4</v>
      </c>
      <c r="P77" s="16" t="s">
        <v>75</v>
      </c>
      <c r="Q77" s="16" t="s">
        <v>86</v>
      </c>
      <c r="R77" s="16" t="s">
        <v>1884</v>
      </c>
      <c r="T77" s="20">
        <f t="shared" si="15"/>
        <v>0</v>
      </c>
      <c r="U77" s="112" t="s">
        <v>696</v>
      </c>
      <c r="V77" s="112" t="s">
        <v>4267</v>
      </c>
      <c r="W77" s="112" t="s">
        <v>3908</v>
      </c>
    </row>
    <row r="78" spans="1:23" x14ac:dyDescent="0.2">
      <c r="A78">
        <v>4</v>
      </c>
      <c r="B78" t="s">
        <v>4091</v>
      </c>
      <c r="C78" s="50" t="s">
        <v>4084</v>
      </c>
      <c r="D78" s="51" t="str">
        <f>IF(MOD4_4!H$36="","",MOD4_4!H$36)</f>
        <v/>
      </c>
      <c r="E78" s="21" t="s">
        <v>3706</v>
      </c>
      <c r="F78" s="128" t="str">
        <f t="shared" si="11"/>
        <v/>
      </c>
      <c r="I78" s="20">
        <f t="shared" si="12"/>
        <v>0</v>
      </c>
      <c r="J78" s="16" t="s">
        <v>696</v>
      </c>
      <c r="K78" s="16" t="s">
        <v>766</v>
      </c>
      <c r="M78" s="20" t="str">
        <f t="shared" si="13"/>
        <v>AMAZONAS RODRIGUEZ DE MENDOZA VISTA ALEGRE</v>
      </c>
      <c r="N78" s="20">
        <f t="shared" si="14"/>
        <v>0</v>
      </c>
      <c r="O78" s="16" t="s">
        <v>4</v>
      </c>
      <c r="P78" s="16" t="s">
        <v>75</v>
      </c>
      <c r="Q78" s="16" t="s">
        <v>87</v>
      </c>
      <c r="R78" s="16" t="s">
        <v>1885</v>
      </c>
      <c r="T78" s="20">
        <f t="shared" si="15"/>
        <v>0</v>
      </c>
      <c r="U78" s="112" t="s">
        <v>696</v>
      </c>
      <c r="V78" s="114" t="s">
        <v>4268</v>
      </c>
      <c r="W78" s="112" t="s">
        <v>3920</v>
      </c>
    </row>
    <row r="79" spans="1:23" x14ac:dyDescent="0.2">
      <c r="A79">
        <v>4</v>
      </c>
      <c r="B79" t="s">
        <v>4091</v>
      </c>
      <c r="C79" s="50" t="s">
        <v>4085</v>
      </c>
      <c r="D79" s="51" t="str">
        <f>IF(MOD4_4!O$36="","",MOD4_4!O$36)</f>
        <v/>
      </c>
      <c r="E79" s="21" t="s">
        <v>3787</v>
      </c>
      <c r="F79" s="128" t="str">
        <f t="shared" si="11"/>
        <v/>
      </c>
      <c r="I79" s="20">
        <f t="shared" si="12"/>
        <v>0</v>
      </c>
      <c r="J79" s="16" t="s">
        <v>696</v>
      </c>
      <c r="K79" s="16" t="s">
        <v>775</v>
      </c>
      <c r="M79" s="20" t="str">
        <f t="shared" si="13"/>
        <v>AMAZONAS UTCUBAMBA BAGUA GRANDE</v>
      </c>
      <c r="N79" s="20">
        <f t="shared" si="14"/>
        <v>0</v>
      </c>
      <c r="O79" s="16" t="s">
        <v>4</v>
      </c>
      <c r="P79" s="16" t="s">
        <v>88</v>
      </c>
      <c r="Q79" s="16" t="s">
        <v>89</v>
      </c>
      <c r="R79" s="16" t="s">
        <v>1886</v>
      </c>
      <c r="T79" s="20">
        <f t="shared" si="15"/>
        <v>0</v>
      </c>
      <c r="U79" s="112" t="s">
        <v>696</v>
      </c>
      <c r="V79" s="112" t="s">
        <v>4269</v>
      </c>
      <c r="W79" s="112" t="s">
        <v>3926</v>
      </c>
    </row>
    <row r="80" spans="1:23" x14ac:dyDescent="0.2">
      <c r="A80">
        <v>4</v>
      </c>
      <c r="B80" t="s">
        <v>4091</v>
      </c>
      <c r="C80" s="50" t="s">
        <v>4086</v>
      </c>
      <c r="D80" s="51" t="str">
        <f>IF(MOD4_4!V$36="","",MOD4_4!V$36)</f>
        <v/>
      </c>
      <c r="E80" s="21" t="s">
        <v>3706</v>
      </c>
      <c r="F80" s="128" t="str">
        <f t="shared" si="11"/>
        <v/>
      </c>
      <c r="I80" s="20">
        <f t="shared" si="12"/>
        <v>0</v>
      </c>
      <c r="J80" s="16" t="s">
        <v>696</v>
      </c>
      <c r="K80" s="16" t="s">
        <v>781</v>
      </c>
      <c r="M80" s="20" t="str">
        <f t="shared" si="13"/>
        <v>AMAZONAS UTCUBAMBA CAJARURO</v>
      </c>
      <c r="N80" s="20">
        <f t="shared" si="14"/>
        <v>0</v>
      </c>
      <c r="O80" s="16" t="s">
        <v>4</v>
      </c>
      <c r="P80" s="16" t="s">
        <v>88</v>
      </c>
      <c r="Q80" s="16" t="s">
        <v>90</v>
      </c>
      <c r="R80" s="16" t="s">
        <v>1887</v>
      </c>
      <c r="T80" s="20">
        <f t="shared" si="15"/>
        <v>0</v>
      </c>
      <c r="U80" s="112" t="s">
        <v>696</v>
      </c>
      <c r="V80" s="112" t="s">
        <v>4270</v>
      </c>
      <c r="W80" s="112" t="s">
        <v>3958</v>
      </c>
    </row>
    <row r="81" spans="1:23" x14ac:dyDescent="0.2">
      <c r="A81">
        <v>4</v>
      </c>
      <c r="B81" t="s">
        <v>4091</v>
      </c>
      <c r="C81" s="50" t="s">
        <v>4087</v>
      </c>
      <c r="D81" s="51" t="str">
        <f>IF(MOD4_4!AC$36="","",MOD4_4!AC$36)</f>
        <v/>
      </c>
      <c r="E81" s="21" t="s">
        <v>3706</v>
      </c>
      <c r="F81" s="128" t="str">
        <f t="shared" si="11"/>
        <v/>
      </c>
      <c r="I81" s="20">
        <f t="shared" si="12"/>
        <v>0</v>
      </c>
      <c r="J81" s="16" t="s">
        <v>696</v>
      </c>
      <c r="K81" s="16" t="s">
        <v>792</v>
      </c>
      <c r="M81" s="20" t="str">
        <f t="shared" si="13"/>
        <v>AMAZONAS UTCUBAMBA CUMBA</v>
      </c>
      <c r="N81" s="20">
        <f t="shared" si="14"/>
        <v>0</v>
      </c>
      <c r="O81" s="16" t="s">
        <v>4</v>
      </c>
      <c r="P81" s="16" t="s">
        <v>88</v>
      </c>
      <c r="Q81" s="16" t="s">
        <v>91</v>
      </c>
      <c r="R81" s="16" t="s">
        <v>1888</v>
      </c>
      <c r="T81" s="20">
        <f t="shared" si="15"/>
        <v>0</v>
      </c>
      <c r="U81" s="112" t="s">
        <v>696</v>
      </c>
      <c r="V81" s="114" t="s">
        <v>4271</v>
      </c>
      <c r="W81" s="112" t="s">
        <v>3991</v>
      </c>
    </row>
    <row r="82" spans="1:23" x14ac:dyDescent="0.2">
      <c r="B82" t="s">
        <v>4091</v>
      </c>
      <c r="C82" s="50" t="s">
        <v>4088</v>
      </c>
      <c r="D82" s="51" t="str">
        <f>IF(MOD4_4!AP$28="","",MOD4_4!AP$28)</f>
        <v/>
      </c>
      <c r="F82" s="128" t="str">
        <f t="shared" si="11"/>
        <v/>
      </c>
      <c r="I82" s="20">
        <f t="shared" si="12"/>
        <v>0</v>
      </c>
      <c r="J82" s="16" t="s">
        <v>799</v>
      </c>
      <c r="K82" s="16" t="s">
        <v>247</v>
      </c>
      <c r="M82" s="20" t="str">
        <f t="shared" si="13"/>
        <v>AMAZONAS UTCUBAMBA EL MILAGRO</v>
      </c>
      <c r="N82" s="20">
        <f t="shared" si="14"/>
        <v>0</v>
      </c>
      <c r="O82" s="16" t="s">
        <v>4</v>
      </c>
      <c r="P82" s="16" t="s">
        <v>88</v>
      </c>
      <c r="Q82" s="16" t="s">
        <v>92</v>
      </c>
      <c r="R82" s="16" t="s">
        <v>1889</v>
      </c>
      <c r="T82" s="20">
        <f t="shared" si="15"/>
        <v>0</v>
      </c>
      <c r="U82" s="112" t="s">
        <v>696</v>
      </c>
      <c r="V82" s="112" t="s">
        <v>4272</v>
      </c>
      <c r="W82" s="112" t="s">
        <v>3995</v>
      </c>
    </row>
    <row r="83" spans="1:23" x14ac:dyDescent="0.2">
      <c r="A83">
        <v>4</v>
      </c>
      <c r="B83" t="s">
        <v>4091</v>
      </c>
      <c r="C83" s="50" t="s">
        <v>4097</v>
      </c>
      <c r="D83" s="51" t="str">
        <f>IF(MOD4_4!H$51="","",MOD4_4!H$51)</f>
        <v/>
      </c>
      <c r="E83" s="21" t="s">
        <v>3706</v>
      </c>
      <c r="F83" s="128" t="str">
        <f t="shared" si="11"/>
        <v/>
      </c>
      <c r="I83" s="20">
        <f t="shared" si="12"/>
        <v>0</v>
      </c>
      <c r="J83" s="16" t="s">
        <v>799</v>
      </c>
      <c r="K83" s="16" t="s">
        <v>804</v>
      </c>
      <c r="M83" s="20" t="str">
        <f t="shared" si="13"/>
        <v>AMAZONAS UTCUBAMBA JAMALCA</v>
      </c>
      <c r="N83" s="20">
        <f t="shared" si="14"/>
        <v>0</v>
      </c>
      <c r="O83" s="16" t="s">
        <v>4</v>
      </c>
      <c r="P83" s="16" t="s">
        <v>88</v>
      </c>
      <c r="Q83" s="16" t="s">
        <v>93</v>
      </c>
      <c r="R83" s="16" t="s">
        <v>1890</v>
      </c>
      <c r="T83" s="20">
        <f t="shared" si="15"/>
        <v>0</v>
      </c>
      <c r="U83" s="112" t="s">
        <v>696</v>
      </c>
      <c r="V83" s="112" t="s">
        <v>4264</v>
      </c>
      <c r="W83" s="112" t="s">
        <v>3997</v>
      </c>
    </row>
    <row r="84" spans="1:23" x14ac:dyDescent="0.2">
      <c r="A84">
        <v>4</v>
      </c>
      <c r="B84" t="s">
        <v>4091</v>
      </c>
      <c r="C84" s="50" t="s">
        <v>4098</v>
      </c>
      <c r="D84" s="51" t="str">
        <f>IF(MOD4_4!O$51="","",MOD4_4!O$51)</f>
        <v/>
      </c>
      <c r="E84" s="21" t="s">
        <v>3702</v>
      </c>
      <c r="F84" s="128" t="str">
        <f t="shared" si="11"/>
        <v/>
      </c>
      <c r="I84" s="20">
        <f t="shared" si="12"/>
        <v>0</v>
      </c>
      <c r="J84" s="16" t="s">
        <v>799</v>
      </c>
      <c r="K84" s="16" t="s">
        <v>817</v>
      </c>
      <c r="M84" s="20" t="str">
        <f t="shared" si="13"/>
        <v>AMAZONAS UTCUBAMBA LONYA GRANDE</v>
      </c>
      <c r="N84" s="20">
        <f t="shared" si="14"/>
        <v>0</v>
      </c>
      <c r="O84" s="16" t="s">
        <v>4</v>
      </c>
      <c r="P84" s="16" t="s">
        <v>88</v>
      </c>
      <c r="Q84" s="16" t="s">
        <v>94</v>
      </c>
      <c r="R84" s="16" t="s">
        <v>1891</v>
      </c>
      <c r="T84" s="20">
        <f t="shared" si="15"/>
        <v>0</v>
      </c>
      <c r="U84" s="112" t="s">
        <v>696</v>
      </c>
      <c r="V84" s="112" t="s">
        <v>4263</v>
      </c>
      <c r="W84" s="112" t="s">
        <v>4006</v>
      </c>
    </row>
    <row r="85" spans="1:23" x14ac:dyDescent="0.2">
      <c r="A85">
        <v>4</v>
      </c>
      <c r="B85" t="s">
        <v>4091</v>
      </c>
      <c r="C85" s="50" t="s">
        <v>4099</v>
      </c>
      <c r="D85" s="51" t="str">
        <f>IF(MOD4_4!V$51="","",MOD4_4!V$51)</f>
        <v/>
      </c>
      <c r="E85" s="21" t="s">
        <v>3790</v>
      </c>
      <c r="F85" s="128" t="str">
        <f t="shared" si="11"/>
        <v/>
      </c>
      <c r="I85" s="20">
        <f t="shared" si="12"/>
        <v>0</v>
      </c>
      <c r="J85" s="16" t="s">
        <v>799</v>
      </c>
      <c r="K85" s="16" t="s">
        <v>828</v>
      </c>
      <c r="M85" s="20" t="str">
        <f t="shared" si="13"/>
        <v>AMAZONAS UTCUBAMBA YAMON</v>
      </c>
      <c r="N85" s="20">
        <f t="shared" si="14"/>
        <v>0</v>
      </c>
      <c r="O85" s="16" t="s">
        <v>4</v>
      </c>
      <c r="P85" s="16" t="s">
        <v>88</v>
      </c>
      <c r="Q85" s="16" t="s">
        <v>95</v>
      </c>
      <c r="R85" s="16" t="s">
        <v>1892</v>
      </c>
      <c r="T85" s="20">
        <f t="shared" si="15"/>
        <v>0</v>
      </c>
      <c r="U85" s="112" t="s">
        <v>696</v>
      </c>
      <c r="V85" s="114" t="s">
        <v>4273</v>
      </c>
      <c r="W85" s="112" t="s">
        <v>4042</v>
      </c>
    </row>
    <row r="86" spans="1:23" x14ac:dyDescent="0.2">
      <c r="A86">
        <v>4</v>
      </c>
      <c r="B86" t="s">
        <v>4091</v>
      </c>
      <c r="C86" s="50" t="s">
        <v>4100</v>
      </c>
      <c r="D86" s="51" t="str">
        <f>IF(MOD4_4!AC$51="","",MOD4_4!AC$51)</f>
        <v/>
      </c>
      <c r="E86" s="21" t="s">
        <v>3710</v>
      </c>
      <c r="F86" s="128" t="str">
        <f t="shared" si="11"/>
        <v/>
      </c>
      <c r="I86" s="20">
        <f t="shared" si="12"/>
        <v>0</v>
      </c>
      <c r="J86" s="16" t="s">
        <v>799</v>
      </c>
      <c r="K86" s="16" t="s">
        <v>799</v>
      </c>
      <c r="M86" s="20" t="str">
        <f t="shared" si="13"/>
        <v>ANCASH AIJA AIJA</v>
      </c>
      <c r="N86" s="20">
        <f t="shared" si="14"/>
        <v>0</v>
      </c>
      <c r="O86" s="16" t="s">
        <v>96</v>
      </c>
      <c r="P86" s="16" t="s">
        <v>97</v>
      </c>
      <c r="Q86" s="16" t="s">
        <v>97</v>
      </c>
      <c r="R86" s="16" t="s">
        <v>1893</v>
      </c>
      <c r="T86" s="20">
        <f t="shared" si="15"/>
        <v>0</v>
      </c>
      <c r="U86" s="112" t="s">
        <v>799</v>
      </c>
      <c r="V86" s="112" t="s">
        <v>4274</v>
      </c>
      <c r="W86" s="112" t="s">
        <v>3859</v>
      </c>
    </row>
    <row r="87" spans="1:23" x14ac:dyDescent="0.2">
      <c r="B87" t="s">
        <v>4091</v>
      </c>
      <c r="C87" s="50" t="s">
        <v>4101</v>
      </c>
      <c r="D87" s="51" t="str">
        <f>IF(MOD4_4!AP$43="","",MOD4_4!AP$43)</f>
        <v/>
      </c>
      <c r="F87" s="128" t="str">
        <f t="shared" si="11"/>
        <v/>
      </c>
      <c r="I87" s="20">
        <f t="shared" si="12"/>
        <v>0</v>
      </c>
      <c r="J87" s="16" t="s">
        <v>799</v>
      </c>
      <c r="K87" s="16" t="s">
        <v>854</v>
      </c>
      <c r="M87" s="20" t="str">
        <f t="shared" si="13"/>
        <v>ANCASH AIJA CORIS</v>
      </c>
      <c r="N87" s="20">
        <f t="shared" si="14"/>
        <v>0</v>
      </c>
      <c r="O87" s="16" t="s">
        <v>96</v>
      </c>
      <c r="P87" s="16" t="s">
        <v>97</v>
      </c>
      <c r="Q87" s="16" t="s">
        <v>98</v>
      </c>
      <c r="R87" s="16" t="s">
        <v>1894</v>
      </c>
      <c r="T87" s="20">
        <f t="shared" si="15"/>
        <v>0</v>
      </c>
      <c r="U87" s="112" t="s">
        <v>799</v>
      </c>
      <c r="V87" s="112" t="s">
        <v>4275</v>
      </c>
      <c r="W87" s="112" t="s">
        <v>3866</v>
      </c>
    </row>
    <row r="88" spans="1:23" x14ac:dyDescent="0.2">
      <c r="A88">
        <v>4</v>
      </c>
      <c r="B88" t="s">
        <v>4091</v>
      </c>
      <c r="C88" s="50" t="s">
        <v>4102</v>
      </c>
      <c r="D88" s="51" t="str">
        <f>IF(MOD4_4!H$66="","",MOD4_4!H$66)</f>
        <v/>
      </c>
      <c r="E88" s="21" t="s">
        <v>3706</v>
      </c>
      <c r="F88" s="128" t="str">
        <f t="shared" si="11"/>
        <v/>
      </c>
      <c r="I88" s="20">
        <f t="shared" si="12"/>
        <v>0</v>
      </c>
      <c r="J88" s="16" t="s">
        <v>799</v>
      </c>
      <c r="K88" s="16" t="s">
        <v>869</v>
      </c>
      <c r="M88" s="20" t="str">
        <f t="shared" si="13"/>
        <v>ANCASH AIJA HUACLLAN</v>
      </c>
      <c r="N88" s="20">
        <f t="shared" si="14"/>
        <v>0</v>
      </c>
      <c r="O88" s="16" t="s">
        <v>96</v>
      </c>
      <c r="P88" s="16" t="s">
        <v>97</v>
      </c>
      <c r="Q88" s="16" t="s">
        <v>99</v>
      </c>
      <c r="R88" s="16" t="s">
        <v>1895</v>
      </c>
      <c r="T88" s="20">
        <f t="shared" si="15"/>
        <v>0</v>
      </c>
      <c r="U88" s="112" t="s">
        <v>799</v>
      </c>
      <c r="V88" s="112" t="s">
        <v>4276</v>
      </c>
      <c r="W88" s="112" t="s">
        <v>3896</v>
      </c>
    </row>
    <row r="89" spans="1:23" x14ac:dyDescent="0.2">
      <c r="A89">
        <v>4</v>
      </c>
      <c r="B89" t="s">
        <v>4091</v>
      </c>
      <c r="C89" s="50" t="s">
        <v>4103</v>
      </c>
      <c r="D89" s="51" t="str">
        <f>IF(MOD4_4!O$66="","",MOD4_4!O$66)</f>
        <v/>
      </c>
      <c r="E89" s="21" t="s">
        <v>3702</v>
      </c>
      <c r="F89" s="128" t="str">
        <f t="shared" si="11"/>
        <v/>
      </c>
      <c r="I89" s="20">
        <f t="shared" si="12"/>
        <v>0</v>
      </c>
      <c r="J89" s="16" t="s">
        <v>885</v>
      </c>
      <c r="K89" s="16" t="s">
        <v>886</v>
      </c>
      <c r="M89" s="20" t="str">
        <f t="shared" si="13"/>
        <v>ANCASH AIJA LA MERCED</v>
      </c>
      <c r="N89" s="20">
        <f t="shared" si="14"/>
        <v>0</v>
      </c>
      <c r="O89" s="16" t="s">
        <v>96</v>
      </c>
      <c r="P89" s="16" t="s">
        <v>97</v>
      </c>
      <c r="Q89" s="16" t="s">
        <v>100</v>
      </c>
      <c r="R89" s="16" t="s">
        <v>1896</v>
      </c>
      <c r="T89" s="20">
        <f t="shared" si="15"/>
        <v>0</v>
      </c>
      <c r="U89" s="112" t="s">
        <v>799</v>
      </c>
      <c r="V89" s="112" t="s">
        <v>4277</v>
      </c>
      <c r="W89" s="112" t="s">
        <v>3910</v>
      </c>
    </row>
    <row r="90" spans="1:23" x14ac:dyDescent="0.2">
      <c r="A90">
        <v>4</v>
      </c>
      <c r="B90" t="s">
        <v>4091</v>
      </c>
      <c r="C90" s="50" t="s">
        <v>4104</v>
      </c>
      <c r="D90" s="51" t="str">
        <f>IF(MOD4_4!V$66="","",MOD4_4!V$66)</f>
        <v/>
      </c>
      <c r="E90" s="21" t="s">
        <v>3702</v>
      </c>
      <c r="F90" s="128" t="str">
        <f t="shared" si="11"/>
        <v/>
      </c>
      <c r="I90" s="20">
        <f t="shared" si="12"/>
        <v>0</v>
      </c>
      <c r="J90" s="16" t="s">
        <v>885</v>
      </c>
      <c r="K90" s="16" t="s">
        <v>892</v>
      </c>
      <c r="M90" s="20" t="str">
        <f t="shared" si="13"/>
        <v>ANCASH AIJA SUCCHA</v>
      </c>
      <c r="N90" s="20">
        <f t="shared" si="14"/>
        <v>0</v>
      </c>
      <c r="O90" s="16" t="s">
        <v>96</v>
      </c>
      <c r="P90" s="16" t="s">
        <v>97</v>
      </c>
      <c r="Q90" s="16" t="s">
        <v>101</v>
      </c>
      <c r="R90" s="16" t="s">
        <v>1897</v>
      </c>
      <c r="T90" s="20">
        <f t="shared" si="15"/>
        <v>0</v>
      </c>
      <c r="U90" s="112" t="s">
        <v>799</v>
      </c>
      <c r="V90" s="112" t="s">
        <v>4278</v>
      </c>
      <c r="W90" s="112" t="s">
        <v>3939</v>
      </c>
    </row>
    <row r="91" spans="1:23" x14ac:dyDescent="0.2">
      <c r="A91">
        <v>4</v>
      </c>
      <c r="B91" t="s">
        <v>4091</v>
      </c>
      <c r="C91" s="50" t="s">
        <v>4105</v>
      </c>
      <c r="D91" s="51" t="str">
        <f>IF(MOD4_4!AC$66="","",MOD4_4!AC$66)</f>
        <v/>
      </c>
      <c r="E91" s="21" t="s">
        <v>3710</v>
      </c>
      <c r="F91" s="128" t="str">
        <f t="shared" si="11"/>
        <v/>
      </c>
      <c r="I91" s="20">
        <f t="shared" si="12"/>
        <v>0</v>
      </c>
      <c r="J91" s="16" t="s">
        <v>885</v>
      </c>
      <c r="K91" s="16" t="s">
        <v>901</v>
      </c>
      <c r="M91" s="20" t="str">
        <f t="shared" si="13"/>
        <v>ANCASH ANTONIO RAYMONDI ACZO</v>
      </c>
      <c r="N91" s="20">
        <f t="shared" si="14"/>
        <v>0</v>
      </c>
      <c r="O91" s="16" t="s">
        <v>96</v>
      </c>
      <c r="P91" s="16" t="s">
        <v>102</v>
      </c>
      <c r="Q91" s="16" t="s">
        <v>103</v>
      </c>
      <c r="R91" s="16" t="s">
        <v>1898</v>
      </c>
      <c r="T91" s="20">
        <f t="shared" si="15"/>
        <v>0</v>
      </c>
      <c r="U91" s="112" t="s">
        <v>799</v>
      </c>
      <c r="V91" s="112" t="s">
        <v>4279</v>
      </c>
      <c r="W91" s="112" t="s">
        <v>3948</v>
      </c>
    </row>
    <row r="92" spans="1:23" x14ac:dyDescent="0.2">
      <c r="B92" t="s">
        <v>4091</v>
      </c>
      <c r="C92" s="50" t="s">
        <v>4106</v>
      </c>
      <c r="D92" s="51" t="str">
        <f>IF(MOD4_4!AP$58="","",MOD4_4!AP$58)</f>
        <v/>
      </c>
      <c r="F92" s="128" t="str">
        <f t="shared" si="11"/>
        <v/>
      </c>
      <c r="I92" s="20">
        <f t="shared" si="12"/>
        <v>0</v>
      </c>
      <c r="J92" s="16" t="s">
        <v>885</v>
      </c>
      <c r="K92" s="16" t="s">
        <v>904</v>
      </c>
      <c r="M92" s="20" t="str">
        <f t="shared" si="13"/>
        <v>ANCASH ANTONIO RAYMONDI CHACCHO</v>
      </c>
      <c r="N92" s="20">
        <f t="shared" si="14"/>
        <v>0</v>
      </c>
      <c r="O92" s="16" t="s">
        <v>96</v>
      </c>
      <c r="P92" s="16" t="s">
        <v>102</v>
      </c>
      <c r="Q92" s="16" t="s">
        <v>104</v>
      </c>
      <c r="R92" s="16" t="s">
        <v>1899</v>
      </c>
      <c r="T92" s="20">
        <f t="shared" si="15"/>
        <v>0</v>
      </c>
      <c r="U92" s="112" t="s">
        <v>799</v>
      </c>
      <c r="V92" s="112" t="s">
        <v>4280</v>
      </c>
      <c r="W92" s="112" t="s">
        <v>4030</v>
      </c>
    </row>
    <row r="93" spans="1:23" x14ac:dyDescent="0.2">
      <c r="A93">
        <v>4</v>
      </c>
      <c r="B93" t="s">
        <v>4091</v>
      </c>
      <c r="C93" s="50" t="s">
        <v>4108</v>
      </c>
      <c r="D93" s="51" t="str">
        <f>IF(MOD4_4!H$81="","",MOD4_4!H$81)</f>
        <v/>
      </c>
      <c r="E93" s="21" t="s">
        <v>3706</v>
      </c>
      <c r="F93" s="128" t="str">
        <f t="shared" si="11"/>
        <v/>
      </c>
      <c r="I93" s="20">
        <f t="shared" si="12"/>
        <v>0</v>
      </c>
      <c r="J93" s="16" t="s">
        <v>885</v>
      </c>
      <c r="K93" s="16" t="s">
        <v>885</v>
      </c>
      <c r="M93" s="20" t="str">
        <f t="shared" si="13"/>
        <v>ANCASH ANTONIO RAYMONDI CHINGAS</v>
      </c>
      <c r="N93" s="20">
        <f t="shared" si="14"/>
        <v>0</v>
      </c>
      <c r="O93" s="16" t="s">
        <v>96</v>
      </c>
      <c r="P93" s="16" t="s">
        <v>102</v>
      </c>
      <c r="Q93" s="16" t="s">
        <v>105</v>
      </c>
      <c r="R93" s="16" t="s">
        <v>1900</v>
      </c>
      <c r="T93" s="20">
        <f t="shared" si="15"/>
        <v>0</v>
      </c>
      <c r="U93" s="112" t="s">
        <v>799</v>
      </c>
      <c r="V93" s="112" t="s">
        <v>4280</v>
      </c>
      <c r="W93" s="112" t="s">
        <v>4038</v>
      </c>
    </row>
    <row r="94" spans="1:23" x14ac:dyDescent="0.2">
      <c r="A94">
        <v>4</v>
      </c>
      <c r="B94" t="s">
        <v>4091</v>
      </c>
      <c r="C94" s="50" t="s">
        <v>4109</v>
      </c>
      <c r="D94" s="51" t="str">
        <f>IF(MOD4_4!O$81="","",MOD4_4!O$81)</f>
        <v/>
      </c>
      <c r="E94" s="21" t="s">
        <v>3784</v>
      </c>
      <c r="F94" s="128" t="str">
        <f t="shared" si="11"/>
        <v/>
      </c>
      <c r="I94" s="20">
        <f t="shared" si="12"/>
        <v>0</v>
      </c>
      <c r="J94" s="16" t="s">
        <v>885</v>
      </c>
      <c r="K94" s="16" t="s">
        <v>928</v>
      </c>
      <c r="M94" s="20" t="str">
        <f t="shared" si="13"/>
        <v>ANCASH ANTONIO RAYMONDI LLAMELLIN</v>
      </c>
      <c r="N94" s="20">
        <f t="shared" si="14"/>
        <v>0</v>
      </c>
      <c r="O94" s="16" t="s">
        <v>96</v>
      </c>
      <c r="P94" s="16" t="s">
        <v>102</v>
      </c>
      <c r="Q94" s="16" t="s">
        <v>106</v>
      </c>
      <c r="R94" s="16" t="s">
        <v>1901</v>
      </c>
      <c r="T94" s="20">
        <f t="shared" si="15"/>
        <v>0</v>
      </c>
      <c r="U94" s="112" t="s">
        <v>885</v>
      </c>
      <c r="V94" s="112" t="s">
        <v>4281</v>
      </c>
      <c r="W94" s="112" t="s">
        <v>3864</v>
      </c>
    </row>
    <row r="95" spans="1:23" x14ac:dyDescent="0.2">
      <c r="A95">
        <v>4</v>
      </c>
      <c r="B95" t="s">
        <v>4091</v>
      </c>
      <c r="C95" s="50" t="s">
        <v>4110</v>
      </c>
      <c r="D95" s="51" t="str">
        <f>IF(MOD4_4!V$81="","",MOD4_4!V$81)</f>
        <v/>
      </c>
      <c r="E95" s="21" t="s">
        <v>3784</v>
      </c>
      <c r="F95" s="128" t="str">
        <f t="shared" ref="F95:F158" si="16">IF(D95="SI",E95,"")</f>
        <v/>
      </c>
      <c r="I95" s="20">
        <f t="shared" si="12"/>
        <v>0</v>
      </c>
      <c r="J95" s="16" t="s">
        <v>885</v>
      </c>
      <c r="K95" s="16" t="s">
        <v>513</v>
      </c>
      <c r="M95" s="20" t="str">
        <f t="shared" si="13"/>
        <v>ANCASH ANTONIO RAYMONDI MIRGAS</v>
      </c>
      <c r="N95" s="20">
        <f t="shared" si="14"/>
        <v>0</v>
      </c>
      <c r="O95" s="16" t="s">
        <v>96</v>
      </c>
      <c r="P95" s="16" t="s">
        <v>102</v>
      </c>
      <c r="Q95" s="16" t="s">
        <v>107</v>
      </c>
      <c r="R95" s="16" t="s">
        <v>1902</v>
      </c>
      <c r="T95" s="20">
        <f t="shared" si="15"/>
        <v>0</v>
      </c>
      <c r="U95" s="112" t="s">
        <v>885</v>
      </c>
      <c r="V95" s="112" t="s">
        <v>4282</v>
      </c>
      <c r="W95" s="112" t="s">
        <v>3923</v>
      </c>
    </row>
    <row r="96" spans="1:23" x14ac:dyDescent="0.2">
      <c r="A96">
        <v>4</v>
      </c>
      <c r="B96" t="s">
        <v>4091</v>
      </c>
      <c r="C96" s="50" t="s">
        <v>4111</v>
      </c>
      <c r="D96" s="51" t="str">
        <f>IF(MOD4_4!AC$81="","",MOD4_4!AC$81)</f>
        <v/>
      </c>
      <c r="E96" s="21" t="s">
        <v>3710</v>
      </c>
      <c r="F96" s="128" t="str">
        <f t="shared" si="16"/>
        <v/>
      </c>
      <c r="I96" s="20">
        <f t="shared" si="12"/>
        <v>0</v>
      </c>
      <c r="J96" s="16" t="s">
        <v>885</v>
      </c>
      <c r="K96" s="16" t="s">
        <v>943</v>
      </c>
      <c r="M96" s="20" t="str">
        <f t="shared" si="13"/>
        <v>ANCASH ANTONIO RAYMONDI SAN JUAN DE RONTOY</v>
      </c>
      <c r="N96" s="20">
        <f t="shared" si="14"/>
        <v>0</v>
      </c>
      <c r="O96" s="16" t="s">
        <v>96</v>
      </c>
      <c r="P96" s="16" t="s">
        <v>102</v>
      </c>
      <c r="Q96" s="16" t="s">
        <v>108</v>
      </c>
      <c r="R96" s="16" t="s">
        <v>1903</v>
      </c>
      <c r="T96" s="20">
        <f t="shared" si="15"/>
        <v>0</v>
      </c>
      <c r="U96" s="112" t="s">
        <v>885</v>
      </c>
      <c r="V96" s="112" t="s">
        <v>4283</v>
      </c>
      <c r="W96" s="112" t="s">
        <v>3930</v>
      </c>
    </row>
    <row r="97" spans="1:23" x14ac:dyDescent="0.2">
      <c r="B97" t="s">
        <v>4091</v>
      </c>
      <c r="C97" s="50" t="s">
        <v>4112</v>
      </c>
      <c r="D97" s="51" t="str">
        <f>IF(MOD4_4!AP$73="","",MOD4_4!AP$73)</f>
        <v/>
      </c>
      <c r="F97" s="128" t="str">
        <f t="shared" si="16"/>
        <v/>
      </c>
      <c r="I97" s="20">
        <f t="shared" si="12"/>
        <v>0</v>
      </c>
      <c r="J97" s="16" t="s">
        <v>885</v>
      </c>
      <c r="K97" s="16" t="s">
        <v>950</v>
      </c>
      <c r="M97" s="20" t="str">
        <f t="shared" si="13"/>
        <v>ANCASH ASUNCION ACOCHACA</v>
      </c>
      <c r="N97" s="20">
        <f t="shared" si="14"/>
        <v>0</v>
      </c>
      <c r="O97" s="16" t="s">
        <v>96</v>
      </c>
      <c r="P97" s="16" t="s">
        <v>27</v>
      </c>
      <c r="Q97" s="16" t="s">
        <v>109</v>
      </c>
      <c r="R97" s="16" t="s">
        <v>1904</v>
      </c>
      <c r="T97" s="20">
        <f t="shared" si="15"/>
        <v>0</v>
      </c>
      <c r="U97" s="112" t="s">
        <v>885</v>
      </c>
      <c r="V97" s="112" t="s">
        <v>4284</v>
      </c>
      <c r="W97" s="112" t="s">
        <v>3933</v>
      </c>
    </row>
    <row r="98" spans="1:23" x14ac:dyDescent="0.2">
      <c r="A98">
        <v>4</v>
      </c>
      <c r="B98" t="s">
        <v>4091</v>
      </c>
      <c r="C98" s="50" t="s">
        <v>4113</v>
      </c>
      <c r="D98" s="51" t="str">
        <f>IF(MOD4_4!H$96="","",MOD4_4!H$96)</f>
        <v/>
      </c>
      <c r="E98" s="21" t="s">
        <v>3706</v>
      </c>
      <c r="F98" s="128" t="str">
        <f t="shared" si="16"/>
        <v/>
      </c>
      <c r="I98" s="20">
        <f t="shared" si="12"/>
        <v>0</v>
      </c>
      <c r="J98" s="16" t="s">
        <v>885</v>
      </c>
      <c r="K98" s="16" t="s">
        <v>955</v>
      </c>
      <c r="M98" s="20" t="str">
        <f t="shared" si="13"/>
        <v>ANCASH ASUNCION CHACAS</v>
      </c>
      <c r="N98" s="20">
        <f t="shared" si="14"/>
        <v>0</v>
      </c>
      <c r="O98" s="16" t="s">
        <v>96</v>
      </c>
      <c r="P98" s="16" t="s">
        <v>27</v>
      </c>
      <c r="Q98" s="16" t="s">
        <v>110</v>
      </c>
      <c r="R98" s="16" t="s">
        <v>1905</v>
      </c>
      <c r="T98" s="20">
        <f t="shared" si="15"/>
        <v>0</v>
      </c>
      <c r="U98" s="112" t="s">
        <v>885</v>
      </c>
      <c r="V98" s="112" t="s">
        <v>4285</v>
      </c>
      <c r="W98" s="112" t="s">
        <v>3942</v>
      </c>
    </row>
    <row r="99" spans="1:23" x14ac:dyDescent="0.2">
      <c r="A99">
        <v>4</v>
      </c>
      <c r="B99" t="s">
        <v>4091</v>
      </c>
      <c r="C99" s="50" t="s">
        <v>4114</v>
      </c>
      <c r="D99" s="51" t="str">
        <f>IF(MOD4_4!O$96="","",MOD4_4!O$96)</f>
        <v/>
      </c>
      <c r="E99" s="21" t="s">
        <v>3702</v>
      </c>
      <c r="F99" s="128" t="str">
        <f t="shared" si="16"/>
        <v/>
      </c>
      <c r="I99" s="20">
        <f t="shared" si="12"/>
        <v>0</v>
      </c>
      <c r="J99" s="16" t="s">
        <v>885</v>
      </c>
      <c r="K99" s="16" t="s">
        <v>960</v>
      </c>
      <c r="M99" s="20" t="str">
        <f t="shared" si="13"/>
        <v>ANCASH BOLOGNESI ABELARDO PARDO LEZAMETA</v>
      </c>
      <c r="N99" s="20">
        <f t="shared" si="14"/>
        <v>0</v>
      </c>
      <c r="O99" s="16" t="s">
        <v>96</v>
      </c>
      <c r="P99" s="16" t="s">
        <v>111</v>
      </c>
      <c r="Q99" s="16" t="s">
        <v>112</v>
      </c>
      <c r="R99" s="16" t="s">
        <v>1906</v>
      </c>
      <c r="T99" s="20">
        <f t="shared" si="15"/>
        <v>0</v>
      </c>
      <c r="U99" s="112" t="s">
        <v>885</v>
      </c>
      <c r="V99" s="112" t="s">
        <v>4286</v>
      </c>
      <c r="W99" s="112" t="s">
        <v>3965</v>
      </c>
    </row>
    <row r="100" spans="1:23" x14ac:dyDescent="0.2">
      <c r="A100">
        <v>4</v>
      </c>
      <c r="B100" t="s">
        <v>4091</v>
      </c>
      <c r="C100" s="50" t="s">
        <v>4115</v>
      </c>
      <c r="D100" s="51" t="str">
        <f>IF(MOD4_4!V$96="","",MOD4_4!V$96)</f>
        <v/>
      </c>
      <c r="E100" s="21" t="s">
        <v>3706</v>
      </c>
      <c r="F100" s="128" t="str">
        <f t="shared" si="16"/>
        <v/>
      </c>
      <c r="I100" s="20">
        <f t="shared" si="12"/>
        <v>0</v>
      </c>
      <c r="J100" s="16" t="s">
        <v>968</v>
      </c>
      <c r="K100" s="16" t="s">
        <v>969</v>
      </c>
      <c r="M100" s="20" t="str">
        <f t="shared" si="13"/>
        <v>ANCASH BOLOGNESI ANTONIO RAYMONDI</v>
      </c>
      <c r="N100" s="20">
        <f t="shared" si="14"/>
        <v>0</v>
      </c>
      <c r="O100" s="16" t="s">
        <v>96</v>
      </c>
      <c r="P100" s="16" t="s">
        <v>111</v>
      </c>
      <c r="Q100" s="16" t="s">
        <v>102</v>
      </c>
      <c r="R100" s="16" t="s">
        <v>1907</v>
      </c>
      <c r="T100" s="20">
        <f t="shared" si="15"/>
        <v>0</v>
      </c>
      <c r="U100" s="112" t="s">
        <v>885</v>
      </c>
      <c r="V100" s="112" t="s">
        <v>4287</v>
      </c>
      <c r="W100" s="112" t="s">
        <v>3966</v>
      </c>
    </row>
    <row r="101" spans="1:23" x14ac:dyDescent="0.2">
      <c r="A101">
        <v>4</v>
      </c>
      <c r="B101" t="s">
        <v>4091</v>
      </c>
      <c r="C101" s="50" t="s">
        <v>4116</v>
      </c>
      <c r="D101" s="51" t="str">
        <f>IF(MOD4_4!AC$96="","",MOD4_4!AC$96)</f>
        <v/>
      </c>
      <c r="E101" s="21" t="s">
        <v>3710</v>
      </c>
      <c r="F101" s="128" t="str">
        <f t="shared" si="16"/>
        <v/>
      </c>
      <c r="I101" s="20">
        <f t="shared" si="12"/>
        <v>0</v>
      </c>
      <c r="J101" s="16" t="s">
        <v>968</v>
      </c>
      <c r="K101" s="16" t="s">
        <v>968</v>
      </c>
      <c r="M101" s="20" t="str">
        <f t="shared" si="13"/>
        <v>ANCASH BOLOGNESI AQUIA</v>
      </c>
      <c r="N101" s="20">
        <f t="shared" si="14"/>
        <v>0</v>
      </c>
      <c r="O101" s="16" t="s">
        <v>96</v>
      </c>
      <c r="P101" s="16" t="s">
        <v>111</v>
      </c>
      <c r="Q101" s="16" t="s">
        <v>113</v>
      </c>
      <c r="R101" s="16" t="s">
        <v>1908</v>
      </c>
      <c r="T101" s="20">
        <f t="shared" si="15"/>
        <v>0</v>
      </c>
      <c r="U101" s="112" t="s">
        <v>885</v>
      </c>
      <c r="V101" s="112" t="s">
        <v>4288</v>
      </c>
      <c r="W101" s="112" t="s">
        <v>4289</v>
      </c>
    </row>
    <row r="102" spans="1:23" x14ac:dyDescent="0.2">
      <c r="B102" t="s">
        <v>4091</v>
      </c>
      <c r="C102" s="50" t="s">
        <v>4117</v>
      </c>
      <c r="D102" s="51" t="str">
        <f>IF(MOD4_4!AP$88="","",MOD4_4!AP$88)</f>
        <v/>
      </c>
      <c r="F102" s="128" t="str">
        <f t="shared" si="16"/>
        <v/>
      </c>
      <c r="I102" s="20">
        <f t="shared" si="12"/>
        <v>0</v>
      </c>
      <c r="J102" s="16" t="s">
        <v>968</v>
      </c>
      <c r="K102" s="16" t="s">
        <v>991</v>
      </c>
      <c r="M102" s="20" t="str">
        <f t="shared" si="13"/>
        <v>ANCASH BOLOGNESI CAJACAY</v>
      </c>
      <c r="N102" s="20">
        <f t="shared" si="14"/>
        <v>0</v>
      </c>
      <c r="O102" s="16" t="s">
        <v>96</v>
      </c>
      <c r="P102" s="16" t="s">
        <v>111</v>
      </c>
      <c r="Q102" s="16" t="s">
        <v>114</v>
      </c>
      <c r="R102" s="16" t="s">
        <v>1909</v>
      </c>
      <c r="T102" s="20">
        <f t="shared" si="15"/>
        <v>0</v>
      </c>
      <c r="U102" s="112" t="s">
        <v>885</v>
      </c>
      <c r="V102" s="112" t="s">
        <v>4290</v>
      </c>
      <c r="W102" s="112" t="s">
        <v>3984</v>
      </c>
    </row>
    <row r="103" spans="1:23" x14ac:dyDescent="0.2">
      <c r="C103" s="54" t="s">
        <v>4123</v>
      </c>
      <c r="D103" s="54" t="b">
        <f>(IF(D21="NO",0,COUNTIF(D73:D76,""))+IF(D22="NO",0,COUNTIF(D78:D81,""))+COUNTIF(D93:D96,"")+COUNTIF(D83:D86,"")+COUNTIF(D98:D101,"")+COUNTIF(D88:D91,""))=0</f>
        <v>0</v>
      </c>
      <c r="F103" s="128" t="str">
        <f t="shared" si="16"/>
        <v/>
      </c>
      <c r="I103" s="20">
        <f t="shared" si="12"/>
        <v>0</v>
      </c>
      <c r="J103" s="16" t="s">
        <v>968</v>
      </c>
      <c r="K103" s="16" t="s">
        <v>996</v>
      </c>
      <c r="M103" s="20" t="str">
        <f t="shared" si="13"/>
        <v>ANCASH BOLOGNESI CANIS</v>
      </c>
      <c r="N103" s="20">
        <f t="shared" si="14"/>
        <v>0</v>
      </c>
      <c r="O103" s="16" t="s">
        <v>96</v>
      </c>
      <c r="P103" s="16" t="s">
        <v>111</v>
      </c>
      <c r="Q103" s="16" t="s">
        <v>115</v>
      </c>
      <c r="R103" s="16" t="s">
        <v>1910</v>
      </c>
      <c r="T103" s="20">
        <f t="shared" si="15"/>
        <v>0</v>
      </c>
      <c r="U103" s="112" t="s">
        <v>885</v>
      </c>
      <c r="V103" s="112" t="s">
        <v>4291</v>
      </c>
      <c r="W103" s="112" t="s">
        <v>4002</v>
      </c>
    </row>
    <row r="104" spans="1:23" x14ac:dyDescent="0.2">
      <c r="A104">
        <v>5</v>
      </c>
      <c r="B104" t="s">
        <v>4092</v>
      </c>
      <c r="C104" s="50" t="s">
        <v>4079</v>
      </c>
      <c r="D104" s="51" t="str">
        <f>IF(MOD4_5!H$21="","",MOD4_5!H$21)</f>
        <v/>
      </c>
      <c r="E104" s="21" t="s">
        <v>3706</v>
      </c>
      <c r="F104" s="128" t="str">
        <f t="shared" si="16"/>
        <v/>
      </c>
      <c r="I104" s="20">
        <f t="shared" si="12"/>
        <v>0</v>
      </c>
      <c r="J104" s="16" t="s">
        <v>968</v>
      </c>
      <c r="K104" s="16" t="s">
        <v>1000</v>
      </c>
      <c r="M104" s="20" t="str">
        <f t="shared" si="13"/>
        <v>ANCASH BOLOGNESI CHIQUIAN</v>
      </c>
      <c r="N104" s="20">
        <f t="shared" si="14"/>
        <v>0</v>
      </c>
      <c r="O104" s="16" t="s">
        <v>96</v>
      </c>
      <c r="P104" s="16" t="s">
        <v>111</v>
      </c>
      <c r="Q104" s="16" t="s">
        <v>117</v>
      </c>
      <c r="R104" s="16" t="s">
        <v>1911</v>
      </c>
      <c r="T104" s="20">
        <f t="shared" si="15"/>
        <v>0</v>
      </c>
      <c r="U104" s="112" t="s">
        <v>885</v>
      </c>
      <c r="V104" s="112" t="s">
        <v>4292</v>
      </c>
      <c r="W104" s="112" t="s">
        <v>4048</v>
      </c>
    </row>
    <row r="105" spans="1:23" x14ac:dyDescent="0.2">
      <c r="A105">
        <v>5</v>
      </c>
      <c r="B105" t="s">
        <v>4092</v>
      </c>
      <c r="C105" s="50" t="s">
        <v>4080</v>
      </c>
      <c r="D105" s="51" t="str">
        <f>IF(MOD4_5!O$21="","",MOD4_5!O$21)</f>
        <v/>
      </c>
      <c r="E105" s="21" t="s">
        <v>3702</v>
      </c>
      <c r="F105" s="128" t="str">
        <f t="shared" si="16"/>
        <v/>
      </c>
      <c r="I105" s="20">
        <f t="shared" si="12"/>
        <v>0</v>
      </c>
      <c r="J105" s="16" t="s">
        <v>1006</v>
      </c>
      <c r="K105" s="16" t="s">
        <v>1007</v>
      </c>
      <c r="M105" s="20" t="str">
        <f t="shared" si="13"/>
        <v>ANCASH BOLOGNESI COLQUIOC</v>
      </c>
      <c r="N105" s="20">
        <f t="shared" si="14"/>
        <v>0</v>
      </c>
      <c r="O105" s="16" t="s">
        <v>96</v>
      </c>
      <c r="P105" s="16" t="s">
        <v>111</v>
      </c>
      <c r="Q105" s="16" t="s">
        <v>118</v>
      </c>
      <c r="R105" s="16" t="s">
        <v>1912</v>
      </c>
      <c r="T105" s="20">
        <f t="shared" si="15"/>
        <v>0</v>
      </c>
      <c r="U105" s="112" t="s">
        <v>968</v>
      </c>
      <c r="V105" s="112" t="s">
        <v>4293</v>
      </c>
      <c r="W105" s="112" t="s">
        <v>3903</v>
      </c>
    </row>
    <row r="106" spans="1:23" x14ac:dyDescent="0.2">
      <c r="A106">
        <v>5</v>
      </c>
      <c r="B106" t="s">
        <v>4092</v>
      </c>
      <c r="C106" s="50" t="s">
        <v>4081</v>
      </c>
      <c r="D106" s="51" t="str">
        <f>IF(MOD4_5!V$21="","",MOD4_5!V$21)</f>
        <v/>
      </c>
      <c r="E106" s="21" t="s">
        <v>3706</v>
      </c>
      <c r="F106" s="128" t="str">
        <f t="shared" si="16"/>
        <v/>
      </c>
      <c r="I106" s="20">
        <f t="shared" si="12"/>
        <v>0</v>
      </c>
      <c r="J106" s="16" t="s">
        <v>1006</v>
      </c>
      <c r="K106" s="16" t="s">
        <v>1013</v>
      </c>
      <c r="M106" s="20" t="str">
        <f t="shared" si="13"/>
        <v>ANCASH BOLOGNESI HUALLANCA</v>
      </c>
      <c r="N106" s="20">
        <f t="shared" si="14"/>
        <v>0</v>
      </c>
      <c r="O106" s="16" t="s">
        <v>96</v>
      </c>
      <c r="P106" s="16" t="s">
        <v>111</v>
      </c>
      <c r="Q106" s="16" t="s">
        <v>119</v>
      </c>
      <c r="R106" s="16" t="s">
        <v>1913</v>
      </c>
      <c r="T106" s="20">
        <f t="shared" si="15"/>
        <v>0</v>
      </c>
      <c r="U106" s="112" t="s">
        <v>968</v>
      </c>
      <c r="V106" s="112" t="s">
        <v>4294</v>
      </c>
      <c r="W106" s="112" t="s">
        <v>3950</v>
      </c>
    </row>
    <row r="107" spans="1:23" x14ac:dyDescent="0.2">
      <c r="A107">
        <v>5</v>
      </c>
      <c r="B107" t="s">
        <v>4092</v>
      </c>
      <c r="C107" s="50" t="s">
        <v>4082</v>
      </c>
      <c r="D107" s="51" t="str">
        <f>IF(MOD4_5!AC$21="","",MOD4_5!AC$21)</f>
        <v/>
      </c>
      <c r="E107" s="21" t="s">
        <v>3710</v>
      </c>
      <c r="F107" s="128" t="str">
        <f t="shared" si="16"/>
        <v/>
      </c>
      <c r="I107" s="20">
        <f t="shared" si="12"/>
        <v>0</v>
      </c>
      <c r="J107" s="16" t="s">
        <v>1006</v>
      </c>
      <c r="K107" s="16" t="s">
        <v>571</v>
      </c>
      <c r="M107" s="20" t="str">
        <f t="shared" si="13"/>
        <v>ANCASH BOLOGNESI HUASTA</v>
      </c>
      <c r="N107" s="20">
        <f t="shared" si="14"/>
        <v>0</v>
      </c>
      <c r="O107" s="16" t="s">
        <v>96</v>
      </c>
      <c r="P107" s="16" t="s">
        <v>111</v>
      </c>
      <c r="Q107" s="16" t="s">
        <v>120</v>
      </c>
      <c r="R107" s="16" t="s">
        <v>1914</v>
      </c>
      <c r="T107" s="20">
        <f t="shared" si="15"/>
        <v>0</v>
      </c>
      <c r="U107" s="112" t="s">
        <v>968</v>
      </c>
      <c r="V107" s="112" t="s">
        <v>4295</v>
      </c>
      <c r="W107" s="112" t="s">
        <v>3979</v>
      </c>
    </row>
    <row r="108" spans="1:23" x14ac:dyDescent="0.2">
      <c r="B108" t="s">
        <v>4092</v>
      </c>
      <c r="C108" s="50" t="s">
        <v>4083</v>
      </c>
      <c r="D108" s="51" t="str">
        <f>IF(MOD4_5!AP$13="","",MOD4_5!AP$13)</f>
        <v/>
      </c>
      <c r="F108" s="128" t="str">
        <f t="shared" si="16"/>
        <v/>
      </c>
      <c r="I108" s="20">
        <f t="shared" si="12"/>
        <v>0</v>
      </c>
      <c r="J108" s="16" t="s">
        <v>1006</v>
      </c>
      <c r="K108" s="16" t="s">
        <v>1033</v>
      </c>
      <c r="M108" s="20" t="str">
        <f t="shared" si="13"/>
        <v>ANCASH BOLOGNESI HUAYLLACAYAN</v>
      </c>
      <c r="N108" s="20">
        <f t="shared" si="14"/>
        <v>0</v>
      </c>
      <c r="O108" s="16" t="s">
        <v>96</v>
      </c>
      <c r="P108" s="16" t="s">
        <v>111</v>
      </c>
      <c r="Q108" s="16" t="s">
        <v>121</v>
      </c>
      <c r="R108" s="16" t="s">
        <v>1915</v>
      </c>
      <c r="T108" s="20">
        <f t="shared" si="15"/>
        <v>0</v>
      </c>
      <c r="U108" s="112" t="s">
        <v>968</v>
      </c>
      <c r="V108" s="112" t="s">
        <v>4296</v>
      </c>
      <c r="W108" s="112" t="s">
        <v>3988</v>
      </c>
    </row>
    <row r="109" spans="1:23" x14ac:dyDescent="0.2">
      <c r="C109" s="54" t="s">
        <v>4124</v>
      </c>
      <c r="D109" s="54" t="b">
        <f>COUNTIF(D104:D107,"")=0</f>
        <v>0</v>
      </c>
      <c r="F109" s="128" t="str">
        <f t="shared" si="16"/>
        <v/>
      </c>
      <c r="I109" s="20">
        <f t="shared" si="12"/>
        <v>0</v>
      </c>
      <c r="J109" s="16" t="s">
        <v>1006</v>
      </c>
      <c r="K109" s="16" t="s">
        <v>1058</v>
      </c>
      <c r="M109" s="20" t="str">
        <f t="shared" si="13"/>
        <v>ANCASH BOLOGNESI LA PRIMAVERA</v>
      </c>
      <c r="N109" s="20">
        <f t="shared" si="14"/>
        <v>0</v>
      </c>
      <c r="O109" s="16" t="s">
        <v>96</v>
      </c>
      <c r="P109" s="16" t="s">
        <v>111</v>
      </c>
      <c r="Q109" s="16" t="s">
        <v>122</v>
      </c>
      <c r="R109" s="16" t="s">
        <v>1916</v>
      </c>
      <c r="T109" s="20">
        <f t="shared" si="15"/>
        <v>0</v>
      </c>
      <c r="U109" s="112" t="s">
        <v>968</v>
      </c>
      <c r="V109" s="112" t="s">
        <v>4297</v>
      </c>
      <c r="W109" s="112" t="s">
        <v>3999</v>
      </c>
    </row>
    <row r="110" spans="1:23" x14ac:dyDescent="0.2">
      <c r="C110" s="54" t="s">
        <v>4125</v>
      </c>
      <c r="D110" s="54" t="b">
        <f>(COUNTIF(D45,TRUE)+COUNTIF(D51,TRUE)+COUNTIF(D72,TRUE)+COUNTIF(D103,TRUE)+COUNTIF(D109,TRUE))=5</f>
        <v>0</v>
      </c>
      <c r="F110" s="128" t="str">
        <f t="shared" si="16"/>
        <v/>
      </c>
      <c r="I110" s="20">
        <f t="shared" si="12"/>
        <v>0</v>
      </c>
      <c r="J110" s="16" t="s">
        <v>1006</v>
      </c>
      <c r="K110" s="16" t="s">
        <v>1006</v>
      </c>
      <c r="M110" s="20" t="str">
        <f t="shared" si="13"/>
        <v>ANCASH BOLOGNESI MANGAS</v>
      </c>
      <c r="N110" s="20">
        <f t="shared" si="14"/>
        <v>0</v>
      </c>
      <c r="O110" s="16" t="s">
        <v>96</v>
      </c>
      <c r="P110" s="16" t="s">
        <v>111</v>
      </c>
      <c r="Q110" s="16" t="s">
        <v>123</v>
      </c>
      <c r="R110" s="16" t="s">
        <v>1917</v>
      </c>
      <c r="T110" s="20">
        <f t="shared" si="15"/>
        <v>0</v>
      </c>
      <c r="U110" s="112" t="s">
        <v>1006</v>
      </c>
      <c r="V110" s="112" t="s">
        <v>4298</v>
      </c>
      <c r="W110" s="112" t="s">
        <v>3900</v>
      </c>
    </row>
    <row r="111" spans="1:23" x14ac:dyDescent="0.2">
      <c r="A111" t="s">
        <v>4127</v>
      </c>
      <c r="B111" s="51" t="s">
        <v>4055</v>
      </c>
      <c r="C111" s="50" t="s">
        <v>3671</v>
      </c>
      <c r="D111" s="51" t="str">
        <f>IF(MOD4_6!W20="","",MOD4_6!W20)</f>
        <v/>
      </c>
      <c r="F111" s="128" t="str">
        <f t="shared" si="16"/>
        <v/>
      </c>
      <c r="I111" s="20">
        <f t="shared" si="12"/>
        <v>0</v>
      </c>
      <c r="J111" s="16" t="s">
        <v>1006</v>
      </c>
      <c r="K111" s="16" t="s">
        <v>1093</v>
      </c>
      <c r="M111" s="20" t="str">
        <f t="shared" si="13"/>
        <v>ANCASH BOLOGNESI PACLLON</v>
      </c>
      <c r="N111" s="20">
        <f t="shared" si="14"/>
        <v>0</v>
      </c>
      <c r="O111" s="16" t="s">
        <v>96</v>
      </c>
      <c r="P111" s="16" t="s">
        <v>111</v>
      </c>
      <c r="Q111" s="16" t="s">
        <v>124</v>
      </c>
      <c r="R111" s="16" t="s">
        <v>1918</v>
      </c>
      <c r="T111" s="20">
        <f t="shared" si="15"/>
        <v>0</v>
      </c>
      <c r="U111" s="112" t="s">
        <v>1006</v>
      </c>
      <c r="V111" s="112" t="s">
        <v>4299</v>
      </c>
      <c r="W111" s="112" t="s">
        <v>3909</v>
      </c>
    </row>
    <row r="112" spans="1:23" x14ac:dyDescent="0.2">
      <c r="A112" t="s">
        <v>4127</v>
      </c>
      <c r="B112" s="51" t="s">
        <v>4070</v>
      </c>
      <c r="C112" s="50" t="s">
        <v>3672</v>
      </c>
      <c r="D112" s="51" t="str">
        <f>IF(MOD4_6!W23="","",MOD4_6!W23)</f>
        <v/>
      </c>
      <c r="F112" s="128" t="str">
        <f t="shared" si="16"/>
        <v/>
      </c>
      <c r="I112" s="20">
        <f t="shared" si="12"/>
        <v>0</v>
      </c>
      <c r="J112" s="16" t="s">
        <v>1006</v>
      </c>
      <c r="K112" s="16" t="s">
        <v>1101</v>
      </c>
      <c r="M112" s="20" t="str">
        <f t="shared" si="13"/>
        <v>ANCASH BOLOGNESI SAN MIGUEL DE CORPANQUI</v>
      </c>
      <c r="N112" s="20">
        <f t="shared" si="14"/>
        <v>0</v>
      </c>
      <c r="O112" s="16" t="s">
        <v>96</v>
      </c>
      <c r="P112" s="16" t="s">
        <v>111</v>
      </c>
      <c r="Q112" s="16" t="s">
        <v>125</v>
      </c>
      <c r="R112" s="16" t="s">
        <v>1919</v>
      </c>
      <c r="T112" s="20">
        <f t="shared" si="15"/>
        <v>0</v>
      </c>
      <c r="U112" s="112" t="s">
        <v>1006</v>
      </c>
      <c r="V112" s="112" t="s">
        <v>4300</v>
      </c>
      <c r="W112" s="112" t="s">
        <v>3911</v>
      </c>
    </row>
    <row r="113" spans="1:23" x14ac:dyDescent="0.2">
      <c r="A113" t="s">
        <v>4127</v>
      </c>
      <c r="B113" s="51" t="s">
        <v>4071</v>
      </c>
      <c r="C113" s="50" t="s">
        <v>3673</v>
      </c>
      <c r="D113" s="51" t="str">
        <f>IF(MOD4_6!W26="","",MOD4_6!W26)</f>
        <v/>
      </c>
      <c r="F113" s="128" t="str">
        <f t="shared" si="16"/>
        <v/>
      </c>
      <c r="I113" s="20">
        <f t="shared" si="12"/>
        <v>0</v>
      </c>
      <c r="J113" s="16" t="s">
        <v>1006</v>
      </c>
      <c r="K113" s="16" t="s">
        <v>853</v>
      </c>
      <c r="M113" s="20" t="str">
        <f t="shared" si="13"/>
        <v>ANCASH BOLOGNESI TICLLOS</v>
      </c>
      <c r="N113" s="20">
        <f t="shared" si="14"/>
        <v>0</v>
      </c>
      <c r="O113" s="16" t="s">
        <v>96</v>
      </c>
      <c r="P113" s="16" t="s">
        <v>111</v>
      </c>
      <c r="Q113" s="16" t="s">
        <v>126</v>
      </c>
      <c r="R113" s="16" t="s">
        <v>1920</v>
      </c>
      <c r="T113" s="20">
        <f t="shared" si="15"/>
        <v>0</v>
      </c>
      <c r="U113" s="112" t="s">
        <v>1006</v>
      </c>
      <c r="V113" s="112" t="s">
        <v>4301</v>
      </c>
      <c r="W113" s="112" t="s">
        <v>3940</v>
      </c>
    </row>
    <row r="114" spans="1:23" x14ac:dyDescent="0.2">
      <c r="A114" t="s">
        <v>4127</v>
      </c>
      <c r="B114" s="51" t="s">
        <v>4072</v>
      </c>
      <c r="C114" s="50" t="s">
        <v>3674</v>
      </c>
      <c r="D114" s="51" t="str">
        <f>IF(MOD4_6!W29="","",MOD4_6!W29)</f>
        <v/>
      </c>
      <c r="F114" s="128" t="str">
        <f t="shared" si="16"/>
        <v/>
      </c>
      <c r="I114" s="20">
        <f t="shared" si="12"/>
        <v>0</v>
      </c>
      <c r="J114" s="16" t="s">
        <v>159</v>
      </c>
      <c r="K114" s="16" t="s">
        <v>1115</v>
      </c>
      <c r="M114" s="20" t="str">
        <f t="shared" si="13"/>
        <v>ANCASH CARHUAZ ACOPAMPA</v>
      </c>
      <c r="N114" s="20">
        <f t="shared" si="14"/>
        <v>0</v>
      </c>
      <c r="O114" s="16" t="s">
        <v>96</v>
      </c>
      <c r="P114" s="16" t="s">
        <v>127</v>
      </c>
      <c r="Q114" s="16" t="s">
        <v>128</v>
      </c>
      <c r="R114" s="16" t="s">
        <v>1921</v>
      </c>
      <c r="T114" s="20">
        <f t="shared" si="15"/>
        <v>0</v>
      </c>
      <c r="U114" s="112" t="s">
        <v>1006</v>
      </c>
      <c r="V114" s="112" t="s">
        <v>4302</v>
      </c>
      <c r="W114" s="112" t="s">
        <v>3954</v>
      </c>
    </row>
    <row r="115" spans="1:23" x14ac:dyDescent="0.2">
      <c r="A115" t="s">
        <v>4127</v>
      </c>
      <c r="B115" s="51" t="s">
        <v>4073</v>
      </c>
      <c r="C115" s="50" t="s">
        <v>3675</v>
      </c>
      <c r="D115" s="51" t="str">
        <f>IF(MOD4_6!W32="","",MOD4_6!W32)</f>
        <v/>
      </c>
      <c r="F115" s="128" t="str">
        <f t="shared" si="16"/>
        <v/>
      </c>
      <c r="I115" s="20">
        <f t="shared" si="12"/>
        <v>0</v>
      </c>
      <c r="J115" s="16" t="s">
        <v>159</v>
      </c>
      <c r="K115" s="16" t="s">
        <v>663</v>
      </c>
      <c r="M115" s="20" t="str">
        <f t="shared" si="13"/>
        <v>ANCASH CARHUAZ AMASHCA</v>
      </c>
      <c r="N115" s="20">
        <f t="shared" si="14"/>
        <v>0</v>
      </c>
      <c r="O115" s="16" t="s">
        <v>96</v>
      </c>
      <c r="P115" s="16" t="s">
        <v>127</v>
      </c>
      <c r="Q115" s="16" t="s">
        <v>129</v>
      </c>
      <c r="R115" s="16" t="s">
        <v>1922</v>
      </c>
      <c r="T115" s="20">
        <f t="shared" si="15"/>
        <v>0</v>
      </c>
      <c r="U115" s="112" t="s">
        <v>1006</v>
      </c>
      <c r="V115" s="112" t="s">
        <v>4303</v>
      </c>
      <c r="W115" s="112" t="s">
        <v>3957</v>
      </c>
    </row>
    <row r="116" spans="1:23" x14ac:dyDescent="0.2">
      <c r="A116" t="s">
        <v>4127</v>
      </c>
      <c r="B116" s="51" t="s">
        <v>4074</v>
      </c>
      <c r="C116" s="50" t="s">
        <v>4067</v>
      </c>
      <c r="D116" s="51" t="str">
        <f>IF(MOD4_6!W35="","",MOD4_6!W35)</f>
        <v/>
      </c>
      <c r="F116" s="128" t="str">
        <f t="shared" si="16"/>
        <v/>
      </c>
      <c r="I116" s="20">
        <f t="shared" si="12"/>
        <v>0</v>
      </c>
      <c r="J116" s="16" t="s">
        <v>159</v>
      </c>
      <c r="K116" s="16" t="s">
        <v>1127</v>
      </c>
      <c r="M116" s="20" t="str">
        <f t="shared" si="13"/>
        <v>ANCASH CARHUAZ ANTA</v>
      </c>
      <c r="N116" s="20">
        <f t="shared" si="14"/>
        <v>0</v>
      </c>
      <c r="O116" s="16" t="s">
        <v>96</v>
      </c>
      <c r="P116" s="16" t="s">
        <v>127</v>
      </c>
      <c r="Q116" s="16" t="s">
        <v>130</v>
      </c>
      <c r="R116" s="16" t="s">
        <v>1923</v>
      </c>
      <c r="T116" s="20">
        <f t="shared" si="15"/>
        <v>0</v>
      </c>
      <c r="U116" s="112" t="s">
        <v>1006</v>
      </c>
      <c r="V116" s="112" t="s">
        <v>4304</v>
      </c>
      <c r="W116" s="112" t="s">
        <v>3989</v>
      </c>
    </row>
    <row r="117" spans="1:23" x14ac:dyDescent="0.2">
      <c r="A117" t="s">
        <v>4127</v>
      </c>
      <c r="B117" s="51" t="s">
        <v>4075</v>
      </c>
      <c r="C117" s="50" t="s">
        <v>4068</v>
      </c>
      <c r="D117" s="51" t="str">
        <f>IF(MOD4_6!W38="","",MOD4_6!W38)</f>
        <v/>
      </c>
      <c r="F117" s="128" t="str">
        <f t="shared" si="16"/>
        <v/>
      </c>
      <c r="I117" s="20">
        <f t="shared" si="12"/>
        <v>0</v>
      </c>
      <c r="J117" s="16" t="s">
        <v>159</v>
      </c>
      <c r="K117" s="16" t="s">
        <v>1129</v>
      </c>
      <c r="M117" s="20" t="str">
        <f t="shared" si="13"/>
        <v>ANCASH CARHUAZ ATAQUERO</v>
      </c>
      <c r="N117" s="20">
        <f t="shared" si="14"/>
        <v>0</v>
      </c>
      <c r="O117" s="16" t="s">
        <v>96</v>
      </c>
      <c r="P117" s="16" t="s">
        <v>127</v>
      </c>
      <c r="Q117" s="16" t="s">
        <v>131</v>
      </c>
      <c r="R117" s="16" t="s">
        <v>1924</v>
      </c>
      <c r="T117" s="20">
        <f t="shared" si="15"/>
        <v>0</v>
      </c>
      <c r="U117" s="112" t="s">
        <v>1006</v>
      </c>
      <c r="V117" s="112" t="s">
        <v>4298</v>
      </c>
      <c r="W117" s="112" t="s">
        <v>3996</v>
      </c>
    </row>
    <row r="118" spans="1:23" x14ac:dyDescent="0.2">
      <c r="A118" t="s">
        <v>4127</v>
      </c>
      <c r="B118" s="51" t="s">
        <v>4076</v>
      </c>
      <c r="C118" s="50" t="s">
        <v>4069</v>
      </c>
      <c r="D118" s="51" t="str">
        <f>IF(MOD4_6!W41="","",MOD4_6!W41)</f>
        <v/>
      </c>
      <c r="F118" s="128" t="str">
        <f t="shared" si="16"/>
        <v/>
      </c>
      <c r="I118" s="20">
        <f t="shared" si="12"/>
        <v>0</v>
      </c>
      <c r="J118" s="16" t="s">
        <v>159</v>
      </c>
      <c r="K118" s="16" t="s">
        <v>1069</v>
      </c>
      <c r="M118" s="20" t="str">
        <f t="shared" si="13"/>
        <v>ANCASH CARHUAZ CARHUAZ</v>
      </c>
      <c r="N118" s="20">
        <f t="shared" si="14"/>
        <v>0</v>
      </c>
      <c r="O118" s="16" t="s">
        <v>96</v>
      </c>
      <c r="P118" s="16" t="s">
        <v>127</v>
      </c>
      <c r="Q118" s="16" t="s">
        <v>127</v>
      </c>
      <c r="R118" s="16" t="s">
        <v>1925</v>
      </c>
      <c r="T118" s="20">
        <f t="shared" si="15"/>
        <v>0</v>
      </c>
      <c r="U118" s="112" t="s">
        <v>1006</v>
      </c>
      <c r="V118" s="112" t="s">
        <v>4304</v>
      </c>
      <c r="W118" s="112" t="s">
        <v>4010</v>
      </c>
    </row>
    <row r="119" spans="1:23" x14ac:dyDescent="0.2">
      <c r="F119" s="128" t="str">
        <f t="shared" si="16"/>
        <v/>
      </c>
      <c r="I119" s="20">
        <f t="shared" si="12"/>
        <v>0</v>
      </c>
      <c r="J119" s="16" t="s">
        <v>159</v>
      </c>
      <c r="K119" s="16" t="s">
        <v>1136</v>
      </c>
      <c r="M119" s="20" t="str">
        <f t="shared" si="13"/>
        <v>ANCASH CARHUAZ MARCARA</v>
      </c>
      <c r="N119" s="20">
        <f t="shared" si="14"/>
        <v>0</v>
      </c>
      <c r="O119" s="16" t="s">
        <v>96</v>
      </c>
      <c r="P119" s="16" t="s">
        <v>127</v>
      </c>
      <c r="Q119" s="16" t="s">
        <v>132</v>
      </c>
      <c r="R119" s="16" t="s">
        <v>1926</v>
      </c>
      <c r="T119" s="20">
        <f t="shared" si="15"/>
        <v>0</v>
      </c>
      <c r="U119" s="112" t="s">
        <v>1006</v>
      </c>
      <c r="V119" s="112" t="s">
        <v>4304</v>
      </c>
      <c r="W119" s="112" t="s">
        <v>4011</v>
      </c>
    </row>
    <row r="120" spans="1:23" x14ac:dyDescent="0.2">
      <c r="B120" s="51" t="s">
        <v>3669</v>
      </c>
      <c r="C120" s="50" t="s">
        <v>3671</v>
      </c>
      <c r="D120" s="51" t="str">
        <f>IF(MOD4_6!AA20="","",MOD4_6!AA20)</f>
        <v/>
      </c>
      <c r="F120" s="128" t="str">
        <f t="shared" si="16"/>
        <v/>
      </c>
      <c r="I120" s="20">
        <f t="shared" si="12"/>
        <v>0</v>
      </c>
      <c r="J120" s="16" t="s">
        <v>159</v>
      </c>
      <c r="K120" s="16" t="s">
        <v>1146</v>
      </c>
      <c r="M120" s="20" t="str">
        <f t="shared" si="13"/>
        <v>ANCASH CARHUAZ PARIAHUANCA</v>
      </c>
      <c r="N120" s="20">
        <f t="shared" si="14"/>
        <v>0</v>
      </c>
      <c r="O120" s="16" t="s">
        <v>96</v>
      </c>
      <c r="P120" s="16" t="s">
        <v>127</v>
      </c>
      <c r="Q120" s="16" t="s">
        <v>133</v>
      </c>
      <c r="R120" s="16" t="s">
        <v>1927</v>
      </c>
      <c r="T120" s="20">
        <f t="shared" si="15"/>
        <v>0</v>
      </c>
      <c r="U120" s="112" t="s">
        <v>1006</v>
      </c>
      <c r="V120" s="112" t="s">
        <v>4304</v>
      </c>
      <c r="W120" s="112" t="s">
        <v>4025</v>
      </c>
    </row>
    <row r="121" spans="1:23" x14ac:dyDescent="0.2">
      <c r="B121" s="51" t="s">
        <v>3657</v>
      </c>
      <c r="C121" s="50" t="s">
        <v>3671</v>
      </c>
      <c r="D121" s="51" t="str">
        <f>IF(MOD4_6!AE20="","",MOD4_6!AE20)</f>
        <v/>
      </c>
      <c r="F121" s="128" t="str">
        <f t="shared" si="16"/>
        <v/>
      </c>
      <c r="I121" s="20">
        <f t="shared" si="12"/>
        <v>0</v>
      </c>
      <c r="J121" s="16" t="s">
        <v>159</v>
      </c>
      <c r="K121" s="16" t="s">
        <v>1150</v>
      </c>
      <c r="M121" s="20" t="str">
        <f t="shared" si="13"/>
        <v>ANCASH CARHUAZ SAN MIGUEL DE ACO</v>
      </c>
      <c r="N121" s="20">
        <f t="shared" si="14"/>
        <v>0</v>
      </c>
      <c r="O121" s="16" t="s">
        <v>96</v>
      </c>
      <c r="P121" s="16" t="s">
        <v>127</v>
      </c>
      <c r="Q121" s="16" t="s">
        <v>134</v>
      </c>
      <c r="R121" s="16" t="s">
        <v>1928</v>
      </c>
      <c r="T121" s="20">
        <f t="shared" si="15"/>
        <v>0</v>
      </c>
      <c r="U121" s="112" t="s">
        <v>1006</v>
      </c>
      <c r="V121" s="112" t="s">
        <v>4305</v>
      </c>
      <c r="W121" s="112" t="s">
        <v>4037</v>
      </c>
    </row>
    <row r="122" spans="1:23" x14ac:dyDescent="0.2">
      <c r="B122" s="51" t="s">
        <v>3658</v>
      </c>
      <c r="C122" s="50" t="s">
        <v>3671</v>
      </c>
      <c r="D122" s="51" t="str">
        <f>IF(MOD4_6!AI20="","",MOD4_6!AI20)</f>
        <v/>
      </c>
      <c r="F122" s="128" t="str">
        <f t="shared" si="16"/>
        <v/>
      </c>
      <c r="I122" s="20">
        <f t="shared" si="12"/>
        <v>0</v>
      </c>
      <c r="J122" s="16" t="s">
        <v>159</v>
      </c>
      <c r="K122" s="16" t="s">
        <v>1163</v>
      </c>
      <c r="M122" s="20" t="str">
        <f t="shared" si="13"/>
        <v>ANCASH CARHUAZ SHILLA</v>
      </c>
      <c r="N122" s="20">
        <f t="shared" si="14"/>
        <v>0</v>
      </c>
      <c r="O122" s="16" t="s">
        <v>96</v>
      </c>
      <c r="P122" s="16" t="s">
        <v>127</v>
      </c>
      <c r="Q122" s="16" t="s">
        <v>135</v>
      </c>
      <c r="R122" s="16" t="s">
        <v>1929</v>
      </c>
      <c r="T122" s="20">
        <f t="shared" si="15"/>
        <v>0</v>
      </c>
      <c r="U122" s="112" t="s">
        <v>1006</v>
      </c>
      <c r="V122" s="112" t="s">
        <v>4306</v>
      </c>
      <c r="W122" s="112" t="s">
        <v>4049</v>
      </c>
    </row>
    <row r="123" spans="1:23" x14ac:dyDescent="0.2">
      <c r="B123" s="51" t="s">
        <v>3676</v>
      </c>
      <c r="C123" s="50" t="s">
        <v>3671</v>
      </c>
      <c r="D123" s="51" t="str">
        <f>IF(MOD4_6!AM20="","",MOD4_6!AM20)</f>
        <v/>
      </c>
      <c r="F123" s="128" t="str">
        <f t="shared" si="16"/>
        <v/>
      </c>
      <c r="I123" s="20">
        <f t="shared" si="12"/>
        <v>0</v>
      </c>
      <c r="J123" s="16" t="s">
        <v>159</v>
      </c>
      <c r="K123" s="16" t="s">
        <v>1172</v>
      </c>
      <c r="M123" s="20" t="str">
        <f t="shared" si="13"/>
        <v>ANCASH CARHUAZ TINCO</v>
      </c>
      <c r="N123" s="20">
        <f t="shared" si="14"/>
        <v>0</v>
      </c>
      <c r="O123" s="16" t="s">
        <v>96</v>
      </c>
      <c r="P123" s="16" t="s">
        <v>127</v>
      </c>
      <c r="Q123" s="16" t="s">
        <v>136</v>
      </c>
      <c r="R123" s="16" t="s">
        <v>1930</v>
      </c>
      <c r="T123" s="20">
        <f t="shared" si="15"/>
        <v>0</v>
      </c>
      <c r="U123" s="112" t="s">
        <v>159</v>
      </c>
      <c r="V123" s="112" t="s">
        <v>4307</v>
      </c>
      <c r="W123" s="112" t="s">
        <v>3840</v>
      </c>
    </row>
    <row r="124" spans="1:23" x14ac:dyDescent="0.2">
      <c r="F124" s="128" t="str">
        <f t="shared" si="16"/>
        <v/>
      </c>
      <c r="I124" s="20">
        <f t="shared" si="12"/>
        <v>0</v>
      </c>
      <c r="J124" s="16" t="s">
        <v>159</v>
      </c>
      <c r="K124" s="16" t="s">
        <v>1179</v>
      </c>
      <c r="M124" s="20" t="str">
        <f t="shared" si="13"/>
        <v>ANCASH CARHUAZ YUNGAR</v>
      </c>
      <c r="N124" s="20">
        <f t="shared" si="14"/>
        <v>0</v>
      </c>
      <c r="O124" s="16" t="s">
        <v>96</v>
      </c>
      <c r="P124" s="16" t="s">
        <v>127</v>
      </c>
      <c r="Q124" s="16" t="s">
        <v>137</v>
      </c>
      <c r="R124" s="16" t="s">
        <v>1931</v>
      </c>
      <c r="T124" s="20">
        <f t="shared" si="15"/>
        <v>0</v>
      </c>
      <c r="U124" s="112" t="s">
        <v>159</v>
      </c>
      <c r="V124" s="112" t="s">
        <v>4308</v>
      </c>
      <c r="W124" s="112" t="s">
        <v>3842</v>
      </c>
    </row>
    <row r="125" spans="1:23" x14ac:dyDescent="0.2">
      <c r="B125" s="51" t="s">
        <v>3669</v>
      </c>
      <c r="C125" s="50" t="s">
        <v>3672</v>
      </c>
      <c r="D125" s="51" t="str">
        <f>IF(MOD4_6!AA23="","",MOD4_6!AA23)</f>
        <v/>
      </c>
      <c r="F125" s="128" t="str">
        <f t="shared" si="16"/>
        <v/>
      </c>
      <c r="I125" s="20">
        <f t="shared" si="12"/>
        <v>0</v>
      </c>
      <c r="J125" s="16" t="s">
        <v>159</v>
      </c>
      <c r="K125" s="16" t="s">
        <v>1188</v>
      </c>
      <c r="M125" s="20" t="str">
        <f t="shared" si="13"/>
        <v>ANCASH CARLOS FERMIN FITZCARRALD SAN LUIS</v>
      </c>
      <c r="N125" s="20">
        <f t="shared" si="14"/>
        <v>0</v>
      </c>
      <c r="O125" s="16" t="s">
        <v>96</v>
      </c>
      <c r="P125" s="16" t="s">
        <v>138</v>
      </c>
      <c r="Q125" s="16" t="s">
        <v>139</v>
      </c>
      <c r="R125" s="16" t="s">
        <v>1932</v>
      </c>
      <c r="T125" s="20">
        <f t="shared" si="15"/>
        <v>0</v>
      </c>
      <c r="U125" s="112" t="s">
        <v>159</v>
      </c>
      <c r="V125" s="112" t="s">
        <v>4309</v>
      </c>
      <c r="W125" s="112" t="s">
        <v>3844</v>
      </c>
    </row>
    <row r="126" spans="1:23" x14ac:dyDescent="0.2">
      <c r="B126" s="51" t="s">
        <v>3657</v>
      </c>
      <c r="C126" s="50" t="s">
        <v>3672</v>
      </c>
      <c r="D126" s="51" t="str">
        <f>IF(MOD4_6!AE23="","",MOD4_6!AE23)</f>
        <v/>
      </c>
      <c r="F126" s="128" t="str">
        <f t="shared" si="16"/>
        <v/>
      </c>
      <c r="I126" s="20">
        <f t="shared" si="12"/>
        <v>0</v>
      </c>
      <c r="J126" s="16" t="s">
        <v>1191</v>
      </c>
      <c r="K126" s="16" t="s">
        <v>1192</v>
      </c>
      <c r="M126" s="20" t="str">
        <f t="shared" si="13"/>
        <v>ANCASH CARLOS FERMIN FITZCARRALD SAN NICOLAS</v>
      </c>
      <c r="N126" s="20">
        <f t="shared" si="14"/>
        <v>0</v>
      </c>
      <c r="O126" s="16" t="s">
        <v>96</v>
      </c>
      <c r="P126" s="16" t="s">
        <v>138</v>
      </c>
      <c r="Q126" s="16" t="s">
        <v>84</v>
      </c>
      <c r="R126" s="16" t="s">
        <v>1933</v>
      </c>
      <c r="T126" s="20">
        <f t="shared" si="15"/>
        <v>0</v>
      </c>
      <c r="U126" s="112" t="s">
        <v>159</v>
      </c>
      <c r="V126" s="112" t="s">
        <v>4310</v>
      </c>
      <c r="W126" s="112" t="s">
        <v>3845</v>
      </c>
    </row>
    <row r="127" spans="1:23" x14ac:dyDescent="0.2">
      <c r="B127" s="51" t="s">
        <v>3658</v>
      </c>
      <c r="C127" s="50" t="s">
        <v>3672</v>
      </c>
      <c r="D127" s="51" t="str">
        <f>IF(MOD4_6!AI23="","",MOD4_6!AI23)</f>
        <v/>
      </c>
      <c r="F127" s="128" t="str">
        <f t="shared" si="16"/>
        <v/>
      </c>
      <c r="I127" s="20">
        <f t="shared" si="12"/>
        <v>0</v>
      </c>
      <c r="J127" s="16" t="s">
        <v>1191</v>
      </c>
      <c r="K127" s="16" t="s">
        <v>1211</v>
      </c>
      <c r="M127" s="20" t="str">
        <f t="shared" si="13"/>
        <v>ANCASH CARLOS FERMIN FITZCARRALD YAUYA</v>
      </c>
      <c r="N127" s="20">
        <f t="shared" si="14"/>
        <v>0</v>
      </c>
      <c r="O127" s="16" t="s">
        <v>96</v>
      </c>
      <c r="P127" s="16" t="s">
        <v>138</v>
      </c>
      <c r="Q127" s="16" t="s">
        <v>140</v>
      </c>
      <c r="R127" s="16" t="s">
        <v>1934</v>
      </c>
      <c r="T127" s="20">
        <f t="shared" si="15"/>
        <v>0</v>
      </c>
      <c r="U127" s="112" t="s">
        <v>159</v>
      </c>
      <c r="V127" s="112" t="s">
        <v>4311</v>
      </c>
      <c r="W127" s="112" t="s">
        <v>3872</v>
      </c>
    </row>
    <row r="128" spans="1:23" x14ac:dyDescent="0.2">
      <c r="B128" s="51" t="s">
        <v>3676</v>
      </c>
      <c r="C128" s="50" t="s">
        <v>3672</v>
      </c>
      <c r="D128" s="51" t="str">
        <f>IF(MOD4_6!AM23="","",MOD4_6!AM23)</f>
        <v/>
      </c>
      <c r="F128" s="128" t="str">
        <f t="shared" si="16"/>
        <v/>
      </c>
      <c r="I128" s="20">
        <f t="shared" si="12"/>
        <v>0</v>
      </c>
      <c r="J128" s="16" t="s">
        <v>1191</v>
      </c>
      <c r="K128" s="16" t="s">
        <v>1191</v>
      </c>
      <c r="M128" s="20" t="str">
        <f t="shared" si="13"/>
        <v>ANCASH CASMA BUENA VISTA ALTA</v>
      </c>
      <c r="N128" s="20">
        <f t="shared" si="14"/>
        <v>0</v>
      </c>
      <c r="O128" s="16" t="s">
        <v>96</v>
      </c>
      <c r="P128" s="16" t="s">
        <v>141</v>
      </c>
      <c r="Q128" s="16" t="s">
        <v>142</v>
      </c>
      <c r="R128" s="16" t="s">
        <v>1935</v>
      </c>
      <c r="T128" s="20">
        <f t="shared" si="15"/>
        <v>0</v>
      </c>
      <c r="U128" s="112" t="s">
        <v>159</v>
      </c>
      <c r="V128" s="112" t="s">
        <v>4312</v>
      </c>
      <c r="W128" s="112" t="s">
        <v>3880</v>
      </c>
    </row>
    <row r="129" spans="2:23" x14ac:dyDescent="0.2">
      <c r="F129" s="128" t="str">
        <f t="shared" si="16"/>
        <v/>
      </c>
      <c r="I129" s="20">
        <f t="shared" si="12"/>
        <v>0</v>
      </c>
      <c r="J129" s="16" t="s">
        <v>1225</v>
      </c>
      <c r="K129" s="16" t="s">
        <v>1226</v>
      </c>
      <c r="M129" s="20" t="str">
        <f t="shared" si="13"/>
        <v>ANCASH CASMA CASMA</v>
      </c>
      <c r="N129" s="20">
        <f t="shared" si="14"/>
        <v>0</v>
      </c>
      <c r="O129" s="16" t="s">
        <v>96</v>
      </c>
      <c r="P129" s="16" t="s">
        <v>141</v>
      </c>
      <c r="Q129" s="16" t="s">
        <v>141</v>
      </c>
      <c r="R129" s="16" t="s">
        <v>1936</v>
      </c>
      <c r="T129" s="20">
        <f t="shared" si="15"/>
        <v>0</v>
      </c>
      <c r="U129" s="112" t="s">
        <v>159</v>
      </c>
      <c r="V129" s="112" t="s">
        <v>4313</v>
      </c>
      <c r="W129" s="112" t="s">
        <v>3901</v>
      </c>
    </row>
    <row r="130" spans="2:23" x14ac:dyDescent="0.2">
      <c r="B130" s="51" t="s">
        <v>3669</v>
      </c>
      <c r="C130" s="50" t="s">
        <v>3673</v>
      </c>
      <c r="D130" s="51" t="str">
        <f>IF(MOD4_6!AA26="","",MOD4_6!AA26)</f>
        <v/>
      </c>
      <c r="F130" s="128" t="str">
        <f t="shared" si="16"/>
        <v/>
      </c>
      <c r="I130" s="20">
        <f t="shared" si="12"/>
        <v>0</v>
      </c>
      <c r="J130" s="16" t="s">
        <v>1225</v>
      </c>
      <c r="K130" s="16" t="s">
        <v>1231</v>
      </c>
      <c r="M130" s="20" t="str">
        <f t="shared" si="13"/>
        <v>ANCASH CASMA COMANDANTE NOEL</v>
      </c>
      <c r="N130" s="20">
        <f t="shared" si="14"/>
        <v>0</v>
      </c>
      <c r="O130" s="16" t="s">
        <v>96</v>
      </c>
      <c r="P130" s="16" t="s">
        <v>141</v>
      </c>
      <c r="Q130" s="16" t="s">
        <v>144</v>
      </c>
      <c r="R130" s="16" t="s">
        <v>1937</v>
      </c>
      <c r="T130" s="20">
        <f t="shared" si="15"/>
        <v>0</v>
      </c>
      <c r="U130" s="112" t="s">
        <v>159</v>
      </c>
      <c r="V130" s="112" t="s">
        <v>4314</v>
      </c>
      <c r="W130" s="112" t="s">
        <v>3928</v>
      </c>
    </row>
    <row r="131" spans="2:23" x14ac:dyDescent="0.2">
      <c r="B131" s="51" t="s">
        <v>3657</v>
      </c>
      <c r="C131" s="50" t="s">
        <v>3673</v>
      </c>
      <c r="D131" s="51" t="str">
        <f>IF(MOD4_6!AE26="","",MOD4_6!AE26)</f>
        <v/>
      </c>
      <c r="F131" s="128" t="str">
        <f t="shared" si="16"/>
        <v/>
      </c>
      <c r="I131" s="20">
        <f t="shared" ref="I131:I194" si="17">IF($D$9=J131,I130+1,0)</f>
        <v>0</v>
      </c>
      <c r="J131" s="16" t="s">
        <v>1225</v>
      </c>
      <c r="K131" s="16" t="s">
        <v>1236</v>
      </c>
      <c r="M131" s="20" t="str">
        <f t="shared" ref="M131:M194" si="18">O131&amp;" "&amp;P131&amp;" "&amp;Q131</f>
        <v>ANCASH CASMA YAUTAN</v>
      </c>
      <c r="N131" s="20">
        <f t="shared" ref="N131:N194" si="19">IF(AND($D$9=O131,$D$10=P131),N130+1,0)</f>
        <v>0</v>
      </c>
      <c r="O131" s="16" t="s">
        <v>96</v>
      </c>
      <c r="P131" s="16" t="s">
        <v>141</v>
      </c>
      <c r="Q131" s="16" t="s">
        <v>145</v>
      </c>
      <c r="R131" s="16" t="s">
        <v>1938</v>
      </c>
      <c r="T131" s="20">
        <f t="shared" ref="T131:T194" si="20">IF($D$9=U131,T130+1,0)</f>
        <v>0</v>
      </c>
      <c r="U131" s="112" t="s">
        <v>159</v>
      </c>
      <c r="V131" s="112" t="s">
        <v>4315</v>
      </c>
      <c r="W131" s="112" t="s">
        <v>3956</v>
      </c>
    </row>
    <row r="132" spans="2:23" x14ac:dyDescent="0.2">
      <c r="B132" s="51" t="s">
        <v>3658</v>
      </c>
      <c r="C132" s="50" t="s">
        <v>3673</v>
      </c>
      <c r="D132" s="51" t="str">
        <f>IF(MOD4_6!AI26="","",MOD4_6!AI26)</f>
        <v/>
      </c>
      <c r="F132" s="128" t="str">
        <f t="shared" si="16"/>
        <v/>
      </c>
      <c r="I132" s="20">
        <f t="shared" si="17"/>
        <v>0</v>
      </c>
      <c r="J132" s="16" t="s">
        <v>1225</v>
      </c>
      <c r="K132" s="16" t="s">
        <v>1242</v>
      </c>
      <c r="M132" s="20" t="str">
        <f t="shared" si="18"/>
        <v>ANCASH CORONGO ACO</v>
      </c>
      <c r="N132" s="20">
        <f t="shared" si="19"/>
        <v>0</v>
      </c>
      <c r="O132" s="16" t="s">
        <v>96</v>
      </c>
      <c r="P132" s="16" t="s">
        <v>146</v>
      </c>
      <c r="Q132" s="16" t="s">
        <v>147</v>
      </c>
      <c r="R132" s="16" t="s">
        <v>1939</v>
      </c>
      <c r="T132" s="20">
        <f t="shared" si="20"/>
        <v>0</v>
      </c>
      <c r="U132" s="112" t="s">
        <v>159</v>
      </c>
      <c r="V132" s="112" t="s">
        <v>4316</v>
      </c>
      <c r="W132" s="112" t="s">
        <v>3981</v>
      </c>
    </row>
    <row r="133" spans="2:23" x14ac:dyDescent="0.2">
      <c r="B133" s="51" t="s">
        <v>3676</v>
      </c>
      <c r="C133" s="50" t="s">
        <v>3673</v>
      </c>
      <c r="D133" s="51" t="str">
        <f>IF(MOD4_6!AM26="","",MOD4_6!AM26)</f>
        <v/>
      </c>
      <c r="F133" s="128" t="str">
        <f t="shared" si="16"/>
        <v/>
      </c>
      <c r="I133" s="20">
        <f t="shared" si="17"/>
        <v>0</v>
      </c>
      <c r="J133" s="16" t="s">
        <v>1225</v>
      </c>
      <c r="K133" s="16" t="s">
        <v>1256</v>
      </c>
      <c r="M133" s="20" t="str">
        <f t="shared" si="18"/>
        <v>ANCASH CORONGO BAMBAS</v>
      </c>
      <c r="N133" s="20">
        <f t="shared" si="19"/>
        <v>0</v>
      </c>
      <c r="O133" s="16" t="s">
        <v>96</v>
      </c>
      <c r="P133" s="16" t="s">
        <v>146</v>
      </c>
      <c r="Q133" s="16" t="s">
        <v>148</v>
      </c>
      <c r="R133" s="16" t="s">
        <v>1940</v>
      </c>
      <c r="T133" s="20">
        <f t="shared" si="20"/>
        <v>0</v>
      </c>
      <c r="U133" s="112" t="s">
        <v>159</v>
      </c>
      <c r="V133" s="112" t="s">
        <v>4317</v>
      </c>
      <c r="W133" s="112" t="s">
        <v>3983</v>
      </c>
    </row>
    <row r="134" spans="2:23" x14ac:dyDescent="0.2">
      <c r="F134" s="128" t="str">
        <f t="shared" si="16"/>
        <v/>
      </c>
      <c r="I134" s="20">
        <f t="shared" si="17"/>
        <v>0</v>
      </c>
      <c r="J134" s="16" t="s">
        <v>1225</v>
      </c>
      <c r="K134" s="16" t="s">
        <v>1267</v>
      </c>
      <c r="M134" s="20" t="str">
        <f t="shared" si="18"/>
        <v>ANCASH CORONGO CORONGO</v>
      </c>
      <c r="N134" s="20">
        <f t="shared" si="19"/>
        <v>0</v>
      </c>
      <c r="O134" s="16" t="s">
        <v>96</v>
      </c>
      <c r="P134" s="16" t="s">
        <v>146</v>
      </c>
      <c r="Q134" s="16" t="s">
        <v>146</v>
      </c>
      <c r="R134" s="16" t="s">
        <v>1941</v>
      </c>
      <c r="T134" s="20">
        <f t="shared" si="20"/>
        <v>0</v>
      </c>
      <c r="U134" s="112" t="s">
        <v>159</v>
      </c>
      <c r="V134" s="112" t="s">
        <v>4318</v>
      </c>
      <c r="W134" s="112" t="s">
        <v>3993</v>
      </c>
    </row>
    <row r="135" spans="2:23" x14ac:dyDescent="0.2">
      <c r="B135" s="51" t="s">
        <v>3669</v>
      </c>
      <c r="C135" s="50" t="s">
        <v>3674</v>
      </c>
      <c r="D135" s="51" t="str">
        <f>IF(MOD4_6!AA29="","",MOD4_6!AA29)</f>
        <v/>
      </c>
      <c r="F135" s="128" t="str">
        <f t="shared" si="16"/>
        <v/>
      </c>
      <c r="I135" s="20">
        <f t="shared" si="17"/>
        <v>0</v>
      </c>
      <c r="J135" s="16" t="s">
        <v>1225</v>
      </c>
      <c r="K135" s="16" t="s">
        <v>1296</v>
      </c>
      <c r="M135" s="20" t="str">
        <f t="shared" si="18"/>
        <v>ANCASH CORONGO CUSCA</v>
      </c>
      <c r="N135" s="20">
        <f t="shared" si="19"/>
        <v>0</v>
      </c>
      <c r="O135" s="16" t="s">
        <v>96</v>
      </c>
      <c r="P135" s="16" t="s">
        <v>146</v>
      </c>
      <c r="Q135" s="16" t="s">
        <v>149</v>
      </c>
      <c r="R135" s="16" t="s">
        <v>1942</v>
      </c>
      <c r="T135" s="20">
        <f t="shared" si="20"/>
        <v>0</v>
      </c>
      <c r="U135" s="112" t="s">
        <v>159</v>
      </c>
      <c r="V135" s="112" t="s">
        <v>4319</v>
      </c>
      <c r="W135" s="112" t="s">
        <v>4020</v>
      </c>
    </row>
    <row r="136" spans="2:23" x14ac:dyDescent="0.2">
      <c r="B136" s="51" t="s">
        <v>3657</v>
      </c>
      <c r="C136" s="50" t="s">
        <v>3674</v>
      </c>
      <c r="D136" s="51" t="str">
        <f>IF(MOD4_6!AE29="","",MOD4_6!AE29)</f>
        <v/>
      </c>
      <c r="F136" s="128" t="str">
        <f t="shared" si="16"/>
        <v/>
      </c>
      <c r="I136" s="20">
        <f t="shared" si="17"/>
        <v>0</v>
      </c>
      <c r="J136" s="16" t="s">
        <v>1225</v>
      </c>
      <c r="K136" s="16" t="s">
        <v>1225</v>
      </c>
      <c r="M136" s="20" t="str">
        <f t="shared" si="18"/>
        <v>ANCASH CORONGO LA PAMPA</v>
      </c>
      <c r="N136" s="20">
        <f t="shared" si="19"/>
        <v>0</v>
      </c>
      <c r="O136" s="16" t="s">
        <v>96</v>
      </c>
      <c r="P136" s="16" t="s">
        <v>146</v>
      </c>
      <c r="Q136" s="16" t="s">
        <v>150</v>
      </c>
      <c r="R136" s="16" t="s">
        <v>1943</v>
      </c>
      <c r="T136" s="20">
        <f t="shared" si="20"/>
        <v>0</v>
      </c>
      <c r="U136" s="112" t="s">
        <v>159</v>
      </c>
      <c r="V136" s="112" t="s">
        <v>4320</v>
      </c>
      <c r="W136" s="112" t="s">
        <v>4024</v>
      </c>
    </row>
    <row r="137" spans="2:23" x14ac:dyDescent="0.2">
      <c r="B137" s="51" t="s">
        <v>3658</v>
      </c>
      <c r="C137" s="50" t="s">
        <v>3674</v>
      </c>
      <c r="D137" s="51" t="str">
        <f>IF(MOD4_6!AI29="","",MOD4_6!AI29)</f>
        <v/>
      </c>
      <c r="F137" s="128" t="str">
        <f t="shared" si="16"/>
        <v/>
      </c>
      <c r="I137" s="20">
        <f t="shared" si="17"/>
        <v>0</v>
      </c>
      <c r="J137" s="16" t="s">
        <v>1225</v>
      </c>
      <c r="K137" s="16" t="s">
        <v>1340</v>
      </c>
      <c r="M137" s="20" t="str">
        <f t="shared" si="18"/>
        <v>ANCASH CORONGO YANAC</v>
      </c>
      <c r="N137" s="20">
        <f t="shared" si="19"/>
        <v>0</v>
      </c>
      <c r="O137" s="16" t="s">
        <v>96</v>
      </c>
      <c r="P137" s="16" t="s">
        <v>146</v>
      </c>
      <c r="Q137" s="16" t="s">
        <v>151</v>
      </c>
      <c r="R137" s="16" t="s">
        <v>1944</v>
      </c>
      <c r="T137" s="20">
        <f t="shared" si="20"/>
        <v>0</v>
      </c>
      <c r="U137" s="112" t="s">
        <v>159</v>
      </c>
      <c r="V137" s="112" t="s">
        <v>4321</v>
      </c>
      <c r="W137" s="112" t="s">
        <v>4047</v>
      </c>
    </row>
    <row r="138" spans="2:23" x14ac:dyDescent="0.2">
      <c r="B138" s="51" t="s">
        <v>3676</v>
      </c>
      <c r="C138" s="50" t="s">
        <v>3674</v>
      </c>
      <c r="D138" s="51" t="str">
        <f>IF(MOD4_6!AM29="","",MOD4_6!AM29)</f>
        <v/>
      </c>
      <c r="F138" s="128" t="str">
        <f t="shared" si="16"/>
        <v/>
      </c>
      <c r="I138" s="20">
        <f t="shared" si="17"/>
        <v>0</v>
      </c>
      <c r="J138" s="16" t="s">
        <v>1225</v>
      </c>
      <c r="K138" s="16" t="s">
        <v>1089</v>
      </c>
      <c r="M138" s="20" t="str">
        <f t="shared" si="18"/>
        <v>ANCASH CORONGO YUPAN</v>
      </c>
      <c r="N138" s="20">
        <f t="shared" si="19"/>
        <v>0</v>
      </c>
      <c r="O138" s="16" t="s">
        <v>96</v>
      </c>
      <c r="P138" s="16" t="s">
        <v>146</v>
      </c>
      <c r="Q138" s="16" t="s">
        <v>152</v>
      </c>
      <c r="R138" s="16" t="s">
        <v>1945</v>
      </c>
      <c r="T138" s="20">
        <f t="shared" si="20"/>
        <v>0</v>
      </c>
      <c r="U138" s="112" t="s">
        <v>1191</v>
      </c>
      <c r="V138" s="112" t="s">
        <v>4322</v>
      </c>
      <c r="W138" s="112" t="s">
        <v>3902</v>
      </c>
    </row>
    <row r="139" spans="2:23" x14ac:dyDescent="0.2">
      <c r="F139" s="128" t="str">
        <f t="shared" si="16"/>
        <v/>
      </c>
      <c r="I139" s="20">
        <f t="shared" si="17"/>
        <v>0</v>
      </c>
      <c r="J139" s="16" t="s">
        <v>1375</v>
      </c>
      <c r="K139" s="16" t="s">
        <v>1376</v>
      </c>
      <c r="M139" s="20" t="str">
        <f t="shared" si="18"/>
        <v>ANCASH HUARAZ COCHABAMBA</v>
      </c>
      <c r="N139" s="20">
        <f t="shared" si="19"/>
        <v>0</v>
      </c>
      <c r="O139" s="16" t="s">
        <v>96</v>
      </c>
      <c r="P139" s="16" t="s">
        <v>153</v>
      </c>
      <c r="Q139" s="16" t="s">
        <v>154</v>
      </c>
      <c r="R139" s="16" t="s">
        <v>1946</v>
      </c>
      <c r="T139" s="20">
        <f t="shared" si="20"/>
        <v>0</v>
      </c>
      <c r="U139" s="112" t="s">
        <v>1191</v>
      </c>
      <c r="V139" s="112" t="s">
        <v>4323</v>
      </c>
      <c r="W139" s="112" t="s">
        <v>4324</v>
      </c>
    </row>
    <row r="140" spans="2:23" x14ac:dyDescent="0.2">
      <c r="B140" s="51" t="s">
        <v>3669</v>
      </c>
      <c r="C140" s="50" t="s">
        <v>3675</v>
      </c>
      <c r="D140" s="51" t="str">
        <f>IF(MOD4_6!AA32="","",MOD4_6!AA32)</f>
        <v/>
      </c>
      <c r="F140" s="128" t="str">
        <f t="shared" si="16"/>
        <v/>
      </c>
      <c r="I140" s="20">
        <f t="shared" si="17"/>
        <v>0</v>
      </c>
      <c r="J140" s="16" t="s">
        <v>1375</v>
      </c>
      <c r="K140" s="16" t="s">
        <v>1381</v>
      </c>
      <c r="M140" s="20" t="str">
        <f t="shared" si="18"/>
        <v>ANCASH HUARAZ COLCABAMBA</v>
      </c>
      <c r="N140" s="20">
        <f t="shared" si="19"/>
        <v>0</v>
      </c>
      <c r="O140" s="16" t="s">
        <v>96</v>
      </c>
      <c r="P140" s="16" t="s">
        <v>153</v>
      </c>
      <c r="Q140" s="16" t="s">
        <v>155</v>
      </c>
      <c r="R140" s="16" t="s">
        <v>1947</v>
      </c>
      <c r="T140" s="20">
        <f t="shared" si="20"/>
        <v>0</v>
      </c>
      <c r="U140" s="112" t="s">
        <v>1191</v>
      </c>
      <c r="V140" s="112" t="s">
        <v>4325</v>
      </c>
      <c r="W140" s="112" t="s">
        <v>3963</v>
      </c>
    </row>
    <row r="141" spans="2:23" x14ac:dyDescent="0.2">
      <c r="B141" s="51" t="s">
        <v>3657</v>
      </c>
      <c r="C141" s="50" t="s">
        <v>3675</v>
      </c>
      <c r="D141" s="51" t="str">
        <f>IF(MOD4_6!AE32="","",MOD4_6!AE32)</f>
        <v/>
      </c>
      <c r="F141" s="128" t="str">
        <f t="shared" si="16"/>
        <v/>
      </c>
      <c r="I141" s="20">
        <f t="shared" si="17"/>
        <v>0</v>
      </c>
      <c r="J141" s="16" t="s">
        <v>1375</v>
      </c>
      <c r="K141" s="16" t="s">
        <v>1375</v>
      </c>
      <c r="M141" s="20" t="str">
        <f t="shared" si="18"/>
        <v>ANCASH HUARAZ HUANCHAY</v>
      </c>
      <c r="N141" s="20">
        <f t="shared" si="19"/>
        <v>0</v>
      </c>
      <c r="O141" s="16" t="s">
        <v>96</v>
      </c>
      <c r="P141" s="16" t="s">
        <v>153</v>
      </c>
      <c r="Q141" s="16" t="s">
        <v>156</v>
      </c>
      <c r="R141" s="16" t="s">
        <v>1948</v>
      </c>
      <c r="T141" s="20">
        <f t="shared" si="20"/>
        <v>0</v>
      </c>
      <c r="U141" s="112" t="s">
        <v>1225</v>
      </c>
      <c r="V141" s="112" t="s">
        <v>4196</v>
      </c>
      <c r="W141" s="112" t="s">
        <v>3841</v>
      </c>
    </row>
    <row r="142" spans="2:23" x14ac:dyDescent="0.2">
      <c r="B142" s="51" t="s">
        <v>3658</v>
      </c>
      <c r="C142" s="50" t="s">
        <v>3675</v>
      </c>
      <c r="D142" s="51" t="str">
        <f>IF(MOD4_6!AI32="","",MOD4_6!AI32)</f>
        <v/>
      </c>
      <c r="F142" s="128" t="str">
        <f t="shared" si="16"/>
        <v/>
      </c>
      <c r="I142" s="20">
        <f t="shared" si="17"/>
        <v>0</v>
      </c>
      <c r="J142" s="16" t="s">
        <v>1375</v>
      </c>
      <c r="K142" s="16" t="s">
        <v>608</v>
      </c>
      <c r="M142" s="20" t="str">
        <f t="shared" si="18"/>
        <v>ANCASH HUARAZ HUARAZ</v>
      </c>
      <c r="N142" s="20">
        <f t="shared" si="19"/>
        <v>0</v>
      </c>
      <c r="O142" s="16" t="s">
        <v>96</v>
      </c>
      <c r="P142" s="16" t="s">
        <v>153</v>
      </c>
      <c r="Q142" s="16" t="s">
        <v>153</v>
      </c>
      <c r="R142" s="16" t="s">
        <v>1949</v>
      </c>
      <c r="T142" s="20">
        <f t="shared" si="20"/>
        <v>0</v>
      </c>
      <c r="U142" s="112" t="s">
        <v>1225</v>
      </c>
      <c r="V142" s="112" t="s">
        <v>4197</v>
      </c>
      <c r="W142" s="112" t="s">
        <v>3843</v>
      </c>
    </row>
    <row r="143" spans="2:23" x14ac:dyDescent="0.2">
      <c r="B143" s="51" t="s">
        <v>3676</v>
      </c>
      <c r="C143" s="50" t="s">
        <v>3675</v>
      </c>
      <c r="D143" s="51" t="str">
        <f>IF(MOD4_6!AM32="","",MOD4_6!AM32)</f>
        <v/>
      </c>
      <c r="F143" s="128" t="str">
        <f t="shared" si="16"/>
        <v/>
      </c>
      <c r="I143" s="20">
        <f t="shared" si="17"/>
        <v>0</v>
      </c>
      <c r="J143" s="16" t="s">
        <v>1375</v>
      </c>
      <c r="K143" s="16" t="s">
        <v>1394</v>
      </c>
      <c r="M143" s="20" t="str">
        <f t="shared" si="18"/>
        <v>ANCASH HUARAZ INDEPENDENCIA</v>
      </c>
      <c r="N143" s="20">
        <f t="shared" si="19"/>
        <v>0</v>
      </c>
      <c r="O143" s="16" t="s">
        <v>96</v>
      </c>
      <c r="P143" s="16" t="s">
        <v>153</v>
      </c>
      <c r="Q143" s="16" t="s">
        <v>157</v>
      </c>
      <c r="R143" s="16" t="s">
        <v>1950</v>
      </c>
      <c r="T143" s="20">
        <f t="shared" si="20"/>
        <v>0</v>
      </c>
      <c r="U143" s="112" t="s">
        <v>1225</v>
      </c>
      <c r="V143" s="112" t="s">
        <v>4198</v>
      </c>
      <c r="W143" s="112" t="s">
        <v>4199</v>
      </c>
    </row>
    <row r="144" spans="2:23" x14ac:dyDescent="0.2">
      <c r="F144" s="128" t="str">
        <f t="shared" si="16"/>
        <v/>
      </c>
      <c r="I144" s="20">
        <f t="shared" si="17"/>
        <v>0</v>
      </c>
      <c r="J144" s="16" t="s">
        <v>1375</v>
      </c>
      <c r="K144" s="16" t="s">
        <v>1404</v>
      </c>
      <c r="M144" s="20" t="str">
        <f t="shared" si="18"/>
        <v>ANCASH HUARAZ JANGAS</v>
      </c>
      <c r="N144" s="20">
        <f t="shared" si="19"/>
        <v>0</v>
      </c>
      <c r="O144" s="16" t="s">
        <v>96</v>
      </c>
      <c r="P144" s="16" t="s">
        <v>153</v>
      </c>
      <c r="Q144" s="16" t="s">
        <v>158</v>
      </c>
      <c r="R144" s="16" t="s">
        <v>1951</v>
      </c>
      <c r="T144" s="20">
        <f t="shared" si="20"/>
        <v>0</v>
      </c>
      <c r="U144" s="112" t="s">
        <v>1225</v>
      </c>
      <c r="V144" s="112" t="s">
        <v>4200</v>
      </c>
      <c r="W144" s="112" t="s">
        <v>3846</v>
      </c>
    </row>
    <row r="145" spans="2:23" x14ac:dyDescent="0.2">
      <c r="B145" s="51" t="s">
        <v>4077</v>
      </c>
      <c r="D145" s="51" t="str">
        <f>IF(MOD4_6!K35="","",MOD4_6!K35)</f>
        <v/>
      </c>
      <c r="F145" s="128" t="str">
        <f t="shared" si="16"/>
        <v/>
      </c>
      <c r="I145" s="20">
        <f t="shared" si="17"/>
        <v>0</v>
      </c>
      <c r="J145" s="16" t="s">
        <v>1375</v>
      </c>
      <c r="K145" s="16" t="s">
        <v>1408</v>
      </c>
      <c r="M145" s="20" t="str">
        <f t="shared" si="18"/>
        <v>ANCASH HUARAZ LA LIBERTAD</v>
      </c>
      <c r="N145" s="20">
        <f t="shared" si="19"/>
        <v>0</v>
      </c>
      <c r="O145" s="16" t="s">
        <v>96</v>
      </c>
      <c r="P145" s="16" t="s">
        <v>153</v>
      </c>
      <c r="Q145" s="16" t="s">
        <v>159</v>
      </c>
      <c r="R145" s="16" t="s">
        <v>1952</v>
      </c>
      <c r="T145" s="20">
        <f t="shared" si="20"/>
        <v>0</v>
      </c>
      <c r="U145" s="112" t="s">
        <v>1225</v>
      </c>
      <c r="V145" s="112" t="s">
        <v>4201</v>
      </c>
      <c r="W145" s="112" t="s">
        <v>3847</v>
      </c>
    </row>
    <row r="146" spans="2:23" x14ac:dyDescent="0.2">
      <c r="B146" s="51" t="s">
        <v>3669</v>
      </c>
      <c r="C146" s="50" t="s">
        <v>4067</v>
      </c>
      <c r="D146" s="51" t="str">
        <f>IF(MOD4_6!AA35="","",MOD4_6!AA35)</f>
        <v/>
      </c>
      <c r="F146" s="128" t="str">
        <f t="shared" si="16"/>
        <v/>
      </c>
      <c r="I146" s="20">
        <f t="shared" si="17"/>
        <v>0</v>
      </c>
      <c r="J146" s="16" t="s">
        <v>1375</v>
      </c>
      <c r="K146" s="16" t="s">
        <v>1419</v>
      </c>
      <c r="M146" s="20" t="str">
        <f t="shared" si="18"/>
        <v>ANCASH HUARAZ OLLEROS</v>
      </c>
      <c r="N146" s="20">
        <f t="shared" si="19"/>
        <v>0</v>
      </c>
      <c r="O146" s="16" t="s">
        <v>96</v>
      </c>
      <c r="P146" s="16" t="s">
        <v>153</v>
      </c>
      <c r="Q146" s="16" t="s">
        <v>42</v>
      </c>
      <c r="R146" s="16" t="s">
        <v>1953</v>
      </c>
      <c r="T146" s="20">
        <f t="shared" si="20"/>
        <v>0</v>
      </c>
      <c r="U146" s="112" t="s">
        <v>1225</v>
      </c>
      <c r="V146" s="112" t="s">
        <v>4202</v>
      </c>
      <c r="W146" s="112" t="s">
        <v>3848</v>
      </c>
    </row>
    <row r="147" spans="2:23" x14ac:dyDescent="0.2">
      <c r="B147" s="51" t="s">
        <v>3657</v>
      </c>
      <c r="C147" s="50" t="s">
        <v>4067</v>
      </c>
      <c r="D147" s="51" t="str">
        <f>IF(MOD4_6!AE35="","",MOD4_6!AE35)</f>
        <v/>
      </c>
      <c r="F147" s="128" t="str">
        <f t="shared" si="16"/>
        <v/>
      </c>
      <c r="I147" s="20">
        <f t="shared" si="17"/>
        <v>0</v>
      </c>
      <c r="J147" s="16" t="s">
        <v>1425</v>
      </c>
      <c r="K147" s="16" t="s">
        <v>1426</v>
      </c>
      <c r="M147" s="20" t="str">
        <f t="shared" si="18"/>
        <v>ANCASH HUARAZ PAMPAS GRANDE</v>
      </c>
      <c r="N147" s="20">
        <f t="shared" si="19"/>
        <v>0</v>
      </c>
      <c r="O147" s="16" t="s">
        <v>96</v>
      </c>
      <c r="P147" s="16" t="s">
        <v>153</v>
      </c>
      <c r="Q147" s="16" t="s">
        <v>160</v>
      </c>
      <c r="R147" s="16" t="s">
        <v>1954</v>
      </c>
      <c r="T147" s="20">
        <f t="shared" si="20"/>
        <v>0</v>
      </c>
      <c r="U147" s="112" t="s">
        <v>1225</v>
      </c>
      <c r="V147" s="112" t="s">
        <v>4203</v>
      </c>
      <c r="W147" s="112" t="s">
        <v>3849</v>
      </c>
    </row>
    <row r="148" spans="2:23" x14ac:dyDescent="0.2">
      <c r="B148" s="51" t="s">
        <v>3658</v>
      </c>
      <c r="C148" s="50" t="s">
        <v>4067</v>
      </c>
      <c r="D148" s="51" t="str">
        <f>IF(MOD4_6!AI35="","",MOD4_6!AI35)</f>
        <v/>
      </c>
      <c r="F148" s="128" t="str">
        <f t="shared" si="16"/>
        <v/>
      </c>
      <c r="I148" s="20">
        <f t="shared" si="17"/>
        <v>0</v>
      </c>
      <c r="J148" s="16" t="s">
        <v>1425</v>
      </c>
      <c r="K148" s="16" t="s">
        <v>1429</v>
      </c>
      <c r="M148" s="20" t="str">
        <f t="shared" si="18"/>
        <v>ANCASH HUARAZ PARIACOTO</v>
      </c>
      <c r="N148" s="20">
        <f t="shared" si="19"/>
        <v>0</v>
      </c>
      <c r="O148" s="16" t="s">
        <v>96</v>
      </c>
      <c r="P148" s="16" t="s">
        <v>153</v>
      </c>
      <c r="Q148" s="16" t="s">
        <v>161</v>
      </c>
      <c r="R148" s="16" t="s">
        <v>1955</v>
      </c>
      <c r="T148" s="20">
        <f t="shared" si="20"/>
        <v>0</v>
      </c>
      <c r="U148" s="112" t="s">
        <v>1225</v>
      </c>
      <c r="V148" s="112" t="s">
        <v>4379</v>
      </c>
      <c r="W148" s="112" t="s">
        <v>4380</v>
      </c>
    </row>
    <row r="149" spans="2:23" x14ac:dyDescent="0.2">
      <c r="B149" s="51" t="s">
        <v>3676</v>
      </c>
      <c r="C149" s="50" t="s">
        <v>4067</v>
      </c>
      <c r="D149" s="51" t="str">
        <f>IF(MOD4_6!AM35="","",MOD4_6!AM35)</f>
        <v/>
      </c>
      <c r="F149" s="128" t="str">
        <f t="shared" si="16"/>
        <v/>
      </c>
      <c r="I149" s="20">
        <f t="shared" si="17"/>
        <v>0</v>
      </c>
      <c r="J149" s="16" t="s">
        <v>1425</v>
      </c>
      <c r="K149" s="16" t="s">
        <v>1432</v>
      </c>
      <c r="M149" s="20" t="str">
        <f t="shared" si="18"/>
        <v>ANCASH HUARAZ PIRA</v>
      </c>
      <c r="N149" s="20">
        <f t="shared" si="19"/>
        <v>0</v>
      </c>
      <c r="O149" s="16" t="s">
        <v>96</v>
      </c>
      <c r="P149" s="16" t="s">
        <v>153</v>
      </c>
      <c r="Q149" s="16" t="s">
        <v>162</v>
      </c>
      <c r="R149" s="16" t="s">
        <v>1956</v>
      </c>
      <c r="T149" s="20">
        <f t="shared" si="20"/>
        <v>0</v>
      </c>
      <c r="U149" s="112" t="s">
        <v>1225</v>
      </c>
      <c r="V149" s="112" t="s">
        <v>4381</v>
      </c>
      <c r="W149" s="112" t="s">
        <v>3850</v>
      </c>
    </row>
    <row r="150" spans="2:23" x14ac:dyDescent="0.2">
      <c r="B150" s="51"/>
      <c r="F150" s="128" t="str">
        <f t="shared" si="16"/>
        <v/>
      </c>
      <c r="I150" s="20">
        <f t="shared" si="17"/>
        <v>0</v>
      </c>
      <c r="J150" s="16" t="s">
        <v>1436</v>
      </c>
      <c r="K150" s="16" t="s">
        <v>1437</v>
      </c>
      <c r="M150" s="20" t="str">
        <f t="shared" si="18"/>
        <v>ANCASH HUARAZ TARICA</v>
      </c>
      <c r="N150" s="20">
        <f t="shared" si="19"/>
        <v>0</v>
      </c>
      <c r="O150" s="16" t="s">
        <v>96</v>
      </c>
      <c r="P150" s="16" t="s">
        <v>153</v>
      </c>
      <c r="Q150" s="16" t="s">
        <v>163</v>
      </c>
      <c r="R150" s="16" t="s">
        <v>1957</v>
      </c>
      <c r="T150" s="20">
        <f t="shared" si="20"/>
        <v>0</v>
      </c>
      <c r="U150" s="112" t="s">
        <v>1225</v>
      </c>
      <c r="V150" s="112" t="s">
        <v>4382</v>
      </c>
      <c r="W150" s="112" t="s">
        <v>3851</v>
      </c>
    </row>
    <row r="151" spans="2:23" x14ac:dyDescent="0.2">
      <c r="B151" s="51" t="s">
        <v>4077</v>
      </c>
      <c r="D151" s="51" t="str">
        <f>IF(MOD4_6!K38="","",MOD4_6!K38)</f>
        <v/>
      </c>
      <c r="F151" s="128" t="str">
        <f t="shared" si="16"/>
        <v/>
      </c>
      <c r="I151" s="20">
        <f t="shared" si="17"/>
        <v>0</v>
      </c>
      <c r="J151" s="16" t="s">
        <v>1436</v>
      </c>
      <c r="K151" s="16" t="s">
        <v>1449</v>
      </c>
      <c r="M151" s="20" t="str">
        <f t="shared" si="18"/>
        <v>ANCASH HUARI ANRA</v>
      </c>
      <c r="N151" s="20">
        <f t="shared" si="19"/>
        <v>0</v>
      </c>
      <c r="O151" s="16" t="s">
        <v>96</v>
      </c>
      <c r="P151" s="16" t="s">
        <v>164</v>
      </c>
      <c r="Q151" s="16" t="s">
        <v>165</v>
      </c>
      <c r="R151" s="16" t="s">
        <v>1958</v>
      </c>
      <c r="T151" s="20">
        <f t="shared" si="20"/>
        <v>0</v>
      </c>
      <c r="U151" s="112" t="s">
        <v>1225</v>
      </c>
      <c r="V151" s="112" t="s">
        <v>4383</v>
      </c>
      <c r="W151" s="112" t="s">
        <v>3852</v>
      </c>
    </row>
    <row r="152" spans="2:23" x14ac:dyDescent="0.2">
      <c r="B152" s="51" t="s">
        <v>3669</v>
      </c>
      <c r="C152" s="50" t="s">
        <v>4068</v>
      </c>
      <c r="D152" s="51" t="str">
        <f>IF(MOD4_6!AA38="","",MOD4_6!AA38)</f>
        <v/>
      </c>
      <c r="F152" s="128" t="str">
        <f t="shared" si="16"/>
        <v/>
      </c>
      <c r="I152" s="20">
        <f t="shared" si="17"/>
        <v>0</v>
      </c>
      <c r="J152" s="16" t="s">
        <v>1436</v>
      </c>
      <c r="K152" s="16" t="s">
        <v>1452</v>
      </c>
      <c r="M152" s="20" t="str">
        <f t="shared" si="18"/>
        <v>ANCASH HUARI CAJAY</v>
      </c>
      <c r="N152" s="20">
        <f t="shared" si="19"/>
        <v>0</v>
      </c>
      <c r="O152" s="16" t="s">
        <v>96</v>
      </c>
      <c r="P152" s="16" t="s">
        <v>164</v>
      </c>
      <c r="Q152" s="16" t="s">
        <v>166</v>
      </c>
      <c r="R152" s="16" t="s">
        <v>1959</v>
      </c>
      <c r="T152" s="20">
        <f t="shared" si="20"/>
        <v>0</v>
      </c>
      <c r="U152" s="112" t="s">
        <v>1225</v>
      </c>
      <c r="V152" s="112" t="s">
        <v>4384</v>
      </c>
      <c r="W152" s="112" t="s">
        <v>3853</v>
      </c>
    </row>
    <row r="153" spans="2:23" x14ac:dyDescent="0.2">
      <c r="B153" s="51" t="s">
        <v>3657</v>
      </c>
      <c r="C153" s="50" t="s">
        <v>4068</v>
      </c>
      <c r="D153" s="51" t="str">
        <f>IF(MOD4_6!AE38="","",MOD4_6!AE38)</f>
        <v/>
      </c>
      <c r="F153" s="128" t="str">
        <f t="shared" si="16"/>
        <v/>
      </c>
      <c r="I153" s="20">
        <f t="shared" si="17"/>
        <v>0</v>
      </c>
      <c r="J153" s="16" t="s">
        <v>1457</v>
      </c>
      <c r="K153" s="16" t="s">
        <v>986</v>
      </c>
      <c r="M153" s="20" t="str">
        <f t="shared" si="18"/>
        <v>ANCASH HUARI CHAVIN DE HUANTAR</v>
      </c>
      <c r="N153" s="20">
        <f t="shared" si="19"/>
        <v>0</v>
      </c>
      <c r="O153" s="16" t="s">
        <v>96</v>
      </c>
      <c r="P153" s="16" t="s">
        <v>164</v>
      </c>
      <c r="Q153" s="16" t="s">
        <v>167</v>
      </c>
      <c r="R153" s="16" t="s">
        <v>1960</v>
      </c>
      <c r="T153" s="20">
        <f t="shared" si="20"/>
        <v>0</v>
      </c>
      <c r="U153" s="112" t="s">
        <v>1225</v>
      </c>
      <c r="V153" s="112" t="s">
        <v>4385</v>
      </c>
      <c r="W153" s="112" t="s">
        <v>3854</v>
      </c>
    </row>
    <row r="154" spans="2:23" x14ac:dyDescent="0.2">
      <c r="B154" s="51" t="s">
        <v>3658</v>
      </c>
      <c r="C154" s="50" t="s">
        <v>4068</v>
      </c>
      <c r="D154" s="51" t="str">
        <f>IF(MOD4_6!AI38="","",MOD4_6!AI38)</f>
        <v/>
      </c>
      <c r="F154" s="128" t="str">
        <f t="shared" si="16"/>
        <v/>
      </c>
      <c r="I154" s="20">
        <f t="shared" si="17"/>
        <v>0</v>
      </c>
      <c r="J154" s="16" t="s">
        <v>1457</v>
      </c>
      <c r="K154" s="16" t="s">
        <v>1465</v>
      </c>
      <c r="M154" s="20" t="str">
        <f t="shared" si="18"/>
        <v>ANCASH HUARI HUACACHI</v>
      </c>
      <c r="N154" s="20">
        <f t="shared" si="19"/>
        <v>0</v>
      </c>
      <c r="O154" s="16" t="s">
        <v>96</v>
      </c>
      <c r="P154" s="16" t="s">
        <v>164</v>
      </c>
      <c r="Q154" s="16" t="s">
        <v>168</v>
      </c>
      <c r="R154" s="16" t="s">
        <v>1961</v>
      </c>
      <c r="T154" s="20">
        <f t="shared" si="20"/>
        <v>0</v>
      </c>
      <c r="U154" s="112" t="s">
        <v>1225</v>
      </c>
      <c r="V154" s="112" t="s">
        <v>4386</v>
      </c>
      <c r="W154" s="112" t="s">
        <v>3855</v>
      </c>
    </row>
    <row r="155" spans="2:23" x14ac:dyDescent="0.2">
      <c r="B155" s="51" t="s">
        <v>3676</v>
      </c>
      <c r="C155" s="50" t="s">
        <v>4068</v>
      </c>
      <c r="D155" s="51" t="str">
        <f>IF(MOD4_6!AM38="","",MOD4_6!AM38)</f>
        <v/>
      </c>
      <c r="F155" s="128" t="str">
        <f t="shared" si="16"/>
        <v/>
      </c>
      <c r="I155" s="20">
        <f t="shared" si="17"/>
        <v>0</v>
      </c>
      <c r="J155" s="16" t="s">
        <v>1457</v>
      </c>
      <c r="K155" s="16" t="s">
        <v>1457</v>
      </c>
      <c r="M155" s="20" t="str">
        <f t="shared" si="18"/>
        <v>ANCASH HUARI HUACCHIS</v>
      </c>
      <c r="N155" s="20">
        <f t="shared" si="19"/>
        <v>0</v>
      </c>
      <c r="O155" s="16" t="s">
        <v>96</v>
      </c>
      <c r="P155" s="16" t="s">
        <v>164</v>
      </c>
      <c r="Q155" s="16" t="s">
        <v>169</v>
      </c>
      <c r="R155" s="16" t="s">
        <v>1962</v>
      </c>
      <c r="T155" s="20">
        <f t="shared" si="20"/>
        <v>0</v>
      </c>
      <c r="U155" s="112" t="s">
        <v>1225</v>
      </c>
      <c r="V155" s="112" t="s">
        <v>4387</v>
      </c>
      <c r="W155" s="112" t="s">
        <v>3856</v>
      </c>
    </row>
    <row r="156" spans="2:23" x14ac:dyDescent="0.2">
      <c r="B156" s="51"/>
      <c r="F156" s="128" t="str">
        <f t="shared" si="16"/>
        <v/>
      </c>
      <c r="I156" s="20">
        <f t="shared" si="17"/>
        <v>0</v>
      </c>
      <c r="J156" s="16" t="s">
        <v>1483</v>
      </c>
      <c r="K156" s="16" t="s">
        <v>1484</v>
      </c>
      <c r="M156" s="20" t="str">
        <f t="shared" si="18"/>
        <v>ANCASH HUARI HUACHIS</v>
      </c>
      <c r="N156" s="20">
        <f t="shared" si="19"/>
        <v>0</v>
      </c>
      <c r="O156" s="16" t="s">
        <v>96</v>
      </c>
      <c r="P156" s="16" t="s">
        <v>164</v>
      </c>
      <c r="Q156" s="16" t="s">
        <v>170</v>
      </c>
      <c r="R156" s="16" t="s">
        <v>1963</v>
      </c>
      <c r="T156" s="20">
        <f t="shared" si="20"/>
        <v>0</v>
      </c>
      <c r="U156" s="112" t="s">
        <v>1225</v>
      </c>
      <c r="V156" s="112" t="s">
        <v>4388</v>
      </c>
      <c r="W156" s="112" t="s">
        <v>3857</v>
      </c>
    </row>
    <row r="157" spans="2:23" x14ac:dyDescent="0.2">
      <c r="B157" s="51" t="s">
        <v>4077</v>
      </c>
      <c r="D157" s="51" t="str">
        <f>IF(MOD4_6!K41="","",MOD4_6!K41)</f>
        <v/>
      </c>
      <c r="F157" s="128" t="str">
        <f t="shared" si="16"/>
        <v/>
      </c>
      <c r="I157" s="20">
        <f t="shared" si="17"/>
        <v>0</v>
      </c>
      <c r="J157" s="16" t="s">
        <v>1483</v>
      </c>
      <c r="K157" s="16" t="s">
        <v>1468</v>
      </c>
      <c r="M157" s="20" t="str">
        <f t="shared" si="18"/>
        <v>ANCASH HUARI HUANTAR</v>
      </c>
      <c r="N157" s="20">
        <f t="shared" si="19"/>
        <v>0</v>
      </c>
      <c r="O157" s="16" t="s">
        <v>96</v>
      </c>
      <c r="P157" s="16" t="s">
        <v>164</v>
      </c>
      <c r="Q157" s="16" t="s">
        <v>171</v>
      </c>
      <c r="R157" s="16" t="s">
        <v>1964</v>
      </c>
      <c r="T157" s="20">
        <f t="shared" si="20"/>
        <v>0</v>
      </c>
      <c r="U157" s="112" t="s">
        <v>690</v>
      </c>
      <c r="V157" s="112" t="s">
        <v>4389</v>
      </c>
      <c r="W157" s="112" t="s">
        <v>4390</v>
      </c>
    </row>
    <row r="158" spans="2:23" x14ac:dyDescent="0.2">
      <c r="B158" s="51" t="s">
        <v>3669</v>
      </c>
      <c r="C158" s="50" t="s">
        <v>4069</v>
      </c>
      <c r="D158" s="51" t="str">
        <f>IF(MOD4_6!AA41="","",MOD4_6!AA41)</f>
        <v/>
      </c>
      <c r="F158" s="128" t="str">
        <f t="shared" si="16"/>
        <v/>
      </c>
      <c r="I158" s="20">
        <f t="shared" si="17"/>
        <v>0</v>
      </c>
      <c r="J158" s="16" t="s">
        <v>1483</v>
      </c>
      <c r="K158" s="16" t="s">
        <v>1500</v>
      </c>
      <c r="M158" s="20" t="str">
        <f t="shared" si="18"/>
        <v>ANCASH HUARI HUARI</v>
      </c>
      <c r="N158" s="20">
        <f t="shared" si="19"/>
        <v>0</v>
      </c>
      <c r="O158" s="16" t="s">
        <v>96</v>
      </c>
      <c r="P158" s="16" t="s">
        <v>164</v>
      </c>
      <c r="Q158" s="16" t="s">
        <v>164</v>
      </c>
      <c r="R158" s="16" t="s">
        <v>1965</v>
      </c>
      <c r="T158" s="20">
        <f t="shared" si="20"/>
        <v>0</v>
      </c>
      <c r="U158" s="112" t="s">
        <v>690</v>
      </c>
      <c r="V158" s="112" t="s">
        <v>4391</v>
      </c>
      <c r="W158" s="112" t="s">
        <v>4044</v>
      </c>
    </row>
    <row r="159" spans="2:23" x14ac:dyDescent="0.2">
      <c r="B159" s="51" t="s">
        <v>3657</v>
      </c>
      <c r="C159" s="50" t="s">
        <v>4069</v>
      </c>
      <c r="D159" s="51" t="str">
        <f>IF(MOD4_6!AE41="","",MOD4_6!AE41)</f>
        <v/>
      </c>
      <c r="F159" s="128" t="str">
        <f t="shared" ref="F159:F205" si="21">IF(D159="SI",E159,"")</f>
        <v/>
      </c>
      <c r="I159" s="20">
        <f t="shared" si="17"/>
        <v>0</v>
      </c>
      <c r="J159" s="16" t="s">
        <v>1483</v>
      </c>
      <c r="K159" s="16" t="s">
        <v>1509</v>
      </c>
      <c r="M159" s="20" t="str">
        <f t="shared" si="18"/>
        <v>ANCASH HUARI MASIN</v>
      </c>
      <c r="N159" s="20">
        <f t="shared" si="19"/>
        <v>0</v>
      </c>
      <c r="O159" s="16" t="s">
        <v>96</v>
      </c>
      <c r="P159" s="16" t="s">
        <v>164</v>
      </c>
      <c r="Q159" s="16" t="s">
        <v>172</v>
      </c>
      <c r="R159" s="16" t="s">
        <v>1966</v>
      </c>
      <c r="T159" s="20">
        <f t="shared" si="20"/>
        <v>0</v>
      </c>
      <c r="U159" s="112" t="s">
        <v>1375</v>
      </c>
      <c r="V159" s="112" t="s">
        <v>4326</v>
      </c>
      <c r="W159" s="112" t="s">
        <v>3862</v>
      </c>
    </row>
    <row r="160" spans="2:23" x14ac:dyDescent="0.2">
      <c r="B160" s="51" t="s">
        <v>3658</v>
      </c>
      <c r="C160" s="50" t="s">
        <v>4069</v>
      </c>
      <c r="D160" s="51" t="str">
        <f>IF(MOD4_6!AI41="","",MOD4_6!AI41)</f>
        <v/>
      </c>
      <c r="F160" s="128" t="str">
        <f t="shared" si="21"/>
        <v/>
      </c>
      <c r="I160" s="20">
        <f t="shared" si="17"/>
        <v>0</v>
      </c>
      <c r="J160" s="16" t="s">
        <v>1483</v>
      </c>
      <c r="K160" s="16" t="s">
        <v>1483</v>
      </c>
      <c r="M160" s="20" t="str">
        <f t="shared" si="18"/>
        <v>ANCASH HUARI PAUCAS</v>
      </c>
      <c r="N160" s="20">
        <f t="shared" si="19"/>
        <v>0</v>
      </c>
      <c r="O160" s="16" t="s">
        <v>96</v>
      </c>
      <c r="P160" s="16" t="s">
        <v>164</v>
      </c>
      <c r="Q160" s="16" t="s">
        <v>173</v>
      </c>
      <c r="R160" s="16" t="s">
        <v>1967</v>
      </c>
      <c r="T160" s="20">
        <f t="shared" si="20"/>
        <v>0</v>
      </c>
      <c r="U160" s="112" t="s">
        <v>1375</v>
      </c>
      <c r="V160" s="112" t="s">
        <v>4327</v>
      </c>
      <c r="W160" s="112" t="s">
        <v>3863</v>
      </c>
    </row>
    <row r="161" spans="1:23" x14ac:dyDescent="0.2">
      <c r="B161" s="51" t="s">
        <v>3676</v>
      </c>
      <c r="C161" s="50" t="s">
        <v>4069</v>
      </c>
      <c r="D161" s="51" t="str">
        <f>IF(MOD4_6!AM41="","",MOD4_6!AM41)</f>
        <v/>
      </c>
      <c r="F161" s="128" t="str">
        <f t="shared" si="21"/>
        <v/>
      </c>
      <c r="I161" s="20">
        <f t="shared" si="17"/>
        <v>0</v>
      </c>
      <c r="J161" s="16" t="s">
        <v>1483</v>
      </c>
      <c r="K161" s="16" t="s">
        <v>1523</v>
      </c>
      <c r="M161" s="20" t="str">
        <f t="shared" si="18"/>
        <v>ANCASH HUARI PONTO</v>
      </c>
      <c r="N161" s="20">
        <f t="shared" si="19"/>
        <v>0</v>
      </c>
      <c r="O161" s="16" t="s">
        <v>96</v>
      </c>
      <c r="P161" s="16" t="s">
        <v>164</v>
      </c>
      <c r="Q161" s="16" t="s">
        <v>174</v>
      </c>
      <c r="R161" s="16" t="s">
        <v>1968</v>
      </c>
      <c r="T161" s="20">
        <f t="shared" si="20"/>
        <v>0</v>
      </c>
      <c r="U161" s="112" t="s">
        <v>1375</v>
      </c>
      <c r="V161" s="112" t="s">
        <v>4328</v>
      </c>
      <c r="W161" s="112" t="s">
        <v>3967</v>
      </c>
    </row>
    <row r="162" spans="1:23" x14ac:dyDescent="0.2">
      <c r="F162" s="128" t="str">
        <f t="shared" si="21"/>
        <v/>
      </c>
      <c r="I162" s="20">
        <f t="shared" si="17"/>
        <v>0</v>
      </c>
      <c r="J162" s="16" t="s">
        <v>1483</v>
      </c>
      <c r="K162" s="16" t="s">
        <v>1529</v>
      </c>
      <c r="M162" s="20" t="str">
        <f t="shared" si="18"/>
        <v>ANCASH HUARI RAHUAPAMPA</v>
      </c>
      <c r="N162" s="20">
        <f t="shared" si="19"/>
        <v>0</v>
      </c>
      <c r="O162" s="16" t="s">
        <v>96</v>
      </c>
      <c r="P162" s="16" t="s">
        <v>164</v>
      </c>
      <c r="Q162" s="16" t="s">
        <v>175</v>
      </c>
      <c r="R162" s="16" t="s">
        <v>1969</v>
      </c>
      <c r="T162" s="20">
        <f t="shared" si="20"/>
        <v>0</v>
      </c>
      <c r="U162" s="112" t="s">
        <v>1375</v>
      </c>
      <c r="V162" s="112" t="s">
        <v>4329</v>
      </c>
      <c r="W162" s="112" t="s">
        <v>3974</v>
      </c>
    </row>
    <row r="163" spans="1:23" x14ac:dyDescent="0.2">
      <c r="C163" s="54"/>
      <c r="D163" s="54"/>
      <c r="F163" s="128" t="str">
        <f t="shared" si="21"/>
        <v/>
      </c>
      <c r="I163" s="20">
        <f t="shared" si="17"/>
        <v>0</v>
      </c>
      <c r="J163" s="16" t="s">
        <v>1483</v>
      </c>
      <c r="K163" s="16" t="s">
        <v>1535</v>
      </c>
      <c r="M163" s="20" t="str">
        <f t="shared" si="18"/>
        <v>ANCASH HUARI RAPAYAN</v>
      </c>
      <c r="N163" s="20">
        <f t="shared" si="19"/>
        <v>0</v>
      </c>
      <c r="O163" s="16" t="s">
        <v>96</v>
      </c>
      <c r="P163" s="16" t="s">
        <v>164</v>
      </c>
      <c r="Q163" s="16" t="s">
        <v>176</v>
      </c>
      <c r="R163" s="16" t="s">
        <v>1970</v>
      </c>
      <c r="T163" s="20">
        <f t="shared" si="20"/>
        <v>0</v>
      </c>
      <c r="U163" s="112" t="s">
        <v>1375</v>
      </c>
      <c r="V163" s="112" t="s">
        <v>4329</v>
      </c>
      <c r="W163" s="112" t="s">
        <v>4005</v>
      </c>
    </row>
    <row r="164" spans="1:23" x14ac:dyDescent="0.2">
      <c r="C164" s="54" t="s">
        <v>4128</v>
      </c>
      <c r="D164" s="54" t="b">
        <f>COUNTIF(D111:D118,"SI")*4=COUNTIF(D166:D205,"SI")+COUNTIF(D166:D205,"NO")</f>
        <v>1</v>
      </c>
      <c r="F164" s="128" t="str">
        <f t="shared" si="21"/>
        <v/>
      </c>
      <c r="I164" s="20">
        <f t="shared" si="17"/>
        <v>0</v>
      </c>
      <c r="J164" s="16" t="s">
        <v>1542</v>
      </c>
      <c r="K164" s="16" t="s">
        <v>1349</v>
      </c>
      <c r="M164" s="20" t="str">
        <f t="shared" si="18"/>
        <v>ANCASH HUARI SAN MARCOS</v>
      </c>
      <c r="N164" s="20">
        <f t="shared" si="19"/>
        <v>0</v>
      </c>
      <c r="O164" s="16" t="s">
        <v>96</v>
      </c>
      <c r="P164" s="16" t="s">
        <v>164</v>
      </c>
      <c r="Q164" s="16" t="s">
        <v>143</v>
      </c>
      <c r="R164" s="16" t="s">
        <v>1971</v>
      </c>
      <c r="T164" s="20">
        <f t="shared" si="20"/>
        <v>0</v>
      </c>
      <c r="U164" s="112" t="s">
        <v>1375</v>
      </c>
      <c r="V164" s="112" t="s">
        <v>4330</v>
      </c>
      <c r="W164" s="112" t="s">
        <v>4007</v>
      </c>
    </row>
    <row r="165" spans="1:23" x14ac:dyDescent="0.2">
      <c r="C165" s="54" t="s">
        <v>4393</v>
      </c>
      <c r="D165" s="54" t="b">
        <f>COUNTIF(D111:D118,"SI")=0</f>
        <v>1</v>
      </c>
      <c r="F165" s="128" t="str">
        <f t="shared" si="21"/>
        <v/>
      </c>
      <c r="I165" s="20">
        <f t="shared" si="17"/>
        <v>0</v>
      </c>
      <c r="J165" s="16" t="s">
        <v>1542</v>
      </c>
      <c r="K165" s="16" t="s">
        <v>1556</v>
      </c>
      <c r="M165" s="20" t="str">
        <f t="shared" si="18"/>
        <v>ANCASH HUARI SAN PEDRO DE CHANA</v>
      </c>
      <c r="N165" s="20">
        <f t="shared" si="19"/>
        <v>0</v>
      </c>
      <c r="O165" s="16" t="s">
        <v>96</v>
      </c>
      <c r="P165" s="16" t="s">
        <v>164</v>
      </c>
      <c r="Q165" s="16" t="s">
        <v>177</v>
      </c>
      <c r="R165" s="16" t="s">
        <v>1972</v>
      </c>
      <c r="T165" s="20">
        <f t="shared" si="20"/>
        <v>0</v>
      </c>
      <c r="U165" s="112" t="s">
        <v>1375</v>
      </c>
      <c r="V165" s="112" t="s">
        <v>4331</v>
      </c>
      <c r="W165" s="112" t="s">
        <v>4009</v>
      </c>
    </row>
    <row r="166" spans="1:23" x14ac:dyDescent="0.2">
      <c r="A166">
        <v>6</v>
      </c>
      <c r="B166" s="50" t="s">
        <v>3671</v>
      </c>
      <c r="C166" s="50" t="s">
        <v>4134</v>
      </c>
      <c r="D166" s="51" t="str">
        <f>IF(MOD4_6_1!H$21="","",MOD4_6_1!H$21)</f>
        <v/>
      </c>
      <c r="E166" s="21" t="s">
        <v>3706</v>
      </c>
      <c r="F166" s="128" t="str">
        <f t="shared" si="21"/>
        <v/>
      </c>
      <c r="I166" s="20">
        <f t="shared" si="17"/>
        <v>0</v>
      </c>
      <c r="J166" s="16" t="s">
        <v>1542</v>
      </c>
      <c r="K166" s="16" t="s">
        <v>1567</v>
      </c>
      <c r="M166" s="20" t="str">
        <f t="shared" si="18"/>
        <v>ANCASH HUARI UCO</v>
      </c>
      <c r="N166" s="20">
        <f t="shared" si="19"/>
        <v>0</v>
      </c>
      <c r="O166" s="16" t="s">
        <v>96</v>
      </c>
      <c r="P166" s="16" t="s">
        <v>164</v>
      </c>
      <c r="Q166" s="16" t="s">
        <v>178</v>
      </c>
      <c r="R166" s="16" t="s">
        <v>1973</v>
      </c>
      <c r="T166" s="20">
        <f t="shared" si="20"/>
        <v>0</v>
      </c>
      <c r="U166" s="112" t="s">
        <v>1375</v>
      </c>
      <c r="V166" s="112" t="s">
        <v>4332</v>
      </c>
      <c r="W166" s="112" t="s">
        <v>4041</v>
      </c>
    </row>
    <row r="167" spans="1:23" x14ac:dyDescent="0.2">
      <c r="A167">
        <v>6</v>
      </c>
      <c r="B167" s="50" t="s">
        <v>3671</v>
      </c>
      <c r="C167" s="50" t="s">
        <v>4135</v>
      </c>
      <c r="D167" s="51" t="str">
        <f>IF(MOD4_6_1!O$21="","",MOD4_6_1!O$21)</f>
        <v/>
      </c>
      <c r="E167" s="21" t="s">
        <v>3788</v>
      </c>
      <c r="F167" s="128" t="str">
        <f t="shared" si="21"/>
        <v/>
      </c>
      <c r="I167" s="20">
        <f t="shared" si="17"/>
        <v>0</v>
      </c>
      <c r="J167" s="16" t="s">
        <v>1542</v>
      </c>
      <c r="K167" s="16" t="s">
        <v>1575</v>
      </c>
      <c r="M167" s="20" t="str">
        <f t="shared" si="18"/>
        <v>ANCASH HUARMEY COCHAPETI</v>
      </c>
      <c r="N167" s="20">
        <f t="shared" si="19"/>
        <v>0</v>
      </c>
      <c r="O167" s="16" t="s">
        <v>96</v>
      </c>
      <c r="P167" s="16" t="s">
        <v>179</v>
      </c>
      <c r="Q167" s="16" t="s">
        <v>180</v>
      </c>
      <c r="R167" s="16" t="s">
        <v>1974</v>
      </c>
      <c r="T167" s="20">
        <f t="shared" si="20"/>
        <v>0</v>
      </c>
      <c r="U167" s="112" t="s">
        <v>1425</v>
      </c>
      <c r="V167" s="112" t="s">
        <v>4333</v>
      </c>
      <c r="W167" s="112" t="s">
        <v>3970</v>
      </c>
    </row>
    <row r="168" spans="1:23" x14ac:dyDescent="0.2">
      <c r="A168">
        <v>6</v>
      </c>
      <c r="B168" s="50" t="s">
        <v>3671</v>
      </c>
      <c r="C168" s="50" t="s">
        <v>4136</v>
      </c>
      <c r="D168" s="51" t="str">
        <f>IF(MOD4_6_1!V$21="","",MOD4_6_1!V$21)</f>
        <v/>
      </c>
      <c r="E168" s="21" t="s">
        <v>3706</v>
      </c>
      <c r="F168" s="128" t="str">
        <f t="shared" si="21"/>
        <v/>
      </c>
      <c r="I168" s="20">
        <f t="shared" si="17"/>
        <v>0</v>
      </c>
      <c r="J168" s="16" t="s">
        <v>1542</v>
      </c>
      <c r="K168" s="16" t="s">
        <v>1580</v>
      </c>
      <c r="M168" s="20" t="str">
        <f t="shared" si="18"/>
        <v>ANCASH HUARMEY CULEBRAS</v>
      </c>
      <c r="N168" s="20">
        <f t="shared" si="19"/>
        <v>0</v>
      </c>
      <c r="O168" s="16" t="s">
        <v>96</v>
      </c>
      <c r="P168" s="16" t="s">
        <v>179</v>
      </c>
      <c r="Q168" s="16" t="s">
        <v>181</v>
      </c>
      <c r="R168" s="16" t="s">
        <v>1975</v>
      </c>
      <c r="T168" s="20">
        <f t="shared" si="20"/>
        <v>0</v>
      </c>
      <c r="U168" s="112" t="s">
        <v>1425</v>
      </c>
      <c r="V168" s="112" t="s">
        <v>4333</v>
      </c>
      <c r="W168" s="112" t="s">
        <v>4032</v>
      </c>
    </row>
    <row r="169" spans="1:23" x14ac:dyDescent="0.2">
      <c r="A169">
        <v>6</v>
      </c>
      <c r="B169" s="50" t="s">
        <v>3671</v>
      </c>
      <c r="C169" s="50" t="s">
        <v>4137</v>
      </c>
      <c r="D169" s="51" t="str">
        <f>IF(MOD4_6_1!AC$21="","",MOD4_6_1!AC$21)</f>
        <v/>
      </c>
      <c r="E169" s="21" t="s">
        <v>3711</v>
      </c>
      <c r="F169" s="128" t="str">
        <f t="shared" si="21"/>
        <v/>
      </c>
      <c r="I169" s="20">
        <f t="shared" si="17"/>
        <v>0</v>
      </c>
      <c r="J169" s="16" t="s">
        <v>1542</v>
      </c>
      <c r="K169" s="16" t="s">
        <v>534</v>
      </c>
      <c r="M169" s="20" t="str">
        <f t="shared" si="18"/>
        <v>ANCASH HUARMEY HUARMEY</v>
      </c>
      <c r="N169" s="20">
        <f t="shared" si="19"/>
        <v>0</v>
      </c>
      <c r="O169" s="16" t="s">
        <v>96</v>
      </c>
      <c r="P169" s="16" t="s">
        <v>179</v>
      </c>
      <c r="Q169" s="16" t="s">
        <v>179</v>
      </c>
      <c r="R169" s="16" t="s">
        <v>1976</v>
      </c>
      <c r="T169" s="20">
        <f t="shared" si="20"/>
        <v>0</v>
      </c>
      <c r="U169" s="112" t="s">
        <v>1425</v>
      </c>
      <c r="V169" s="112" t="s">
        <v>4333</v>
      </c>
      <c r="W169" s="112" t="s">
        <v>4035</v>
      </c>
    </row>
    <row r="170" spans="1:23" x14ac:dyDescent="0.2">
      <c r="A170">
        <v>6</v>
      </c>
      <c r="C170" s="50" t="s">
        <v>4138</v>
      </c>
      <c r="D170" s="51" t="str">
        <f>IF(MOD4_6_1!AP$13="","",MOD4_6_1!AP$13)</f>
        <v/>
      </c>
      <c r="F170" s="128" t="str">
        <f t="shared" si="21"/>
        <v/>
      </c>
      <c r="I170" s="20">
        <f t="shared" si="17"/>
        <v>0</v>
      </c>
      <c r="J170" s="16" t="s">
        <v>1542</v>
      </c>
      <c r="K170" s="16" t="s">
        <v>1594</v>
      </c>
      <c r="M170" s="20" t="str">
        <f t="shared" si="18"/>
        <v>ANCASH HUARMEY HUAYAN</v>
      </c>
      <c r="N170" s="20">
        <f t="shared" si="19"/>
        <v>0</v>
      </c>
      <c r="O170" s="16" t="s">
        <v>96</v>
      </c>
      <c r="P170" s="16" t="s">
        <v>179</v>
      </c>
      <c r="Q170" s="16" t="s">
        <v>182</v>
      </c>
      <c r="R170" s="16" t="s">
        <v>1977</v>
      </c>
      <c r="T170" s="20">
        <f t="shared" si="20"/>
        <v>0</v>
      </c>
      <c r="U170" s="112" t="s">
        <v>1436</v>
      </c>
      <c r="V170" s="112" t="s">
        <v>4334</v>
      </c>
      <c r="W170" s="112" t="s">
        <v>3927</v>
      </c>
    </row>
    <row r="171" spans="1:23" x14ac:dyDescent="0.2">
      <c r="A171">
        <v>6</v>
      </c>
      <c r="B171" s="50" t="s">
        <v>3672</v>
      </c>
      <c r="C171" s="50" t="s">
        <v>4139</v>
      </c>
      <c r="D171" s="51" t="str">
        <f>IF(MOD4_6_2!H$21="","",MOD4_6_2!H$21)</f>
        <v/>
      </c>
      <c r="E171" s="21" t="s">
        <v>3706</v>
      </c>
      <c r="F171" s="128" t="str">
        <f t="shared" si="21"/>
        <v/>
      </c>
      <c r="I171" s="20">
        <f t="shared" si="17"/>
        <v>0</v>
      </c>
      <c r="J171" s="16" t="s">
        <v>1542</v>
      </c>
      <c r="K171" s="16" t="s">
        <v>1602</v>
      </c>
      <c r="M171" s="20" t="str">
        <f t="shared" si="18"/>
        <v>ANCASH HUARMEY MALVAS</v>
      </c>
      <c r="N171" s="20">
        <f t="shared" si="19"/>
        <v>0</v>
      </c>
      <c r="O171" s="16" t="s">
        <v>96</v>
      </c>
      <c r="P171" s="16" t="s">
        <v>179</v>
      </c>
      <c r="Q171" s="16" t="s">
        <v>183</v>
      </c>
      <c r="R171" s="16" t="s">
        <v>1978</v>
      </c>
      <c r="T171" s="20">
        <f t="shared" si="20"/>
        <v>0</v>
      </c>
      <c r="U171" s="112" t="s">
        <v>1436</v>
      </c>
      <c r="V171" s="112" t="s">
        <v>4335</v>
      </c>
      <c r="W171" s="112" t="s">
        <v>3951</v>
      </c>
    </row>
    <row r="172" spans="1:23" x14ac:dyDescent="0.2">
      <c r="A172">
        <v>6</v>
      </c>
      <c r="B172" s="50" t="s">
        <v>3672</v>
      </c>
      <c r="C172" s="50" t="s">
        <v>4140</v>
      </c>
      <c r="D172" s="51" t="str">
        <f>IF(MOD4_6_2!O$21="","",MOD4_6_2!O$21)</f>
        <v/>
      </c>
      <c r="E172" s="21" t="s">
        <v>3788</v>
      </c>
      <c r="F172" s="128" t="str">
        <f t="shared" si="21"/>
        <v/>
      </c>
      <c r="I172" s="20">
        <f t="shared" si="17"/>
        <v>0</v>
      </c>
      <c r="J172" s="16" t="s">
        <v>1542</v>
      </c>
      <c r="K172" s="16" t="s">
        <v>1542</v>
      </c>
      <c r="M172" s="20" t="str">
        <f t="shared" si="18"/>
        <v>ANCASH HUAYLAS CARAZ</v>
      </c>
      <c r="N172" s="20">
        <f t="shared" si="19"/>
        <v>0</v>
      </c>
      <c r="O172" s="16" t="s">
        <v>96</v>
      </c>
      <c r="P172" s="16" t="s">
        <v>184</v>
      </c>
      <c r="Q172" s="16" t="s">
        <v>185</v>
      </c>
      <c r="R172" s="16" t="s">
        <v>1979</v>
      </c>
      <c r="T172" s="20">
        <f t="shared" si="20"/>
        <v>0</v>
      </c>
      <c r="U172" s="112" t="s">
        <v>1436</v>
      </c>
      <c r="V172" s="112" t="s">
        <v>4336</v>
      </c>
      <c r="W172" s="112" t="s">
        <v>3973</v>
      </c>
    </row>
    <row r="173" spans="1:23" x14ac:dyDescent="0.2">
      <c r="A173">
        <v>6</v>
      </c>
      <c r="B173" s="50" t="s">
        <v>3672</v>
      </c>
      <c r="C173" s="50" t="s">
        <v>4141</v>
      </c>
      <c r="D173" s="51" t="str">
        <f>IF(MOD4_6_2!V$21="","",MOD4_6_2!V$21)</f>
        <v/>
      </c>
      <c r="E173" s="21" t="s">
        <v>3706</v>
      </c>
      <c r="F173" s="128" t="str">
        <f t="shared" si="21"/>
        <v/>
      </c>
      <c r="I173" s="20">
        <f t="shared" si="17"/>
        <v>0</v>
      </c>
      <c r="J173" s="16" t="s">
        <v>1542</v>
      </c>
      <c r="K173" s="16" t="s">
        <v>1617</v>
      </c>
      <c r="M173" s="20" t="str">
        <f t="shared" si="18"/>
        <v>ANCASH HUAYLAS HUALLANCA</v>
      </c>
      <c r="N173" s="20">
        <f t="shared" si="19"/>
        <v>0</v>
      </c>
      <c r="O173" s="16" t="s">
        <v>96</v>
      </c>
      <c r="P173" s="16" t="s">
        <v>184</v>
      </c>
      <c r="Q173" s="16" t="s">
        <v>119</v>
      </c>
      <c r="R173" s="16" t="s">
        <v>1980</v>
      </c>
      <c r="T173" s="20">
        <f t="shared" si="20"/>
        <v>0</v>
      </c>
      <c r="U173" s="112" t="s">
        <v>1457</v>
      </c>
      <c r="V173" s="112" t="s">
        <v>4337</v>
      </c>
      <c r="W173" s="112" t="s">
        <v>3922</v>
      </c>
    </row>
    <row r="174" spans="1:23" x14ac:dyDescent="0.2">
      <c r="A174">
        <v>6</v>
      </c>
      <c r="B174" s="50" t="s">
        <v>3672</v>
      </c>
      <c r="C174" s="50" t="s">
        <v>4142</v>
      </c>
      <c r="D174" s="51" t="str">
        <f>IF(MOD4_6_2!AC$21="","",MOD4_6_2!AC$21)</f>
        <v/>
      </c>
      <c r="E174" s="21" t="s">
        <v>3711</v>
      </c>
      <c r="F174" s="128" t="str">
        <f t="shared" si="21"/>
        <v/>
      </c>
      <c r="I174" s="20">
        <f t="shared" si="17"/>
        <v>0</v>
      </c>
      <c r="J174" s="16" t="s">
        <v>1542</v>
      </c>
      <c r="K174" s="16" t="s">
        <v>1623</v>
      </c>
      <c r="M174" s="20" t="str">
        <f t="shared" si="18"/>
        <v>ANCASH HUAYLAS HUATA</v>
      </c>
      <c r="N174" s="20">
        <f t="shared" si="19"/>
        <v>0</v>
      </c>
      <c r="O174" s="16" t="s">
        <v>96</v>
      </c>
      <c r="P174" s="16" t="s">
        <v>184</v>
      </c>
      <c r="Q174" s="16" t="s">
        <v>186</v>
      </c>
      <c r="R174" s="16" t="s">
        <v>1981</v>
      </c>
      <c r="T174" s="20">
        <f t="shared" si="20"/>
        <v>0</v>
      </c>
      <c r="U174" s="112" t="s">
        <v>1457</v>
      </c>
      <c r="V174" s="112" t="s">
        <v>4338</v>
      </c>
      <c r="W174" s="112" t="s">
        <v>3982</v>
      </c>
    </row>
    <row r="175" spans="1:23" x14ac:dyDescent="0.2">
      <c r="A175">
        <v>6</v>
      </c>
      <c r="C175" s="50" t="s">
        <v>4143</v>
      </c>
      <c r="D175" s="51" t="str">
        <f>IF(MOD4_6_2!AP$13="","",MOD4_6_2!AP$13)</f>
        <v/>
      </c>
      <c r="F175" s="128" t="str">
        <f t="shared" si="21"/>
        <v/>
      </c>
      <c r="I175" s="20">
        <f t="shared" si="17"/>
        <v>0</v>
      </c>
      <c r="J175" s="16" t="s">
        <v>1542</v>
      </c>
      <c r="K175" s="16" t="s">
        <v>1627</v>
      </c>
      <c r="M175" s="20" t="str">
        <f t="shared" si="18"/>
        <v>ANCASH HUAYLAS HUAYLAS</v>
      </c>
      <c r="N175" s="20">
        <f t="shared" si="19"/>
        <v>0</v>
      </c>
      <c r="O175" s="16" t="s">
        <v>96</v>
      </c>
      <c r="P175" s="16" t="s">
        <v>184</v>
      </c>
      <c r="Q175" s="16" t="s">
        <v>184</v>
      </c>
      <c r="R175" s="16" t="s">
        <v>1982</v>
      </c>
      <c r="T175" s="20">
        <f t="shared" si="20"/>
        <v>0</v>
      </c>
      <c r="U175" s="112" t="s">
        <v>1457</v>
      </c>
      <c r="V175" s="112" t="s">
        <v>4339</v>
      </c>
      <c r="W175" s="112" t="s">
        <v>3992</v>
      </c>
    </row>
    <row r="176" spans="1:23" x14ac:dyDescent="0.2">
      <c r="A176">
        <v>6</v>
      </c>
      <c r="B176" s="50" t="s">
        <v>3673</v>
      </c>
      <c r="C176" s="50" t="s">
        <v>4144</v>
      </c>
      <c r="D176" s="51" t="str">
        <f>IF(MOD4_6_3!H$21="","",MOD4_6_3!H$21)</f>
        <v/>
      </c>
      <c r="E176" s="21" t="s">
        <v>3706</v>
      </c>
      <c r="F176" s="128" t="str">
        <f t="shared" si="21"/>
        <v/>
      </c>
      <c r="I176" s="20">
        <f t="shared" si="17"/>
        <v>0</v>
      </c>
      <c r="J176" s="16" t="s">
        <v>1542</v>
      </c>
      <c r="K176" s="16" t="s">
        <v>1637</v>
      </c>
      <c r="M176" s="20" t="str">
        <f t="shared" si="18"/>
        <v>ANCASH HUAYLAS MATO</v>
      </c>
      <c r="N176" s="20">
        <f t="shared" si="19"/>
        <v>0</v>
      </c>
      <c r="O176" s="16" t="s">
        <v>96</v>
      </c>
      <c r="P176" s="16" t="s">
        <v>184</v>
      </c>
      <c r="Q176" s="16" t="s">
        <v>187</v>
      </c>
      <c r="R176" s="16" t="s">
        <v>1983</v>
      </c>
      <c r="T176" s="20">
        <f t="shared" si="20"/>
        <v>0</v>
      </c>
      <c r="U176" s="112" t="s">
        <v>1483</v>
      </c>
      <c r="V176" s="112" t="s">
        <v>4340</v>
      </c>
      <c r="W176" s="112" t="s">
        <v>3875</v>
      </c>
    </row>
    <row r="177" spans="1:23" x14ac:dyDescent="0.2">
      <c r="A177">
        <v>6</v>
      </c>
      <c r="B177" s="50" t="s">
        <v>3673</v>
      </c>
      <c r="C177" s="50" t="s">
        <v>4145</v>
      </c>
      <c r="D177" s="51" t="str">
        <f>IF(MOD4_6_3!O$21="","",MOD4_6_3!O$21)</f>
        <v/>
      </c>
      <c r="E177" s="21" t="s">
        <v>3788</v>
      </c>
      <c r="F177" s="128" t="str">
        <f t="shared" si="21"/>
        <v/>
      </c>
      <c r="I177" s="20">
        <f t="shared" si="17"/>
        <v>0</v>
      </c>
      <c r="J177" s="16" t="s">
        <v>1644</v>
      </c>
      <c r="K177" s="16" t="s">
        <v>640</v>
      </c>
      <c r="M177" s="20" t="str">
        <f t="shared" si="18"/>
        <v>ANCASH HUAYLAS PAMPAROMAS</v>
      </c>
      <c r="N177" s="20">
        <f t="shared" si="19"/>
        <v>0</v>
      </c>
      <c r="O177" s="16" t="s">
        <v>96</v>
      </c>
      <c r="P177" s="16" t="s">
        <v>184</v>
      </c>
      <c r="Q177" s="16" t="s">
        <v>188</v>
      </c>
      <c r="R177" s="16" t="s">
        <v>1984</v>
      </c>
      <c r="T177" s="20">
        <f t="shared" si="20"/>
        <v>0</v>
      </c>
      <c r="U177" s="112" t="s">
        <v>1483</v>
      </c>
      <c r="V177" s="112" t="s">
        <v>4341</v>
      </c>
      <c r="W177" s="112" t="s">
        <v>3907</v>
      </c>
    </row>
    <row r="178" spans="1:23" x14ac:dyDescent="0.2">
      <c r="A178">
        <v>6</v>
      </c>
      <c r="B178" s="50" t="s">
        <v>3673</v>
      </c>
      <c r="C178" s="50" t="s">
        <v>4146</v>
      </c>
      <c r="D178" s="51" t="str">
        <f>IF(MOD4_6_3!V$21="","",MOD4_6_3!V$21)</f>
        <v/>
      </c>
      <c r="E178" s="21" t="s">
        <v>3706</v>
      </c>
      <c r="F178" s="128" t="str">
        <f t="shared" si="21"/>
        <v/>
      </c>
      <c r="I178" s="20">
        <f t="shared" si="17"/>
        <v>0</v>
      </c>
      <c r="J178" s="16" t="s">
        <v>1644</v>
      </c>
      <c r="K178" s="16" t="s">
        <v>1648</v>
      </c>
      <c r="M178" s="20" t="str">
        <f t="shared" si="18"/>
        <v>ANCASH HUAYLAS PUEBLO LIBRE</v>
      </c>
      <c r="N178" s="20">
        <f t="shared" si="19"/>
        <v>0</v>
      </c>
      <c r="O178" s="16" t="s">
        <v>96</v>
      </c>
      <c r="P178" s="16" t="s">
        <v>184</v>
      </c>
      <c r="Q178" s="16" t="s">
        <v>189</v>
      </c>
      <c r="R178" s="16" t="s">
        <v>1985</v>
      </c>
      <c r="T178" s="20">
        <f t="shared" si="20"/>
        <v>0</v>
      </c>
      <c r="U178" s="112" t="s">
        <v>1483</v>
      </c>
      <c r="V178" s="112" t="s">
        <v>4342</v>
      </c>
      <c r="W178" s="112" t="s">
        <v>3935</v>
      </c>
    </row>
    <row r="179" spans="1:23" x14ac:dyDescent="0.2">
      <c r="A179">
        <v>6</v>
      </c>
      <c r="B179" s="50" t="s">
        <v>3673</v>
      </c>
      <c r="C179" s="50" t="s">
        <v>4147</v>
      </c>
      <c r="D179" s="51" t="str">
        <f>IF(MOD4_6_3!AC$21="","",MOD4_6_3!AC$21)</f>
        <v/>
      </c>
      <c r="E179" s="21" t="s">
        <v>3711</v>
      </c>
      <c r="F179" s="128" t="str">
        <f t="shared" si="21"/>
        <v/>
      </c>
      <c r="I179" s="20">
        <f t="shared" si="17"/>
        <v>0</v>
      </c>
      <c r="J179" s="16" t="s">
        <v>1644</v>
      </c>
      <c r="K179" s="16" t="s">
        <v>1647</v>
      </c>
      <c r="M179" s="20" t="str">
        <f t="shared" si="18"/>
        <v>ANCASH HUAYLAS SANTA CRUZ</v>
      </c>
      <c r="N179" s="20">
        <f t="shared" si="19"/>
        <v>0</v>
      </c>
      <c r="O179" s="16" t="s">
        <v>96</v>
      </c>
      <c r="P179" s="16" t="s">
        <v>184</v>
      </c>
      <c r="Q179" s="16" t="s">
        <v>190</v>
      </c>
      <c r="R179" s="16" t="s">
        <v>1986</v>
      </c>
      <c r="T179" s="20">
        <f t="shared" si="20"/>
        <v>0</v>
      </c>
      <c r="U179" s="112" t="s">
        <v>1483</v>
      </c>
      <c r="V179" s="112" t="s">
        <v>4343</v>
      </c>
      <c r="W179" s="112" t="s">
        <v>3945</v>
      </c>
    </row>
    <row r="180" spans="1:23" x14ac:dyDescent="0.2">
      <c r="A180">
        <v>6</v>
      </c>
      <c r="C180" s="50" t="s">
        <v>4148</v>
      </c>
      <c r="D180" s="51" t="str">
        <f>IF(MOD4_6_3!AP$13="","",MOD4_6_3!AP$13)</f>
        <v/>
      </c>
      <c r="F180" s="128" t="str">
        <f t="shared" si="21"/>
        <v/>
      </c>
      <c r="I180" s="20">
        <f t="shared" si="17"/>
        <v>0</v>
      </c>
      <c r="J180" s="16" t="s">
        <v>1644</v>
      </c>
      <c r="K180" s="16" t="s">
        <v>1658</v>
      </c>
      <c r="M180" s="20" t="str">
        <f t="shared" si="18"/>
        <v>ANCASH HUAYLAS SANTO TORIBIO</v>
      </c>
      <c r="N180" s="20">
        <f t="shared" si="19"/>
        <v>0</v>
      </c>
      <c r="O180" s="16" t="s">
        <v>96</v>
      </c>
      <c r="P180" s="16" t="s">
        <v>184</v>
      </c>
      <c r="Q180" s="16" t="s">
        <v>191</v>
      </c>
      <c r="R180" s="16" t="s">
        <v>1987</v>
      </c>
      <c r="T180" s="20">
        <f t="shared" si="20"/>
        <v>0</v>
      </c>
      <c r="U180" s="112" t="s">
        <v>1483</v>
      </c>
      <c r="V180" s="112" t="s">
        <v>4344</v>
      </c>
      <c r="W180" s="112" t="s">
        <v>3961</v>
      </c>
    </row>
    <row r="181" spans="1:23" x14ac:dyDescent="0.2">
      <c r="A181">
        <v>6</v>
      </c>
      <c r="B181" s="50" t="s">
        <v>3674</v>
      </c>
      <c r="C181" s="50" t="s">
        <v>4149</v>
      </c>
      <c r="D181" s="51" t="str">
        <f>IF(MOD4_6_4!H$21="","",MOD4_6_4!H$21)</f>
        <v/>
      </c>
      <c r="E181" s="21" t="s">
        <v>3706</v>
      </c>
      <c r="F181" s="128" t="str">
        <f t="shared" si="21"/>
        <v/>
      </c>
      <c r="I181" s="20">
        <f t="shared" si="17"/>
        <v>0</v>
      </c>
      <c r="J181" s="16" t="s">
        <v>1644</v>
      </c>
      <c r="K181" s="16" t="s">
        <v>381</v>
      </c>
      <c r="M181" s="20" t="str">
        <f t="shared" si="18"/>
        <v>ANCASH HUAYLAS YURACMARCA</v>
      </c>
      <c r="N181" s="20">
        <f t="shared" si="19"/>
        <v>0</v>
      </c>
      <c r="O181" s="16" t="s">
        <v>96</v>
      </c>
      <c r="P181" s="16" t="s">
        <v>184</v>
      </c>
      <c r="Q181" s="16" t="s">
        <v>193</v>
      </c>
      <c r="R181" s="16" t="s">
        <v>1988</v>
      </c>
      <c r="T181" s="20">
        <f t="shared" si="20"/>
        <v>0</v>
      </c>
      <c r="U181" s="112" t="s">
        <v>1483</v>
      </c>
      <c r="V181" s="112" t="s">
        <v>4345</v>
      </c>
      <c r="W181" s="112" t="s">
        <v>3977</v>
      </c>
    </row>
    <row r="182" spans="1:23" x14ac:dyDescent="0.2">
      <c r="A182">
        <v>6</v>
      </c>
      <c r="B182" s="50" t="s">
        <v>3674</v>
      </c>
      <c r="C182" s="50" t="s">
        <v>4150</v>
      </c>
      <c r="D182" s="51" t="str">
        <f>IF(MOD4_6_4!O$21="","",MOD4_6_4!O$21)</f>
        <v/>
      </c>
      <c r="E182" s="21" t="s">
        <v>3788</v>
      </c>
      <c r="F182" s="128" t="str">
        <f t="shared" si="21"/>
        <v/>
      </c>
      <c r="I182" s="20">
        <f t="shared" si="17"/>
        <v>0</v>
      </c>
      <c r="J182" s="16" t="s">
        <v>1644</v>
      </c>
      <c r="K182" s="16" t="s">
        <v>1674</v>
      </c>
      <c r="M182" s="20" t="str">
        <f t="shared" si="18"/>
        <v>ANCASH MARISCAL LUZURIAGA CASCA</v>
      </c>
      <c r="N182" s="20">
        <f t="shared" si="19"/>
        <v>0</v>
      </c>
      <c r="O182" s="16" t="s">
        <v>96</v>
      </c>
      <c r="P182" s="16" t="s">
        <v>194</v>
      </c>
      <c r="Q182" s="16" t="s">
        <v>195</v>
      </c>
      <c r="R182" s="16" t="s">
        <v>1989</v>
      </c>
      <c r="T182" s="20">
        <f t="shared" si="20"/>
        <v>0</v>
      </c>
      <c r="U182" s="112" t="s">
        <v>1483</v>
      </c>
      <c r="V182" s="112" t="s">
        <v>4346</v>
      </c>
      <c r="W182" s="112" t="s">
        <v>3986</v>
      </c>
    </row>
    <row r="183" spans="1:23" x14ac:dyDescent="0.2">
      <c r="A183">
        <v>6</v>
      </c>
      <c r="B183" s="50" t="s">
        <v>3674</v>
      </c>
      <c r="C183" s="50" t="s">
        <v>4151</v>
      </c>
      <c r="D183" s="51" t="str">
        <f>IF(MOD4_6_4!V$21="","",MOD4_6_4!V$21)</f>
        <v/>
      </c>
      <c r="E183" s="21" t="s">
        <v>3706</v>
      </c>
      <c r="F183" s="128" t="str">
        <f t="shared" si="21"/>
        <v/>
      </c>
      <c r="I183" s="20">
        <f t="shared" si="17"/>
        <v>0</v>
      </c>
      <c r="J183" s="16" t="s">
        <v>1644</v>
      </c>
      <c r="K183" s="16" t="s">
        <v>1680</v>
      </c>
      <c r="M183" s="20" t="str">
        <f t="shared" si="18"/>
        <v>ANCASH MARISCAL LUZURIAGA ELEAZAR GUZMAN BARRON</v>
      </c>
      <c r="N183" s="20">
        <f t="shared" si="19"/>
        <v>0</v>
      </c>
      <c r="O183" s="16" t="s">
        <v>96</v>
      </c>
      <c r="P183" s="16" t="s">
        <v>194</v>
      </c>
      <c r="Q183" s="16" t="s">
        <v>196</v>
      </c>
      <c r="R183" s="16" t="s">
        <v>1990</v>
      </c>
      <c r="T183" s="20">
        <f t="shared" si="20"/>
        <v>0</v>
      </c>
      <c r="U183" s="112" t="s">
        <v>1483</v>
      </c>
      <c r="V183" s="112" t="s">
        <v>4344</v>
      </c>
      <c r="W183" s="112" t="s">
        <v>4000</v>
      </c>
    </row>
    <row r="184" spans="1:23" x14ac:dyDescent="0.2">
      <c r="A184">
        <v>6</v>
      </c>
      <c r="B184" s="50" t="s">
        <v>3674</v>
      </c>
      <c r="C184" s="50" t="s">
        <v>4152</v>
      </c>
      <c r="D184" s="51" t="str">
        <f>IF(MOD4_6_4!AC$21="","",MOD4_6_4!AC$21)</f>
        <v/>
      </c>
      <c r="E184" s="21" t="s">
        <v>3711</v>
      </c>
      <c r="F184" s="128" t="str">
        <f t="shared" si="21"/>
        <v/>
      </c>
      <c r="I184" s="20">
        <f t="shared" si="17"/>
        <v>0</v>
      </c>
      <c r="J184" s="16" t="s">
        <v>1644</v>
      </c>
      <c r="K184" s="16" t="s">
        <v>1687</v>
      </c>
      <c r="M184" s="20" t="str">
        <f t="shared" si="18"/>
        <v>ANCASH MARISCAL LUZURIAGA FIDEL OLIVAS ESCUDERO</v>
      </c>
      <c r="N184" s="20">
        <f t="shared" si="19"/>
        <v>0</v>
      </c>
      <c r="O184" s="16" t="s">
        <v>96</v>
      </c>
      <c r="P184" s="16" t="s">
        <v>194</v>
      </c>
      <c r="Q184" s="16" t="s">
        <v>197</v>
      </c>
      <c r="R184" s="16" t="s">
        <v>1991</v>
      </c>
      <c r="T184" s="20">
        <f t="shared" si="20"/>
        <v>0</v>
      </c>
      <c r="U184" s="112" t="s">
        <v>1483</v>
      </c>
      <c r="V184" s="112" t="s">
        <v>4344</v>
      </c>
      <c r="W184" s="112" t="s">
        <v>4026</v>
      </c>
    </row>
    <row r="185" spans="1:23" x14ac:dyDescent="0.2">
      <c r="A185">
        <v>6</v>
      </c>
      <c r="C185" s="50" t="s">
        <v>4153</v>
      </c>
      <c r="D185" s="51" t="str">
        <f>IF(MOD4_6_4!AP$13="","",MOD4_6_4!AP$13)</f>
        <v/>
      </c>
      <c r="F185" s="128" t="str">
        <f t="shared" si="21"/>
        <v/>
      </c>
      <c r="I185" s="20">
        <f t="shared" si="17"/>
        <v>0</v>
      </c>
      <c r="J185" s="16" t="s">
        <v>1644</v>
      </c>
      <c r="K185" s="16" t="s">
        <v>1644</v>
      </c>
      <c r="M185" s="20" t="str">
        <f t="shared" si="18"/>
        <v>ANCASH MARISCAL LUZURIAGA LLAMA</v>
      </c>
      <c r="N185" s="20">
        <f t="shared" si="19"/>
        <v>0</v>
      </c>
      <c r="O185" s="16" t="s">
        <v>96</v>
      </c>
      <c r="P185" s="16" t="s">
        <v>194</v>
      </c>
      <c r="Q185" s="16" t="s">
        <v>198</v>
      </c>
      <c r="R185" s="16" t="s">
        <v>1992</v>
      </c>
      <c r="T185" s="20">
        <f t="shared" si="20"/>
        <v>0</v>
      </c>
      <c r="U185" s="112" t="s">
        <v>1483</v>
      </c>
      <c r="V185" s="112" t="s">
        <v>4347</v>
      </c>
      <c r="W185" s="112" t="s">
        <v>4029</v>
      </c>
    </row>
    <row r="186" spans="1:23" x14ac:dyDescent="0.2">
      <c r="A186">
        <v>6</v>
      </c>
      <c r="B186" s="50" t="s">
        <v>3675</v>
      </c>
      <c r="C186" s="50" t="s">
        <v>4154</v>
      </c>
      <c r="D186" s="51" t="str">
        <f>IF(MOD4_6_5!H$21="","",MOD4_6_5!H$21)</f>
        <v/>
      </c>
      <c r="E186" s="21" t="s">
        <v>3706</v>
      </c>
      <c r="F186" s="128" t="str">
        <f t="shared" si="21"/>
        <v/>
      </c>
      <c r="I186" s="20">
        <f t="shared" si="17"/>
        <v>0</v>
      </c>
      <c r="J186" s="16" t="s">
        <v>1644</v>
      </c>
      <c r="K186" s="16" t="s">
        <v>1708</v>
      </c>
      <c r="M186" s="20" t="str">
        <f t="shared" si="18"/>
        <v>ANCASH MARISCAL LUZURIAGA LLUMPA</v>
      </c>
      <c r="N186" s="20">
        <f t="shared" si="19"/>
        <v>0</v>
      </c>
      <c r="O186" s="16" t="s">
        <v>96</v>
      </c>
      <c r="P186" s="16" t="s">
        <v>194</v>
      </c>
      <c r="Q186" s="16" t="s">
        <v>199</v>
      </c>
      <c r="R186" s="16" t="s">
        <v>1993</v>
      </c>
      <c r="T186" s="20">
        <f t="shared" si="20"/>
        <v>0</v>
      </c>
      <c r="U186" s="112" t="s">
        <v>1483</v>
      </c>
      <c r="V186" s="112" t="s">
        <v>4348</v>
      </c>
      <c r="W186" s="112" t="s">
        <v>4033</v>
      </c>
    </row>
    <row r="187" spans="1:23" x14ac:dyDescent="0.2">
      <c r="A187">
        <v>6</v>
      </c>
      <c r="B187" s="50" t="s">
        <v>3675</v>
      </c>
      <c r="C187" s="50" t="s">
        <v>4155</v>
      </c>
      <c r="D187" s="51" t="str">
        <f>IF(MOD4_6_5!O$21="","",MOD4_6_5!O$21)</f>
        <v/>
      </c>
      <c r="E187" s="21" t="s">
        <v>3788</v>
      </c>
      <c r="F187" s="128" t="str">
        <f t="shared" si="21"/>
        <v/>
      </c>
      <c r="I187" s="20">
        <f t="shared" si="17"/>
        <v>0</v>
      </c>
      <c r="J187" s="16" t="s">
        <v>1713</v>
      </c>
      <c r="K187" s="16" t="s">
        <v>1714</v>
      </c>
      <c r="M187" s="20" t="str">
        <f t="shared" si="18"/>
        <v>ANCASH MARISCAL LUZURIAGA LUCMA</v>
      </c>
      <c r="N187" s="20">
        <f t="shared" si="19"/>
        <v>0</v>
      </c>
      <c r="O187" s="16" t="s">
        <v>96</v>
      </c>
      <c r="P187" s="16" t="s">
        <v>194</v>
      </c>
      <c r="Q187" s="16" t="s">
        <v>200</v>
      </c>
      <c r="R187" s="16" t="s">
        <v>1994</v>
      </c>
      <c r="T187" s="20">
        <f t="shared" si="20"/>
        <v>0</v>
      </c>
      <c r="U187" s="112" t="s">
        <v>1483</v>
      </c>
      <c r="V187" s="112" t="s">
        <v>4344</v>
      </c>
      <c r="W187" s="112" t="s">
        <v>4034</v>
      </c>
    </row>
    <row r="188" spans="1:23" x14ac:dyDescent="0.2">
      <c r="A188">
        <v>6</v>
      </c>
      <c r="B188" s="50" t="s">
        <v>3675</v>
      </c>
      <c r="C188" s="50" t="s">
        <v>4156</v>
      </c>
      <c r="D188" s="51" t="str">
        <f>IF(MOD4_6_5!V$21="","",MOD4_6_5!V$21)</f>
        <v/>
      </c>
      <c r="E188" s="21" t="s">
        <v>3706</v>
      </c>
      <c r="F188" s="128" t="str">
        <f t="shared" si="21"/>
        <v/>
      </c>
      <c r="I188" s="20">
        <f t="shared" si="17"/>
        <v>0</v>
      </c>
      <c r="J188" s="16" t="s">
        <v>1713</v>
      </c>
      <c r="K188" s="16" t="s">
        <v>1720</v>
      </c>
      <c r="M188" s="20" t="str">
        <f t="shared" si="18"/>
        <v>ANCASH MARISCAL LUZURIAGA MUSGA</v>
      </c>
      <c r="N188" s="20">
        <f t="shared" si="19"/>
        <v>0</v>
      </c>
      <c r="O188" s="16" t="s">
        <v>96</v>
      </c>
      <c r="P188" s="16" t="s">
        <v>194</v>
      </c>
      <c r="Q188" s="16" t="s">
        <v>201</v>
      </c>
      <c r="R188" s="16" t="s">
        <v>1995</v>
      </c>
      <c r="T188" s="20">
        <f t="shared" si="20"/>
        <v>0</v>
      </c>
      <c r="U188" s="112" t="s">
        <v>1542</v>
      </c>
      <c r="V188" s="112" t="s">
        <v>4349</v>
      </c>
      <c r="W188" s="112" t="s">
        <v>3877</v>
      </c>
    </row>
    <row r="189" spans="1:23" x14ac:dyDescent="0.2">
      <c r="A189">
        <v>6</v>
      </c>
      <c r="B189" s="50" t="s">
        <v>3675</v>
      </c>
      <c r="C189" s="50" t="s">
        <v>4157</v>
      </c>
      <c r="D189" s="51" t="str">
        <f>IF(MOD4_6_5!AC$21="","",MOD4_6_5!AC$21)</f>
        <v/>
      </c>
      <c r="E189" s="21" t="s">
        <v>3711</v>
      </c>
      <c r="F189" s="128" t="str">
        <f t="shared" si="21"/>
        <v/>
      </c>
      <c r="I189" s="20">
        <f t="shared" si="17"/>
        <v>0</v>
      </c>
      <c r="J189" s="16" t="s">
        <v>1713</v>
      </c>
      <c r="K189" s="16" t="s">
        <v>1713</v>
      </c>
      <c r="M189" s="20" t="str">
        <f t="shared" si="18"/>
        <v>ANCASH MARISCAL LUZURIAGA PISCOBAMBA</v>
      </c>
      <c r="N189" s="20">
        <f t="shared" si="19"/>
        <v>0</v>
      </c>
      <c r="O189" s="16" t="s">
        <v>96</v>
      </c>
      <c r="P189" s="16" t="s">
        <v>194</v>
      </c>
      <c r="Q189" s="16" t="s">
        <v>203</v>
      </c>
      <c r="R189" s="16" t="s">
        <v>1996</v>
      </c>
      <c r="T189" s="20">
        <f t="shared" si="20"/>
        <v>0</v>
      </c>
      <c r="U189" s="112" t="s">
        <v>1542</v>
      </c>
      <c r="V189" s="112" t="s">
        <v>4350</v>
      </c>
      <c r="W189" s="112" t="s">
        <v>3890</v>
      </c>
    </row>
    <row r="190" spans="1:23" x14ac:dyDescent="0.2">
      <c r="A190">
        <v>6</v>
      </c>
      <c r="C190" s="50" t="s">
        <v>4158</v>
      </c>
      <c r="D190" s="51" t="str">
        <f>IF(MOD4_6_5!AP$13="","",MOD4_6_5!AP$13)</f>
        <v/>
      </c>
      <c r="F190" s="128" t="str">
        <f t="shared" si="21"/>
        <v/>
      </c>
      <c r="I190" s="20">
        <f t="shared" si="17"/>
        <v>0</v>
      </c>
      <c r="J190" s="16" t="s">
        <v>1713</v>
      </c>
      <c r="K190" s="16" t="s">
        <v>1733</v>
      </c>
      <c r="M190" s="20" t="str">
        <f t="shared" si="18"/>
        <v>ANCASH OCROS ACAS</v>
      </c>
      <c r="N190" s="20">
        <f t="shared" si="19"/>
        <v>0</v>
      </c>
      <c r="O190" s="16" t="s">
        <v>96</v>
      </c>
      <c r="P190" s="16" t="s">
        <v>204</v>
      </c>
      <c r="Q190" s="16" t="s">
        <v>205</v>
      </c>
      <c r="R190" s="16" t="s">
        <v>1997</v>
      </c>
      <c r="T190" s="20">
        <f t="shared" si="20"/>
        <v>0</v>
      </c>
      <c r="U190" s="112" t="s">
        <v>1542</v>
      </c>
      <c r="V190" s="112" t="s">
        <v>4351</v>
      </c>
      <c r="W190" s="112" t="s">
        <v>3906</v>
      </c>
    </row>
    <row r="191" spans="1:23" x14ac:dyDescent="0.2">
      <c r="A191">
        <v>6</v>
      </c>
      <c r="B191" s="50" t="s">
        <v>4067</v>
      </c>
      <c r="C191" s="50" t="s">
        <v>4159</v>
      </c>
      <c r="D191" s="51" t="str">
        <f>IF(MOD4_6_6!H$21="","",MOD4_6_6!H$21)</f>
        <v/>
      </c>
      <c r="E191" s="21" t="s">
        <v>3706</v>
      </c>
      <c r="F191" s="128" t="str">
        <f t="shared" si="21"/>
        <v/>
      </c>
      <c r="I191" s="20">
        <f t="shared" si="17"/>
        <v>0</v>
      </c>
      <c r="J191" s="16" t="s">
        <v>1741</v>
      </c>
      <c r="K191" s="16" t="s">
        <v>1742</v>
      </c>
      <c r="M191" s="20" t="str">
        <f t="shared" si="18"/>
        <v>ANCASH OCROS CAJAMARQUILLA</v>
      </c>
      <c r="N191" s="20">
        <f t="shared" si="19"/>
        <v>0</v>
      </c>
      <c r="O191" s="16" t="s">
        <v>96</v>
      </c>
      <c r="P191" s="16" t="s">
        <v>204</v>
      </c>
      <c r="Q191" s="16" t="s">
        <v>206</v>
      </c>
      <c r="R191" s="16" t="s">
        <v>1998</v>
      </c>
      <c r="T191" s="20">
        <f t="shared" si="20"/>
        <v>0</v>
      </c>
      <c r="U191" s="112" t="s">
        <v>1542</v>
      </c>
      <c r="V191" s="112" t="s">
        <v>4352</v>
      </c>
      <c r="W191" s="112" t="s">
        <v>3919</v>
      </c>
    </row>
    <row r="192" spans="1:23" x14ac:dyDescent="0.2">
      <c r="A192">
        <v>6</v>
      </c>
      <c r="B192" s="50" t="s">
        <v>4067</v>
      </c>
      <c r="C192" s="50" t="s">
        <v>4160</v>
      </c>
      <c r="D192" s="51" t="str">
        <f>IF(MOD4_6_6!O$21="","",MOD4_6_6!O$21)</f>
        <v/>
      </c>
      <c r="E192" s="21" t="s">
        <v>3788</v>
      </c>
      <c r="F192" s="128" t="str">
        <f t="shared" si="21"/>
        <v/>
      </c>
      <c r="I192" s="20">
        <f t="shared" si="17"/>
        <v>0</v>
      </c>
      <c r="J192" s="16" t="s">
        <v>1741</v>
      </c>
      <c r="K192" s="16" t="s">
        <v>1741</v>
      </c>
      <c r="M192" s="20" t="str">
        <f t="shared" si="18"/>
        <v>ANCASH OCROS CARHUAPAMPA</v>
      </c>
      <c r="N192" s="20">
        <f t="shared" si="19"/>
        <v>0</v>
      </c>
      <c r="O192" s="16" t="s">
        <v>96</v>
      </c>
      <c r="P192" s="16" t="s">
        <v>204</v>
      </c>
      <c r="Q192" s="16" t="s">
        <v>207</v>
      </c>
      <c r="R192" s="16" t="s">
        <v>1999</v>
      </c>
      <c r="T192" s="20">
        <f t="shared" si="20"/>
        <v>0</v>
      </c>
      <c r="U192" s="112" t="s">
        <v>1542</v>
      </c>
      <c r="V192" s="112" t="s">
        <v>4353</v>
      </c>
      <c r="W192" s="112" t="s">
        <v>3924</v>
      </c>
    </row>
    <row r="193" spans="1:23" x14ac:dyDescent="0.2">
      <c r="A193">
        <v>6</v>
      </c>
      <c r="B193" s="50" t="s">
        <v>4067</v>
      </c>
      <c r="C193" s="50" t="s">
        <v>4161</v>
      </c>
      <c r="D193" s="51" t="str">
        <f>IF(MOD4_6_6!V$21="","",MOD4_6_6!V$21)</f>
        <v/>
      </c>
      <c r="E193" s="21" t="s">
        <v>3706</v>
      </c>
      <c r="F193" s="128" t="str">
        <f t="shared" si="21"/>
        <v/>
      </c>
      <c r="I193" s="20">
        <f t="shared" si="17"/>
        <v>0</v>
      </c>
      <c r="J193" s="16" t="s">
        <v>1741</v>
      </c>
      <c r="K193" s="16" t="s">
        <v>1751</v>
      </c>
      <c r="M193" s="20" t="str">
        <f t="shared" si="18"/>
        <v>ANCASH OCROS COCHAS</v>
      </c>
      <c r="N193" s="20">
        <f t="shared" si="19"/>
        <v>0</v>
      </c>
      <c r="O193" s="16" t="s">
        <v>96</v>
      </c>
      <c r="P193" s="16" t="s">
        <v>204</v>
      </c>
      <c r="Q193" s="16" t="s">
        <v>208</v>
      </c>
      <c r="R193" s="16" t="s">
        <v>2000</v>
      </c>
      <c r="T193" s="20">
        <f t="shared" si="20"/>
        <v>0</v>
      </c>
      <c r="U193" s="112" t="s">
        <v>1542</v>
      </c>
      <c r="V193" s="112" t="s">
        <v>4354</v>
      </c>
      <c r="W193" s="112" t="s">
        <v>3936</v>
      </c>
    </row>
    <row r="194" spans="1:23" x14ac:dyDescent="0.2">
      <c r="A194">
        <v>6</v>
      </c>
      <c r="B194" s="50" t="s">
        <v>4067</v>
      </c>
      <c r="C194" s="50" t="s">
        <v>4162</v>
      </c>
      <c r="D194" s="51" t="str">
        <f>IF(MOD4_6_6!AC$21="","",MOD4_6_6!AC$21)</f>
        <v/>
      </c>
      <c r="E194" s="21" t="s">
        <v>3711</v>
      </c>
      <c r="F194" s="128" t="str">
        <f t="shared" si="21"/>
        <v/>
      </c>
      <c r="I194" s="20">
        <f t="shared" si="17"/>
        <v>0</v>
      </c>
      <c r="J194" s="16" t="s">
        <v>1419</v>
      </c>
      <c r="K194" s="16" t="s">
        <v>1755</v>
      </c>
      <c r="M194" s="20" t="str">
        <f t="shared" si="18"/>
        <v>ANCASH OCROS CONGAS</v>
      </c>
      <c r="N194" s="20">
        <f t="shared" si="19"/>
        <v>0</v>
      </c>
      <c r="O194" s="16" t="s">
        <v>96</v>
      </c>
      <c r="P194" s="16" t="s">
        <v>204</v>
      </c>
      <c r="Q194" s="16" t="s">
        <v>209</v>
      </c>
      <c r="R194" s="16" t="s">
        <v>2001</v>
      </c>
      <c r="T194" s="20">
        <f t="shared" si="20"/>
        <v>0</v>
      </c>
      <c r="U194" s="112" t="s">
        <v>1542</v>
      </c>
      <c r="V194" s="112" t="s">
        <v>4355</v>
      </c>
      <c r="W194" s="112" t="s">
        <v>3964</v>
      </c>
    </row>
    <row r="195" spans="1:23" x14ac:dyDescent="0.2">
      <c r="A195">
        <v>6</v>
      </c>
      <c r="C195" s="50" t="s">
        <v>4163</v>
      </c>
      <c r="D195" s="51" t="str">
        <f>IF(MOD4_6_6!AP$13="","",MOD4_6_6!AP$13)</f>
        <v/>
      </c>
      <c r="F195" s="128" t="str">
        <f t="shared" si="21"/>
        <v/>
      </c>
      <c r="I195" s="20">
        <f>IF($D$9=J195,I194+1,0)</f>
        <v>0</v>
      </c>
      <c r="J195" s="16" t="s">
        <v>1419</v>
      </c>
      <c r="K195" s="16" t="s">
        <v>1760</v>
      </c>
      <c r="M195" s="20" t="str">
        <f t="shared" ref="M195:M258" si="22">O195&amp;" "&amp;P195&amp;" "&amp;Q195</f>
        <v>ANCASH OCROS LLIPA</v>
      </c>
      <c r="N195" s="20">
        <f t="shared" ref="N195:N258" si="23">IF(AND($D$9=O195,$D$10=P195),N194+1,0)</f>
        <v>0</v>
      </c>
      <c r="O195" s="16" t="s">
        <v>96</v>
      </c>
      <c r="P195" s="16" t="s">
        <v>204</v>
      </c>
      <c r="Q195" s="16" t="s">
        <v>211</v>
      </c>
      <c r="R195" s="16" t="s">
        <v>2002</v>
      </c>
      <c r="T195" s="20">
        <f t="shared" ref="T195:T222" si="24">IF($D$9=U195,T194+1,0)</f>
        <v>0</v>
      </c>
      <c r="U195" s="112" t="s">
        <v>1542</v>
      </c>
      <c r="V195" s="112" t="s">
        <v>4356</v>
      </c>
      <c r="W195" s="112" t="s">
        <v>3975</v>
      </c>
    </row>
    <row r="196" spans="1:23" x14ac:dyDescent="0.2">
      <c r="A196">
        <v>6</v>
      </c>
      <c r="B196" s="50" t="s">
        <v>4068</v>
      </c>
      <c r="C196" s="50" t="s">
        <v>4164</v>
      </c>
      <c r="D196" s="51" t="str">
        <f>IF(MOD4_6_7!H$21="","",MOD4_6_7!H$21)</f>
        <v/>
      </c>
      <c r="E196" s="21" t="s">
        <v>3706</v>
      </c>
      <c r="F196" s="128" t="str">
        <f t="shared" si="21"/>
        <v/>
      </c>
      <c r="I196" s="20">
        <f>IF($D$9=J196,I195+1,0)</f>
        <v>0</v>
      </c>
      <c r="J196" s="16" t="s">
        <v>1419</v>
      </c>
      <c r="K196" s="16" t="s">
        <v>1768</v>
      </c>
      <c r="M196" s="20" t="str">
        <f t="shared" si="22"/>
        <v>ANCASH OCROS OCROS</v>
      </c>
      <c r="N196" s="20">
        <f t="shared" si="23"/>
        <v>0</v>
      </c>
      <c r="O196" s="16" t="s">
        <v>96</v>
      </c>
      <c r="P196" s="16" t="s">
        <v>204</v>
      </c>
      <c r="Q196" s="16" t="s">
        <v>204</v>
      </c>
      <c r="R196" s="16" t="s">
        <v>2003</v>
      </c>
      <c r="T196" s="20">
        <f t="shared" si="24"/>
        <v>0</v>
      </c>
      <c r="U196" s="112" t="s">
        <v>1542</v>
      </c>
      <c r="V196" s="112" t="s">
        <v>4357</v>
      </c>
      <c r="W196" s="112" t="s">
        <v>3976</v>
      </c>
    </row>
    <row r="197" spans="1:23" x14ac:dyDescent="0.2">
      <c r="A197">
        <v>6</v>
      </c>
      <c r="B197" s="50" t="s">
        <v>4068</v>
      </c>
      <c r="C197" s="50" t="s">
        <v>4165</v>
      </c>
      <c r="D197" s="51" t="str">
        <f>IF(MOD4_6_7!O$21="","",MOD4_6_7!O$21)</f>
        <v/>
      </c>
      <c r="E197" s="21" t="s">
        <v>3788</v>
      </c>
      <c r="F197" s="128" t="str">
        <f t="shared" si="21"/>
        <v/>
      </c>
      <c r="I197" s="20">
        <f>IF($D$9=J197,I196+1,0)</f>
        <v>0</v>
      </c>
      <c r="J197" s="16" t="s">
        <v>1419</v>
      </c>
      <c r="K197" s="16" t="s">
        <v>1772</v>
      </c>
      <c r="M197" s="20" t="str">
        <f t="shared" si="22"/>
        <v>ANCASH OCROS SAN CRISTOBAL DE RAJAN</v>
      </c>
      <c r="N197" s="20">
        <f t="shared" si="23"/>
        <v>0</v>
      </c>
      <c r="O197" s="16" t="s">
        <v>96</v>
      </c>
      <c r="P197" s="16" t="s">
        <v>204</v>
      </c>
      <c r="Q197" s="16" t="s">
        <v>212</v>
      </c>
      <c r="R197" s="16" t="s">
        <v>2004</v>
      </c>
      <c r="T197" s="20">
        <f t="shared" si="24"/>
        <v>0</v>
      </c>
      <c r="U197" s="112" t="s">
        <v>1542</v>
      </c>
      <c r="V197" s="112" t="s">
        <v>4358</v>
      </c>
      <c r="W197" s="112" t="s">
        <v>4003</v>
      </c>
    </row>
    <row r="198" spans="1:23" x14ac:dyDescent="0.2">
      <c r="A198">
        <v>6</v>
      </c>
      <c r="B198" s="50" t="s">
        <v>4068</v>
      </c>
      <c r="C198" s="50" t="s">
        <v>4166</v>
      </c>
      <c r="D198" s="51" t="str">
        <f>IF(MOD4_6_7!V$21="","",MOD4_6_7!V$21)</f>
        <v/>
      </c>
      <c r="E198" s="21" t="s">
        <v>3706</v>
      </c>
      <c r="F198" s="128" t="str">
        <f t="shared" si="21"/>
        <v/>
      </c>
      <c r="J198" s="16"/>
      <c r="K198" s="16"/>
      <c r="M198" s="20" t="str">
        <f t="shared" si="22"/>
        <v>ANCASH OCROS SAN PEDRO</v>
      </c>
      <c r="N198" s="20">
        <f t="shared" si="23"/>
        <v>0</v>
      </c>
      <c r="O198" s="16" t="s">
        <v>96</v>
      </c>
      <c r="P198" s="16" t="s">
        <v>204</v>
      </c>
      <c r="Q198" s="16" t="s">
        <v>116</v>
      </c>
      <c r="R198" s="16" t="s">
        <v>2005</v>
      </c>
      <c r="T198" s="20">
        <f t="shared" si="24"/>
        <v>0</v>
      </c>
      <c r="U198" s="112" t="s">
        <v>1542</v>
      </c>
      <c r="V198" s="112" t="s">
        <v>4359</v>
      </c>
      <c r="W198" s="112" t="s">
        <v>4014</v>
      </c>
    </row>
    <row r="199" spans="1:23" x14ac:dyDescent="0.2">
      <c r="A199">
        <v>6</v>
      </c>
      <c r="B199" s="50" t="s">
        <v>4068</v>
      </c>
      <c r="C199" s="50" t="s">
        <v>4167</v>
      </c>
      <c r="D199" s="51" t="str">
        <f>IF(MOD4_6_7!AC$21="","",MOD4_6_7!AC$21)</f>
        <v/>
      </c>
      <c r="E199" s="21" t="s">
        <v>3711</v>
      </c>
      <c r="F199" s="128" t="str">
        <f t="shared" si="21"/>
        <v/>
      </c>
      <c r="M199" s="20" t="str">
        <f t="shared" si="22"/>
        <v>ANCASH OCROS SANTIAGO DE CHILCAS</v>
      </c>
      <c r="N199" s="20">
        <f t="shared" si="23"/>
        <v>0</v>
      </c>
      <c r="O199" s="16" t="s">
        <v>96</v>
      </c>
      <c r="P199" s="16" t="s">
        <v>204</v>
      </c>
      <c r="Q199" s="16" t="s">
        <v>213</v>
      </c>
      <c r="R199" s="16" t="s">
        <v>2006</v>
      </c>
      <c r="T199" s="20">
        <f t="shared" si="24"/>
        <v>0</v>
      </c>
      <c r="U199" s="112" t="s">
        <v>1542</v>
      </c>
      <c r="V199" s="112" t="s">
        <v>4360</v>
      </c>
      <c r="W199" s="112" t="s">
        <v>4019</v>
      </c>
    </row>
    <row r="200" spans="1:23" x14ac:dyDescent="0.2">
      <c r="A200">
        <v>6</v>
      </c>
      <c r="C200" s="50" t="s">
        <v>4168</v>
      </c>
      <c r="D200" s="51" t="str">
        <f>IF(MOD4_6_7!AP$13="","",MOD4_6_7!AP$13)</f>
        <v/>
      </c>
      <c r="F200" s="128" t="str">
        <f t="shared" si="21"/>
        <v/>
      </c>
      <c r="M200" s="20" t="str">
        <f t="shared" si="22"/>
        <v>ANCASH PALLASCA BOLOGNESI</v>
      </c>
      <c r="N200" s="20">
        <f t="shared" si="23"/>
        <v>0</v>
      </c>
      <c r="O200" s="16" t="s">
        <v>96</v>
      </c>
      <c r="P200" s="16" t="s">
        <v>214</v>
      </c>
      <c r="Q200" s="16" t="s">
        <v>111</v>
      </c>
      <c r="R200" s="16" t="s">
        <v>2007</v>
      </c>
      <c r="T200" s="20">
        <f t="shared" si="24"/>
        <v>0</v>
      </c>
      <c r="U200" s="112" t="s">
        <v>1542</v>
      </c>
      <c r="V200" s="112" t="s">
        <v>4361</v>
      </c>
      <c r="W200" s="112" t="s">
        <v>4021</v>
      </c>
    </row>
    <row r="201" spans="1:23" x14ac:dyDescent="0.2">
      <c r="A201">
        <v>6</v>
      </c>
      <c r="B201" s="50" t="s">
        <v>4069</v>
      </c>
      <c r="C201" s="50" t="s">
        <v>4169</v>
      </c>
      <c r="D201" s="51" t="str">
        <f>IF(MOD4_6_8!H$21="","",MOD4_6_8!H$21)</f>
        <v/>
      </c>
      <c r="E201" s="21" t="s">
        <v>3706</v>
      </c>
      <c r="F201" s="128" t="str">
        <f t="shared" si="21"/>
        <v/>
      </c>
      <c r="M201" s="20" t="str">
        <f t="shared" si="22"/>
        <v>ANCASH PALLASCA CABANA</v>
      </c>
      <c r="N201" s="20">
        <f t="shared" si="23"/>
        <v>0</v>
      </c>
      <c r="O201" s="16" t="s">
        <v>96</v>
      </c>
      <c r="P201" s="16" t="s">
        <v>214</v>
      </c>
      <c r="Q201" s="16" t="s">
        <v>215</v>
      </c>
      <c r="R201" s="16" t="s">
        <v>2008</v>
      </c>
      <c r="T201" s="20">
        <f t="shared" si="24"/>
        <v>0</v>
      </c>
      <c r="U201" s="112" t="s">
        <v>1542</v>
      </c>
      <c r="V201" s="112" t="s">
        <v>4362</v>
      </c>
      <c r="W201" s="112" t="s">
        <v>4051</v>
      </c>
    </row>
    <row r="202" spans="1:23" x14ac:dyDescent="0.2">
      <c r="A202">
        <v>6</v>
      </c>
      <c r="B202" s="50" t="s">
        <v>4069</v>
      </c>
      <c r="C202" s="50" t="s">
        <v>4170</v>
      </c>
      <c r="D202" s="51" t="str">
        <f>IF(MOD4_6_8!O$21="","",MOD4_6_8!O$21)</f>
        <v/>
      </c>
      <c r="E202" s="21" t="s">
        <v>3788</v>
      </c>
      <c r="F202" s="128" t="str">
        <f t="shared" si="21"/>
        <v/>
      </c>
      <c r="M202" s="20" t="str">
        <f t="shared" si="22"/>
        <v>ANCASH PALLASCA CONCHUCOS</v>
      </c>
      <c r="N202" s="20">
        <f t="shared" si="23"/>
        <v>0</v>
      </c>
      <c r="O202" s="16" t="s">
        <v>96</v>
      </c>
      <c r="P202" s="16" t="s">
        <v>214</v>
      </c>
      <c r="Q202" s="16" t="s">
        <v>216</v>
      </c>
      <c r="R202" s="16" t="s">
        <v>2009</v>
      </c>
      <c r="T202" s="20">
        <f t="shared" si="24"/>
        <v>0</v>
      </c>
      <c r="U202" s="112" t="s">
        <v>1644</v>
      </c>
      <c r="V202" s="112" t="s">
        <v>4363</v>
      </c>
      <c r="W202" s="112" t="s">
        <v>3879</v>
      </c>
    </row>
    <row r="203" spans="1:23" x14ac:dyDescent="0.2">
      <c r="A203">
        <v>6</v>
      </c>
      <c r="B203" s="50" t="s">
        <v>4069</v>
      </c>
      <c r="C203" s="50" t="s">
        <v>4171</v>
      </c>
      <c r="D203" s="51" t="str">
        <f>IF(MOD4_6_8!V$21="","",MOD4_6_8!V$21)</f>
        <v/>
      </c>
      <c r="E203" s="21" t="s">
        <v>3706</v>
      </c>
      <c r="F203" s="128" t="str">
        <f t="shared" si="21"/>
        <v/>
      </c>
      <c r="M203" s="20" t="str">
        <f t="shared" si="22"/>
        <v>ANCASH PALLASCA HUACASCHUQUE</v>
      </c>
      <c r="N203" s="20">
        <f t="shared" si="23"/>
        <v>0</v>
      </c>
      <c r="O203" s="16" t="s">
        <v>96</v>
      </c>
      <c r="P203" s="16" t="s">
        <v>214</v>
      </c>
      <c r="Q203" s="16" t="s">
        <v>217</v>
      </c>
      <c r="R203" s="16" t="s">
        <v>2010</v>
      </c>
      <c r="T203" s="20">
        <f t="shared" si="24"/>
        <v>0</v>
      </c>
      <c r="U203" s="112" t="s">
        <v>1644</v>
      </c>
      <c r="V203" s="112" t="s">
        <v>4364</v>
      </c>
      <c r="W203" s="112" t="s">
        <v>3925</v>
      </c>
    </row>
    <row r="204" spans="1:23" x14ac:dyDescent="0.2">
      <c r="A204">
        <v>6</v>
      </c>
      <c r="B204" s="50" t="s">
        <v>4069</v>
      </c>
      <c r="C204" s="50" t="s">
        <v>4172</v>
      </c>
      <c r="D204" s="51" t="str">
        <f>IF(MOD4_6_8!AC$21="","",MOD4_6_8!AC$21)</f>
        <v/>
      </c>
      <c r="E204" s="21" t="s">
        <v>3711</v>
      </c>
      <c r="F204" s="128" t="str">
        <f t="shared" si="21"/>
        <v/>
      </c>
      <c r="M204" s="20" t="str">
        <f t="shared" si="22"/>
        <v>ANCASH PALLASCA HUANDOVAL</v>
      </c>
      <c r="N204" s="20">
        <f t="shared" si="23"/>
        <v>0</v>
      </c>
      <c r="O204" s="16" t="s">
        <v>96</v>
      </c>
      <c r="P204" s="16" t="s">
        <v>214</v>
      </c>
      <c r="Q204" s="16" t="s">
        <v>218</v>
      </c>
      <c r="R204" s="16" t="s">
        <v>2011</v>
      </c>
      <c r="T204" s="20">
        <f t="shared" si="24"/>
        <v>0</v>
      </c>
      <c r="U204" s="112" t="s">
        <v>1644</v>
      </c>
      <c r="V204" s="112" t="s">
        <v>4365</v>
      </c>
      <c r="W204" s="112" t="s">
        <v>3932</v>
      </c>
    </row>
    <row r="205" spans="1:23" x14ac:dyDescent="0.2">
      <c r="A205">
        <v>6</v>
      </c>
      <c r="C205" s="50" t="s">
        <v>4173</v>
      </c>
      <c r="D205" s="51" t="str">
        <f>IF(MOD4_6_8!AP$13="","",MOD4_6_8!AP$13)</f>
        <v/>
      </c>
      <c r="F205" s="128" t="str">
        <f t="shared" si="21"/>
        <v/>
      </c>
      <c r="M205" s="20" t="str">
        <f t="shared" si="22"/>
        <v>ANCASH PALLASCA LACABAMBA</v>
      </c>
      <c r="N205" s="20">
        <f t="shared" si="23"/>
        <v>0</v>
      </c>
      <c r="O205" s="16" t="s">
        <v>96</v>
      </c>
      <c r="P205" s="16" t="s">
        <v>214</v>
      </c>
      <c r="Q205" s="16" t="s">
        <v>219</v>
      </c>
      <c r="R205" s="16" t="s">
        <v>2012</v>
      </c>
      <c r="T205" s="20">
        <f t="shared" si="24"/>
        <v>0</v>
      </c>
      <c r="U205" s="112" t="s">
        <v>1644</v>
      </c>
      <c r="V205" s="112" t="s">
        <v>4366</v>
      </c>
      <c r="W205" s="112" t="s">
        <v>3962</v>
      </c>
    </row>
    <row r="206" spans="1:23" x14ac:dyDescent="0.2">
      <c r="C206"/>
      <c r="M206" s="20" t="str">
        <f t="shared" si="22"/>
        <v>ANCASH PALLASCA LLAPO</v>
      </c>
      <c r="N206" s="20">
        <f t="shared" si="23"/>
        <v>0</v>
      </c>
      <c r="O206" s="16" t="s">
        <v>96</v>
      </c>
      <c r="P206" s="16" t="s">
        <v>214</v>
      </c>
      <c r="Q206" s="16" t="s">
        <v>220</v>
      </c>
      <c r="R206" s="16" t="s">
        <v>2013</v>
      </c>
      <c r="T206" s="20">
        <f t="shared" si="24"/>
        <v>0</v>
      </c>
      <c r="U206" s="112" t="s">
        <v>1644</v>
      </c>
      <c r="V206" s="112" t="s">
        <v>4365</v>
      </c>
      <c r="W206" s="112" t="s">
        <v>3971</v>
      </c>
    </row>
    <row r="207" spans="1:23" x14ac:dyDescent="0.2">
      <c r="B207" t="s">
        <v>4078</v>
      </c>
      <c r="C207" s="50" t="s">
        <v>4118</v>
      </c>
      <c r="D207" s="87">
        <f>'MOD7'!P31</f>
        <v>0</v>
      </c>
      <c r="M207" s="20" t="str">
        <f t="shared" si="22"/>
        <v>ANCASH PALLASCA PALLASCA</v>
      </c>
      <c r="N207" s="20">
        <f t="shared" si="23"/>
        <v>0</v>
      </c>
      <c r="O207" s="16" t="s">
        <v>96</v>
      </c>
      <c r="P207" s="16" t="s">
        <v>214</v>
      </c>
      <c r="Q207" s="16" t="s">
        <v>214</v>
      </c>
      <c r="R207" s="16" t="s">
        <v>2014</v>
      </c>
      <c r="T207" s="20">
        <f t="shared" si="24"/>
        <v>0</v>
      </c>
      <c r="U207" s="112" t="s">
        <v>1644</v>
      </c>
      <c r="V207" s="112" t="s">
        <v>4367</v>
      </c>
      <c r="W207" s="112" t="s">
        <v>3978</v>
      </c>
    </row>
    <row r="208" spans="1:23" x14ac:dyDescent="0.2">
      <c r="B208" t="s">
        <v>4089</v>
      </c>
      <c r="C208" s="50" t="s">
        <v>4118</v>
      </c>
      <c r="D208" s="87">
        <f>'MOD7'!AG31</f>
        <v>0</v>
      </c>
      <c r="M208" s="20" t="str">
        <f t="shared" si="22"/>
        <v>ANCASH PALLASCA PAMPAS</v>
      </c>
      <c r="N208" s="20">
        <f t="shared" si="23"/>
        <v>0</v>
      </c>
      <c r="O208" s="16" t="s">
        <v>96</v>
      </c>
      <c r="P208" s="16" t="s">
        <v>214</v>
      </c>
      <c r="Q208" s="16" t="s">
        <v>221</v>
      </c>
      <c r="R208" s="16" t="s">
        <v>2015</v>
      </c>
      <c r="T208" s="20">
        <f t="shared" si="24"/>
        <v>0</v>
      </c>
      <c r="U208" s="112" t="s">
        <v>1644</v>
      </c>
      <c r="V208" s="112" t="s">
        <v>4364</v>
      </c>
      <c r="W208" s="112" t="s">
        <v>3998</v>
      </c>
    </row>
    <row r="209" spans="2:23" x14ac:dyDescent="0.2">
      <c r="B209" t="s">
        <v>4090</v>
      </c>
      <c r="C209" s="50" t="s">
        <v>4118</v>
      </c>
      <c r="D209" s="87">
        <f>'MOD7'!P36</f>
        <v>0</v>
      </c>
      <c r="M209" s="20" t="str">
        <f t="shared" si="22"/>
        <v>ANCASH PALLASCA SANTA ROSA</v>
      </c>
      <c r="N209" s="20">
        <f t="shared" si="23"/>
        <v>0</v>
      </c>
      <c r="O209" s="16" t="s">
        <v>96</v>
      </c>
      <c r="P209" s="16" t="s">
        <v>214</v>
      </c>
      <c r="Q209" s="16" t="s">
        <v>85</v>
      </c>
      <c r="R209" s="16" t="s">
        <v>2016</v>
      </c>
      <c r="T209" s="20">
        <f t="shared" si="24"/>
        <v>0</v>
      </c>
      <c r="U209" s="112" t="s">
        <v>1644</v>
      </c>
      <c r="V209" s="112" t="s">
        <v>4368</v>
      </c>
      <c r="W209" s="112" t="s">
        <v>4012</v>
      </c>
    </row>
    <row r="210" spans="2:23" x14ac:dyDescent="0.2">
      <c r="B210" t="s">
        <v>4091</v>
      </c>
      <c r="C210" s="50" t="s">
        <v>4118</v>
      </c>
      <c r="D210" s="87">
        <f>'MOD7'!AG36</f>
        <v>0</v>
      </c>
      <c r="M210" s="20" t="str">
        <f t="shared" si="22"/>
        <v>ANCASH PALLASCA TAUCA</v>
      </c>
      <c r="N210" s="20">
        <f t="shared" si="23"/>
        <v>0</v>
      </c>
      <c r="O210" s="16" t="s">
        <v>96</v>
      </c>
      <c r="P210" s="16" t="s">
        <v>214</v>
      </c>
      <c r="Q210" s="16" t="s">
        <v>222</v>
      </c>
      <c r="R210" s="16" t="s">
        <v>2017</v>
      </c>
      <c r="T210" s="20">
        <f t="shared" si="24"/>
        <v>0</v>
      </c>
      <c r="U210" s="112" t="s">
        <v>1644</v>
      </c>
      <c r="V210" s="112" t="s">
        <v>4364</v>
      </c>
      <c r="W210" s="112" t="s">
        <v>4016</v>
      </c>
    </row>
    <row r="211" spans="2:23" x14ac:dyDescent="0.2">
      <c r="B211" t="s">
        <v>4092</v>
      </c>
      <c r="C211" s="50" t="s">
        <v>4118</v>
      </c>
      <c r="D211" s="87">
        <f>'MOD7'!P41</f>
        <v>0</v>
      </c>
      <c r="M211" s="20" t="str">
        <f t="shared" si="22"/>
        <v>ANCASH POMABAMBA HUAYLLAN</v>
      </c>
      <c r="N211" s="20">
        <f t="shared" si="23"/>
        <v>0</v>
      </c>
      <c r="O211" s="16" t="s">
        <v>96</v>
      </c>
      <c r="P211" s="16" t="s">
        <v>223</v>
      </c>
      <c r="Q211" s="16" t="s">
        <v>224</v>
      </c>
      <c r="R211" s="16" t="s">
        <v>2018</v>
      </c>
      <c r="T211" s="20">
        <f t="shared" si="24"/>
        <v>0</v>
      </c>
      <c r="U211" s="112" t="s">
        <v>1644</v>
      </c>
      <c r="V211" s="112" t="s">
        <v>4369</v>
      </c>
      <c r="W211" s="112" t="s">
        <v>4039</v>
      </c>
    </row>
    <row r="212" spans="2:23" x14ac:dyDescent="0.2">
      <c r="B212" t="s">
        <v>4055</v>
      </c>
      <c r="C212" s="50" t="s">
        <v>4118</v>
      </c>
      <c r="D212" s="87">
        <f>'MOD7'!AG41</f>
        <v>0</v>
      </c>
      <c r="M212" s="20" t="str">
        <f t="shared" si="22"/>
        <v>ANCASH POMABAMBA PAROBAMBA</v>
      </c>
      <c r="N212" s="20">
        <f t="shared" si="23"/>
        <v>0</v>
      </c>
      <c r="O212" s="16" t="s">
        <v>96</v>
      </c>
      <c r="P212" s="16" t="s">
        <v>223</v>
      </c>
      <c r="Q212" s="16" t="s">
        <v>225</v>
      </c>
      <c r="R212" s="16" t="s">
        <v>2019</v>
      </c>
      <c r="T212" s="20">
        <f t="shared" si="24"/>
        <v>0</v>
      </c>
      <c r="U212" s="112" t="s">
        <v>1713</v>
      </c>
      <c r="V212" s="112" t="s">
        <v>4370</v>
      </c>
      <c r="W212" s="112" t="s">
        <v>3888</v>
      </c>
    </row>
    <row r="213" spans="2:23" x14ac:dyDescent="0.2">
      <c r="B213" t="s">
        <v>4119</v>
      </c>
      <c r="C213" s="50" t="s">
        <v>4118</v>
      </c>
      <c r="D213" s="87">
        <f>'MOD7'!P46</f>
        <v>0</v>
      </c>
      <c r="M213" s="20" t="str">
        <f t="shared" si="22"/>
        <v>ANCASH POMABAMBA POMABAMBA</v>
      </c>
      <c r="N213" s="20">
        <f t="shared" si="23"/>
        <v>0</v>
      </c>
      <c r="O213" s="16" t="s">
        <v>96</v>
      </c>
      <c r="P213" s="16" t="s">
        <v>223</v>
      </c>
      <c r="Q213" s="16" t="s">
        <v>223</v>
      </c>
      <c r="R213" s="16" t="s">
        <v>2020</v>
      </c>
      <c r="T213" s="20">
        <f t="shared" si="24"/>
        <v>0</v>
      </c>
      <c r="U213" s="112" t="s">
        <v>1713</v>
      </c>
      <c r="V213" s="112" t="s">
        <v>4370</v>
      </c>
      <c r="W213" s="112" t="s">
        <v>3955</v>
      </c>
    </row>
    <row r="214" spans="2:23" x14ac:dyDescent="0.2">
      <c r="C214"/>
      <c r="M214" s="20" t="str">
        <f t="shared" si="22"/>
        <v>ANCASH POMABAMBA QUINUABAMBA</v>
      </c>
      <c r="N214" s="20">
        <f t="shared" si="23"/>
        <v>0</v>
      </c>
      <c r="O214" s="16" t="s">
        <v>96</v>
      </c>
      <c r="P214" s="16" t="s">
        <v>223</v>
      </c>
      <c r="Q214" s="16" t="s">
        <v>226</v>
      </c>
      <c r="R214" s="16" t="s">
        <v>2021</v>
      </c>
      <c r="T214" s="20">
        <f t="shared" si="24"/>
        <v>0</v>
      </c>
      <c r="U214" s="112" t="s">
        <v>1713</v>
      </c>
      <c r="V214" s="112" t="s">
        <v>4371</v>
      </c>
      <c r="W214" s="112" t="s">
        <v>4031</v>
      </c>
    </row>
    <row r="215" spans="2:23" x14ac:dyDescent="0.2">
      <c r="C215"/>
      <c r="M215" s="20" t="str">
        <f t="shared" si="22"/>
        <v>ANCASH RECUAY CATAC</v>
      </c>
      <c r="N215" s="20">
        <f t="shared" si="23"/>
        <v>0</v>
      </c>
      <c r="O215" s="16" t="s">
        <v>96</v>
      </c>
      <c r="P215" s="16" t="s">
        <v>227</v>
      </c>
      <c r="Q215" s="16" t="s">
        <v>228</v>
      </c>
      <c r="R215" s="16" t="s">
        <v>2022</v>
      </c>
      <c r="T215" s="20">
        <f t="shared" si="24"/>
        <v>0</v>
      </c>
      <c r="U215" s="112" t="s">
        <v>1713</v>
      </c>
      <c r="V215" s="112" t="s">
        <v>4370</v>
      </c>
      <c r="W215" s="112" t="s">
        <v>4036</v>
      </c>
    </row>
    <row r="216" spans="2:23" x14ac:dyDescent="0.2">
      <c r="C216"/>
      <c r="M216" s="20" t="str">
        <f t="shared" si="22"/>
        <v>ANCASH RECUAY COTAPARACO</v>
      </c>
      <c r="N216" s="20">
        <f t="shared" si="23"/>
        <v>0</v>
      </c>
      <c r="O216" s="16" t="s">
        <v>96</v>
      </c>
      <c r="P216" s="16" t="s">
        <v>227</v>
      </c>
      <c r="Q216" s="16" t="s">
        <v>229</v>
      </c>
      <c r="R216" s="16" t="s">
        <v>2023</v>
      </c>
      <c r="T216" s="20">
        <f t="shared" si="24"/>
        <v>0</v>
      </c>
      <c r="U216" s="112" t="s">
        <v>1741</v>
      </c>
      <c r="V216" s="112" t="s">
        <v>4372</v>
      </c>
      <c r="W216" s="112" t="s">
        <v>3914</v>
      </c>
    </row>
    <row r="217" spans="2:23" x14ac:dyDescent="0.2">
      <c r="C217"/>
      <c r="M217" s="20" t="str">
        <f t="shared" si="22"/>
        <v>ANCASH RECUAY HUAYLLAPAMPA</v>
      </c>
      <c r="N217" s="20">
        <f t="shared" si="23"/>
        <v>0</v>
      </c>
      <c r="O217" s="16" t="s">
        <v>96</v>
      </c>
      <c r="P217" s="16" t="s">
        <v>227</v>
      </c>
      <c r="Q217" s="16" t="s">
        <v>230</v>
      </c>
      <c r="R217" s="16" t="s">
        <v>2024</v>
      </c>
      <c r="T217" s="20">
        <f t="shared" si="24"/>
        <v>0</v>
      </c>
      <c r="U217" s="112" t="s">
        <v>1741</v>
      </c>
      <c r="V217" s="112" t="s">
        <v>4373</v>
      </c>
      <c r="W217" s="112" t="s">
        <v>4040</v>
      </c>
    </row>
    <row r="218" spans="2:23" x14ac:dyDescent="0.2">
      <c r="C218"/>
      <c r="M218" s="20" t="str">
        <f t="shared" si="22"/>
        <v>ANCASH RECUAY LLACLLIN</v>
      </c>
      <c r="N218" s="20">
        <f t="shared" si="23"/>
        <v>0</v>
      </c>
      <c r="O218" s="16" t="s">
        <v>96</v>
      </c>
      <c r="P218" s="16" t="s">
        <v>227</v>
      </c>
      <c r="Q218" s="16" t="s">
        <v>231</v>
      </c>
      <c r="R218" s="16" t="s">
        <v>2025</v>
      </c>
      <c r="T218" s="20">
        <f t="shared" si="24"/>
        <v>0</v>
      </c>
      <c r="U218" s="112" t="s">
        <v>1741</v>
      </c>
      <c r="V218" s="112" t="s">
        <v>4374</v>
      </c>
      <c r="W218" s="112" t="s">
        <v>4052</v>
      </c>
    </row>
    <row r="219" spans="2:23" x14ac:dyDescent="0.2">
      <c r="C219"/>
      <c r="M219" s="20" t="str">
        <f t="shared" si="22"/>
        <v>ANCASH RECUAY MARCA</v>
      </c>
      <c r="N219" s="20">
        <f t="shared" si="23"/>
        <v>0</v>
      </c>
      <c r="O219" s="16" t="s">
        <v>96</v>
      </c>
      <c r="P219" s="16" t="s">
        <v>227</v>
      </c>
      <c r="Q219" s="16" t="s">
        <v>232</v>
      </c>
      <c r="R219" s="16" t="s">
        <v>2026</v>
      </c>
      <c r="T219" s="20">
        <f t="shared" si="24"/>
        <v>0</v>
      </c>
      <c r="U219" s="112" t="s">
        <v>1419</v>
      </c>
      <c r="V219" s="112" t="s">
        <v>4375</v>
      </c>
      <c r="W219" s="112" t="s">
        <v>3874</v>
      </c>
    </row>
    <row r="220" spans="2:23" x14ac:dyDescent="0.2">
      <c r="C220"/>
      <c r="M220" s="20" t="str">
        <f t="shared" si="22"/>
        <v>ANCASH RECUAY PAMPAS CHICO</v>
      </c>
      <c r="N220" s="20">
        <f t="shared" si="23"/>
        <v>0</v>
      </c>
      <c r="O220" s="16" t="s">
        <v>96</v>
      </c>
      <c r="P220" s="16" t="s">
        <v>227</v>
      </c>
      <c r="Q220" s="16" t="s">
        <v>233</v>
      </c>
      <c r="R220" s="16" t="s">
        <v>2027</v>
      </c>
      <c r="T220" s="20">
        <f t="shared" si="24"/>
        <v>0</v>
      </c>
      <c r="U220" s="112" t="s">
        <v>1419</v>
      </c>
      <c r="V220" s="112" t="s">
        <v>4376</v>
      </c>
      <c r="W220" s="112" t="s">
        <v>3916</v>
      </c>
    </row>
    <row r="221" spans="2:23" x14ac:dyDescent="0.2">
      <c r="C221"/>
      <c r="M221" s="20" t="str">
        <f t="shared" si="22"/>
        <v>ANCASH RECUAY PARARIN</v>
      </c>
      <c r="N221" s="20">
        <f t="shared" si="23"/>
        <v>0</v>
      </c>
      <c r="O221" s="16" t="s">
        <v>96</v>
      </c>
      <c r="P221" s="16" t="s">
        <v>227</v>
      </c>
      <c r="Q221" s="16" t="s">
        <v>234</v>
      </c>
      <c r="R221" s="16" t="s">
        <v>2028</v>
      </c>
      <c r="T221" s="20">
        <f t="shared" si="24"/>
        <v>0</v>
      </c>
      <c r="U221" s="112" t="s">
        <v>1419</v>
      </c>
      <c r="V221" s="112" t="s">
        <v>4377</v>
      </c>
      <c r="W221" s="112" t="s">
        <v>3985</v>
      </c>
    </row>
    <row r="222" spans="2:23" x14ac:dyDescent="0.2">
      <c r="C222"/>
      <c r="M222" s="20" t="str">
        <f t="shared" si="22"/>
        <v>ANCASH RECUAY RECUAY</v>
      </c>
      <c r="N222" s="20">
        <f t="shared" si="23"/>
        <v>0</v>
      </c>
      <c r="O222" s="16" t="s">
        <v>96</v>
      </c>
      <c r="P222" s="16" t="s">
        <v>227</v>
      </c>
      <c r="Q222" s="16" t="s">
        <v>227</v>
      </c>
      <c r="R222" s="16" t="s">
        <v>2029</v>
      </c>
      <c r="T222" s="20">
        <f t="shared" si="24"/>
        <v>0</v>
      </c>
      <c r="U222" s="112" t="s">
        <v>1419</v>
      </c>
      <c r="V222" s="112" t="s">
        <v>4378</v>
      </c>
      <c r="W222" s="112" t="s">
        <v>4004</v>
      </c>
    </row>
    <row r="223" spans="2:23" x14ac:dyDescent="0.2">
      <c r="C223"/>
      <c r="M223" s="20" t="str">
        <f t="shared" si="22"/>
        <v>ANCASH RECUAY TAPACOCHA</v>
      </c>
      <c r="N223" s="20">
        <f t="shared" si="23"/>
        <v>0</v>
      </c>
      <c r="O223" s="16" t="s">
        <v>96</v>
      </c>
      <c r="P223" s="16" t="s">
        <v>227</v>
      </c>
      <c r="Q223" s="16" t="s">
        <v>235</v>
      </c>
      <c r="R223" s="16" t="s">
        <v>2030</v>
      </c>
    </row>
    <row r="224" spans="2:23" x14ac:dyDescent="0.2">
      <c r="C224"/>
      <c r="M224" s="20" t="str">
        <f t="shared" si="22"/>
        <v>ANCASH RECUAY TICAPAMPA</v>
      </c>
      <c r="N224" s="20">
        <f t="shared" si="23"/>
        <v>0</v>
      </c>
      <c r="O224" s="16" t="s">
        <v>96</v>
      </c>
      <c r="P224" s="16" t="s">
        <v>227</v>
      </c>
      <c r="Q224" s="16" t="s">
        <v>236</v>
      </c>
      <c r="R224" s="16" t="s">
        <v>2031</v>
      </c>
    </row>
    <row r="225" spans="3:18" x14ac:dyDescent="0.2">
      <c r="C225"/>
      <c r="M225" s="20" t="str">
        <f t="shared" si="22"/>
        <v>ANCASH SANTA CACERES DEL PERU</v>
      </c>
      <c r="N225" s="20">
        <f t="shared" si="23"/>
        <v>0</v>
      </c>
      <c r="O225" s="16" t="s">
        <v>96</v>
      </c>
      <c r="P225" s="16" t="s">
        <v>237</v>
      </c>
      <c r="Q225" s="16" t="s">
        <v>238</v>
      </c>
      <c r="R225" s="16" t="s">
        <v>2032</v>
      </c>
    </row>
    <row r="226" spans="3:18" x14ac:dyDescent="0.2">
      <c r="C226"/>
      <c r="M226" s="20" t="str">
        <f t="shared" si="22"/>
        <v>ANCASH SANTA CHIMBOTE</v>
      </c>
      <c r="N226" s="20">
        <f t="shared" si="23"/>
        <v>0</v>
      </c>
      <c r="O226" s="16" t="s">
        <v>96</v>
      </c>
      <c r="P226" s="16" t="s">
        <v>237</v>
      </c>
      <c r="Q226" s="16" t="s">
        <v>239</v>
      </c>
      <c r="R226" s="16" t="s">
        <v>2033</v>
      </c>
    </row>
    <row r="227" spans="3:18" x14ac:dyDescent="0.2">
      <c r="C227"/>
      <c r="M227" s="20" t="str">
        <f t="shared" si="22"/>
        <v>ANCASH SANTA COISHCO</v>
      </c>
      <c r="N227" s="20">
        <f t="shared" si="23"/>
        <v>0</v>
      </c>
      <c r="O227" s="16" t="s">
        <v>96</v>
      </c>
      <c r="P227" s="16" t="s">
        <v>237</v>
      </c>
      <c r="Q227" s="16" t="s">
        <v>240</v>
      </c>
      <c r="R227" s="16" t="s">
        <v>2034</v>
      </c>
    </row>
    <row r="228" spans="3:18" x14ac:dyDescent="0.2">
      <c r="C228"/>
      <c r="M228" s="20" t="str">
        <f t="shared" si="22"/>
        <v>ANCASH SANTA MACATE</v>
      </c>
      <c r="N228" s="20">
        <f t="shared" si="23"/>
        <v>0</v>
      </c>
      <c r="O228" s="16" t="s">
        <v>96</v>
      </c>
      <c r="P228" s="16" t="s">
        <v>237</v>
      </c>
      <c r="Q228" s="16" t="s">
        <v>241</v>
      </c>
      <c r="R228" s="16" t="s">
        <v>2035</v>
      </c>
    </row>
    <row r="229" spans="3:18" x14ac:dyDescent="0.2">
      <c r="C229"/>
      <c r="M229" s="20" t="str">
        <f t="shared" si="22"/>
        <v>ANCASH SANTA MORO</v>
      </c>
      <c r="N229" s="20">
        <f t="shared" si="23"/>
        <v>0</v>
      </c>
      <c r="O229" s="16" t="s">
        <v>96</v>
      </c>
      <c r="P229" s="16" t="s">
        <v>237</v>
      </c>
      <c r="Q229" s="16" t="s">
        <v>242</v>
      </c>
      <c r="R229" s="16" t="s">
        <v>2036</v>
      </c>
    </row>
    <row r="230" spans="3:18" x14ac:dyDescent="0.2">
      <c r="C230"/>
      <c r="M230" s="20" t="str">
        <f t="shared" si="22"/>
        <v>ANCASH SANTA NEPEÑA</v>
      </c>
      <c r="N230" s="20">
        <f t="shared" si="23"/>
        <v>0</v>
      </c>
      <c r="O230" s="16" t="s">
        <v>96</v>
      </c>
      <c r="P230" s="16" t="s">
        <v>237</v>
      </c>
      <c r="Q230" s="16" t="s">
        <v>243</v>
      </c>
      <c r="R230" s="16" t="s">
        <v>2037</v>
      </c>
    </row>
    <row r="231" spans="3:18" x14ac:dyDescent="0.2">
      <c r="M231" s="20" t="str">
        <f t="shared" si="22"/>
        <v>ANCASH SANTA NUEVO CHIMBOTE</v>
      </c>
      <c r="N231" s="20">
        <f t="shared" si="23"/>
        <v>0</v>
      </c>
      <c r="O231" s="16" t="s">
        <v>96</v>
      </c>
      <c r="P231" s="16" t="s">
        <v>237</v>
      </c>
      <c r="Q231" s="16" t="s">
        <v>244</v>
      </c>
      <c r="R231" s="16" t="s">
        <v>2038</v>
      </c>
    </row>
    <row r="232" spans="3:18" x14ac:dyDescent="0.2">
      <c r="M232" s="20" t="str">
        <f t="shared" si="22"/>
        <v>ANCASH SANTA SAMANCO</v>
      </c>
      <c r="N232" s="20">
        <f t="shared" si="23"/>
        <v>0</v>
      </c>
      <c r="O232" s="16" t="s">
        <v>96</v>
      </c>
      <c r="P232" s="16" t="s">
        <v>237</v>
      </c>
      <c r="Q232" s="16" t="s">
        <v>245</v>
      </c>
      <c r="R232" s="16" t="s">
        <v>2039</v>
      </c>
    </row>
    <row r="233" spans="3:18" x14ac:dyDescent="0.2">
      <c r="M233" s="20" t="str">
        <f t="shared" si="22"/>
        <v>ANCASH SANTA SANTA</v>
      </c>
      <c r="N233" s="20">
        <f t="shared" si="23"/>
        <v>0</v>
      </c>
      <c r="O233" s="16" t="s">
        <v>96</v>
      </c>
      <c r="P233" s="16" t="s">
        <v>237</v>
      </c>
      <c r="Q233" s="16" t="s">
        <v>237</v>
      </c>
      <c r="R233" s="16" t="s">
        <v>2040</v>
      </c>
    </row>
    <row r="234" spans="3:18" x14ac:dyDescent="0.2">
      <c r="M234" s="20" t="str">
        <f t="shared" si="22"/>
        <v>ANCASH SIHUAS ACOBAMBA</v>
      </c>
      <c r="N234" s="20">
        <f t="shared" si="23"/>
        <v>0</v>
      </c>
      <c r="O234" s="16" t="s">
        <v>96</v>
      </c>
      <c r="P234" s="16" t="s">
        <v>246</v>
      </c>
      <c r="Q234" s="16" t="s">
        <v>247</v>
      </c>
      <c r="R234" s="16" t="s">
        <v>2041</v>
      </c>
    </row>
    <row r="235" spans="3:18" x14ac:dyDescent="0.2">
      <c r="M235" s="20" t="str">
        <f t="shared" si="22"/>
        <v>ANCASH SIHUAS ALFONSO UGARTE</v>
      </c>
      <c r="N235" s="20">
        <f t="shared" si="23"/>
        <v>0</v>
      </c>
      <c r="O235" s="16" t="s">
        <v>96</v>
      </c>
      <c r="P235" s="16" t="s">
        <v>246</v>
      </c>
      <c r="Q235" s="16" t="s">
        <v>248</v>
      </c>
      <c r="R235" s="16" t="s">
        <v>2042</v>
      </c>
    </row>
    <row r="236" spans="3:18" x14ac:dyDescent="0.2">
      <c r="M236" s="20" t="str">
        <f t="shared" si="22"/>
        <v>ANCASH SIHUAS CASHAPAMPA</v>
      </c>
      <c r="N236" s="20">
        <f t="shared" si="23"/>
        <v>0</v>
      </c>
      <c r="O236" s="16" t="s">
        <v>96</v>
      </c>
      <c r="P236" s="16" t="s">
        <v>246</v>
      </c>
      <c r="Q236" s="16" t="s">
        <v>249</v>
      </c>
      <c r="R236" s="16" t="s">
        <v>2043</v>
      </c>
    </row>
    <row r="237" spans="3:18" x14ac:dyDescent="0.2">
      <c r="M237" s="20" t="str">
        <f t="shared" si="22"/>
        <v>ANCASH SIHUAS CHINGALPO</v>
      </c>
      <c r="N237" s="20">
        <f t="shared" si="23"/>
        <v>0</v>
      </c>
      <c r="O237" s="16" t="s">
        <v>96</v>
      </c>
      <c r="P237" s="16" t="s">
        <v>246</v>
      </c>
      <c r="Q237" s="16" t="s">
        <v>250</v>
      </c>
      <c r="R237" s="16" t="s">
        <v>2044</v>
      </c>
    </row>
    <row r="238" spans="3:18" x14ac:dyDescent="0.2">
      <c r="M238" s="20" t="str">
        <f t="shared" si="22"/>
        <v>ANCASH SIHUAS HUAYLLABAMBA</v>
      </c>
      <c r="N238" s="20">
        <f t="shared" si="23"/>
        <v>0</v>
      </c>
      <c r="O238" s="16" t="s">
        <v>96</v>
      </c>
      <c r="P238" s="16" t="s">
        <v>246</v>
      </c>
      <c r="Q238" s="16" t="s">
        <v>251</v>
      </c>
      <c r="R238" s="16" t="s">
        <v>2045</v>
      </c>
    </row>
    <row r="239" spans="3:18" x14ac:dyDescent="0.2">
      <c r="M239" s="20" t="str">
        <f t="shared" si="22"/>
        <v>ANCASH SIHUAS QUICHES</v>
      </c>
      <c r="N239" s="20">
        <f t="shared" si="23"/>
        <v>0</v>
      </c>
      <c r="O239" s="16" t="s">
        <v>96</v>
      </c>
      <c r="P239" s="16" t="s">
        <v>246</v>
      </c>
      <c r="Q239" s="16" t="s">
        <v>253</v>
      </c>
      <c r="R239" s="16" t="s">
        <v>2046</v>
      </c>
    </row>
    <row r="240" spans="3:18" x14ac:dyDescent="0.2">
      <c r="M240" s="20" t="str">
        <f t="shared" si="22"/>
        <v>ANCASH SIHUAS RAGASH</v>
      </c>
      <c r="N240" s="20">
        <f t="shared" si="23"/>
        <v>0</v>
      </c>
      <c r="O240" s="16" t="s">
        <v>96</v>
      </c>
      <c r="P240" s="16" t="s">
        <v>246</v>
      </c>
      <c r="Q240" s="16" t="s">
        <v>254</v>
      </c>
      <c r="R240" s="16" t="s">
        <v>2047</v>
      </c>
    </row>
    <row r="241" spans="13:18" x14ac:dyDescent="0.2">
      <c r="M241" s="20" t="str">
        <f t="shared" si="22"/>
        <v>ANCASH SIHUAS SAN JUAN</v>
      </c>
      <c r="N241" s="20">
        <f t="shared" si="23"/>
        <v>0</v>
      </c>
      <c r="O241" s="16" t="s">
        <v>96</v>
      </c>
      <c r="P241" s="16" t="s">
        <v>246</v>
      </c>
      <c r="Q241" s="16" t="s">
        <v>255</v>
      </c>
      <c r="R241" s="16" t="s">
        <v>2048</v>
      </c>
    </row>
    <row r="242" spans="13:18" x14ac:dyDescent="0.2">
      <c r="M242" s="20" t="str">
        <f t="shared" si="22"/>
        <v>ANCASH SIHUAS SICSIBAMBA</v>
      </c>
      <c r="N242" s="20">
        <f t="shared" si="23"/>
        <v>0</v>
      </c>
      <c r="O242" s="16" t="s">
        <v>96</v>
      </c>
      <c r="P242" s="16" t="s">
        <v>246</v>
      </c>
      <c r="Q242" s="16" t="s">
        <v>256</v>
      </c>
      <c r="R242" s="16" t="s">
        <v>2049</v>
      </c>
    </row>
    <row r="243" spans="13:18" x14ac:dyDescent="0.2">
      <c r="M243" s="20" t="str">
        <f t="shared" si="22"/>
        <v>ANCASH SIHUAS SIHUAS</v>
      </c>
      <c r="N243" s="20">
        <f t="shared" si="23"/>
        <v>0</v>
      </c>
      <c r="O243" s="16" t="s">
        <v>96</v>
      </c>
      <c r="P243" s="16" t="s">
        <v>246</v>
      </c>
      <c r="Q243" s="16" t="s">
        <v>246</v>
      </c>
      <c r="R243" s="16" t="s">
        <v>2050</v>
      </c>
    </row>
    <row r="244" spans="13:18" x14ac:dyDescent="0.2">
      <c r="M244" s="20" t="str">
        <f t="shared" si="22"/>
        <v>ANCASH YUNGAY CASCAPARA</v>
      </c>
      <c r="N244" s="20">
        <f t="shared" si="23"/>
        <v>0</v>
      </c>
      <c r="O244" s="16" t="s">
        <v>96</v>
      </c>
      <c r="P244" s="16" t="s">
        <v>257</v>
      </c>
      <c r="Q244" s="16" t="s">
        <v>258</v>
      </c>
      <c r="R244" s="16" t="s">
        <v>2051</v>
      </c>
    </row>
    <row r="245" spans="13:18" x14ac:dyDescent="0.2">
      <c r="M245" s="20" t="str">
        <f t="shared" si="22"/>
        <v>ANCASH YUNGAY MANCOS</v>
      </c>
      <c r="N245" s="20">
        <f t="shared" si="23"/>
        <v>0</v>
      </c>
      <c r="O245" s="16" t="s">
        <v>96</v>
      </c>
      <c r="P245" s="16" t="s">
        <v>257</v>
      </c>
      <c r="Q245" s="16" t="s">
        <v>259</v>
      </c>
      <c r="R245" s="16" t="s">
        <v>2052</v>
      </c>
    </row>
    <row r="246" spans="13:18" x14ac:dyDescent="0.2">
      <c r="M246" s="20" t="str">
        <f t="shared" si="22"/>
        <v>ANCASH YUNGAY MATACOTO</v>
      </c>
      <c r="N246" s="20">
        <f t="shared" si="23"/>
        <v>0</v>
      </c>
      <c r="O246" s="16" t="s">
        <v>96</v>
      </c>
      <c r="P246" s="16" t="s">
        <v>257</v>
      </c>
      <c r="Q246" s="16" t="s">
        <v>260</v>
      </c>
      <c r="R246" s="16" t="s">
        <v>2053</v>
      </c>
    </row>
    <row r="247" spans="13:18" x14ac:dyDescent="0.2">
      <c r="M247" s="20" t="str">
        <f t="shared" si="22"/>
        <v>ANCASH YUNGAY QUILLO</v>
      </c>
      <c r="N247" s="20">
        <f t="shared" si="23"/>
        <v>0</v>
      </c>
      <c r="O247" s="16" t="s">
        <v>96</v>
      </c>
      <c r="P247" s="16" t="s">
        <v>257</v>
      </c>
      <c r="Q247" s="16" t="s">
        <v>261</v>
      </c>
      <c r="R247" s="16" t="s">
        <v>2054</v>
      </c>
    </row>
    <row r="248" spans="13:18" x14ac:dyDescent="0.2">
      <c r="M248" s="20" t="str">
        <f t="shared" si="22"/>
        <v>ANCASH YUNGAY RANRAHIRCA</v>
      </c>
      <c r="N248" s="20">
        <f t="shared" si="23"/>
        <v>0</v>
      </c>
      <c r="O248" s="16" t="s">
        <v>96</v>
      </c>
      <c r="P248" s="16" t="s">
        <v>257</v>
      </c>
      <c r="Q248" s="16" t="s">
        <v>262</v>
      </c>
      <c r="R248" s="16" t="s">
        <v>2055</v>
      </c>
    </row>
    <row r="249" spans="13:18" x14ac:dyDescent="0.2">
      <c r="M249" s="20" t="str">
        <f t="shared" si="22"/>
        <v>ANCASH YUNGAY SHUPLUY</v>
      </c>
      <c r="N249" s="20">
        <f t="shared" si="23"/>
        <v>0</v>
      </c>
      <c r="O249" s="16" t="s">
        <v>96</v>
      </c>
      <c r="P249" s="16" t="s">
        <v>257</v>
      </c>
      <c r="Q249" s="16" t="s">
        <v>263</v>
      </c>
      <c r="R249" s="16" t="s">
        <v>2056</v>
      </c>
    </row>
    <row r="250" spans="13:18" x14ac:dyDescent="0.2">
      <c r="M250" s="20" t="str">
        <f t="shared" si="22"/>
        <v>ANCASH YUNGAY YANAMA</v>
      </c>
      <c r="N250" s="20">
        <f t="shared" si="23"/>
        <v>0</v>
      </c>
      <c r="O250" s="16" t="s">
        <v>96</v>
      </c>
      <c r="P250" s="16" t="s">
        <v>257</v>
      </c>
      <c r="Q250" s="16" t="s">
        <v>264</v>
      </c>
      <c r="R250" s="16" t="s">
        <v>2057</v>
      </c>
    </row>
    <row r="251" spans="13:18" x14ac:dyDescent="0.2">
      <c r="M251" s="20" t="str">
        <f t="shared" si="22"/>
        <v>ANCASH YUNGAY YUNGAY</v>
      </c>
      <c r="N251" s="20">
        <f t="shared" si="23"/>
        <v>0</v>
      </c>
      <c r="O251" s="16" t="s">
        <v>96</v>
      </c>
      <c r="P251" s="16" t="s">
        <v>257</v>
      </c>
      <c r="Q251" s="16" t="s">
        <v>257</v>
      </c>
      <c r="R251" s="16" t="s">
        <v>2058</v>
      </c>
    </row>
    <row r="252" spans="13:18" x14ac:dyDescent="0.2">
      <c r="M252" s="20" t="str">
        <f t="shared" si="22"/>
        <v>APURIMAC ABANCAY ABANCAY</v>
      </c>
      <c r="N252" s="20">
        <f t="shared" si="23"/>
        <v>0</v>
      </c>
      <c r="O252" s="16" t="s">
        <v>266</v>
      </c>
      <c r="P252" s="16" t="s">
        <v>267</v>
      </c>
      <c r="Q252" s="16" t="s">
        <v>267</v>
      </c>
      <c r="R252" s="16" t="s">
        <v>2059</v>
      </c>
    </row>
    <row r="253" spans="13:18" x14ac:dyDescent="0.2">
      <c r="M253" s="20" t="str">
        <f t="shared" si="22"/>
        <v>APURIMAC ABANCAY CHACOCHE</v>
      </c>
      <c r="N253" s="20">
        <f t="shared" si="23"/>
        <v>0</v>
      </c>
      <c r="O253" s="16" t="s">
        <v>266</v>
      </c>
      <c r="P253" s="16" t="s">
        <v>267</v>
      </c>
      <c r="Q253" s="16" t="s">
        <v>268</v>
      </c>
      <c r="R253" s="16" t="s">
        <v>2060</v>
      </c>
    </row>
    <row r="254" spans="13:18" x14ac:dyDescent="0.2">
      <c r="M254" s="20" t="str">
        <f t="shared" si="22"/>
        <v>APURIMAC ABANCAY CIRCA</v>
      </c>
      <c r="N254" s="20">
        <f t="shared" si="23"/>
        <v>0</v>
      </c>
      <c r="O254" s="16" t="s">
        <v>266</v>
      </c>
      <c r="P254" s="16" t="s">
        <v>267</v>
      </c>
      <c r="Q254" s="16" t="s">
        <v>269</v>
      </c>
      <c r="R254" s="16" t="s">
        <v>2061</v>
      </c>
    </row>
    <row r="255" spans="13:18" x14ac:dyDescent="0.2">
      <c r="M255" s="20" t="str">
        <f t="shared" si="22"/>
        <v>APURIMAC ABANCAY CURAHUASI</v>
      </c>
      <c r="N255" s="20">
        <f t="shared" si="23"/>
        <v>0</v>
      </c>
      <c r="O255" s="16" t="s">
        <v>266</v>
      </c>
      <c r="P255" s="16" t="s">
        <v>267</v>
      </c>
      <c r="Q255" s="16" t="s">
        <v>270</v>
      </c>
      <c r="R255" s="16" t="s">
        <v>2062</v>
      </c>
    </row>
    <row r="256" spans="13:18" x14ac:dyDescent="0.2">
      <c r="M256" s="20" t="str">
        <f t="shared" si="22"/>
        <v>APURIMAC ABANCAY HUANIPACA</v>
      </c>
      <c r="N256" s="20">
        <f t="shared" si="23"/>
        <v>0</v>
      </c>
      <c r="O256" s="16" t="s">
        <v>266</v>
      </c>
      <c r="P256" s="16" t="s">
        <v>267</v>
      </c>
      <c r="Q256" s="16" t="s">
        <v>271</v>
      </c>
      <c r="R256" s="16" t="s">
        <v>2063</v>
      </c>
    </row>
    <row r="257" spans="13:18" x14ac:dyDescent="0.2">
      <c r="M257" s="20" t="str">
        <f t="shared" si="22"/>
        <v>APURIMAC ABANCAY LAMBRAMA</v>
      </c>
      <c r="N257" s="20">
        <f t="shared" si="23"/>
        <v>0</v>
      </c>
      <c r="O257" s="16" t="s">
        <v>266</v>
      </c>
      <c r="P257" s="16" t="s">
        <v>267</v>
      </c>
      <c r="Q257" s="16" t="s">
        <v>272</v>
      </c>
      <c r="R257" s="16" t="s">
        <v>2064</v>
      </c>
    </row>
    <row r="258" spans="13:18" x14ac:dyDescent="0.2">
      <c r="M258" s="20" t="str">
        <f t="shared" si="22"/>
        <v>APURIMAC ABANCAY PICHIRHUA</v>
      </c>
      <c r="N258" s="20">
        <f t="shared" si="23"/>
        <v>0</v>
      </c>
      <c r="O258" s="16" t="s">
        <v>266</v>
      </c>
      <c r="P258" s="16" t="s">
        <v>267</v>
      </c>
      <c r="Q258" s="16" t="s">
        <v>273</v>
      </c>
      <c r="R258" s="16" t="s">
        <v>2065</v>
      </c>
    </row>
    <row r="259" spans="13:18" x14ac:dyDescent="0.2">
      <c r="M259" s="20" t="str">
        <f t="shared" ref="M259:M322" si="25">O259&amp;" "&amp;P259&amp;" "&amp;Q259</f>
        <v>APURIMAC ABANCAY SAN PEDRO DE CACHORA</v>
      </c>
      <c r="N259" s="20">
        <f t="shared" ref="N259:N322" si="26">IF(AND($D$9=O259,$D$10=P259),N258+1,0)</f>
        <v>0</v>
      </c>
      <c r="O259" s="16" t="s">
        <v>266</v>
      </c>
      <c r="P259" s="16" t="s">
        <v>267</v>
      </c>
      <c r="Q259" s="16" t="s">
        <v>274</v>
      </c>
      <c r="R259" s="16" t="s">
        <v>2066</v>
      </c>
    </row>
    <row r="260" spans="13:18" x14ac:dyDescent="0.2">
      <c r="M260" s="20" t="str">
        <f t="shared" si="25"/>
        <v>APURIMAC ABANCAY TAMBURCO</v>
      </c>
      <c r="N260" s="20">
        <f t="shared" si="26"/>
        <v>0</v>
      </c>
      <c r="O260" s="16" t="s">
        <v>266</v>
      </c>
      <c r="P260" s="16" t="s">
        <v>267</v>
      </c>
      <c r="Q260" s="16" t="s">
        <v>275</v>
      </c>
      <c r="R260" s="16" t="s">
        <v>2067</v>
      </c>
    </row>
    <row r="261" spans="13:18" x14ac:dyDescent="0.2">
      <c r="M261" s="20" t="str">
        <f t="shared" si="25"/>
        <v>APURIMAC ANDAHUAYLAS ANDAHUAYLAS</v>
      </c>
      <c r="N261" s="20">
        <f t="shared" si="26"/>
        <v>0</v>
      </c>
      <c r="O261" s="16" t="s">
        <v>266</v>
      </c>
      <c r="P261" s="16" t="s">
        <v>276</v>
      </c>
      <c r="Q261" s="16" t="s">
        <v>276</v>
      </c>
      <c r="R261" s="16" t="s">
        <v>2068</v>
      </c>
    </row>
    <row r="262" spans="13:18" x14ac:dyDescent="0.2">
      <c r="M262" s="20" t="str">
        <f t="shared" si="25"/>
        <v>APURIMAC ANDAHUAYLAS ANDARAPA</v>
      </c>
      <c r="N262" s="20">
        <f t="shared" si="26"/>
        <v>0</v>
      </c>
      <c r="O262" s="16" t="s">
        <v>266</v>
      </c>
      <c r="P262" s="16" t="s">
        <v>276</v>
      </c>
      <c r="Q262" s="16" t="s">
        <v>277</v>
      </c>
      <c r="R262" s="16" t="s">
        <v>2069</v>
      </c>
    </row>
    <row r="263" spans="13:18" x14ac:dyDescent="0.2">
      <c r="M263" s="20" t="str">
        <f t="shared" si="25"/>
        <v>APURIMAC ANDAHUAYLAS CHIARA</v>
      </c>
      <c r="N263" s="20">
        <f t="shared" si="26"/>
        <v>0</v>
      </c>
      <c r="O263" s="16" t="s">
        <v>266</v>
      </c>
      <c r="P263" s="16" t="s">
        <v>276</v>
      </c>
      <c r="Q263" s="16" t="s">
        <v>278</v>
      </c>
      <c r="R263" s="16" t="s">
        <v>2070</v>
      </c>
    </row>
    <row r="264" spans="13:18" x14ac:dyDescent="0.2">
      <c r="M264" s="20" t="str">
        <f t="shared" si="25"/>
        <v>APURIMAC ANDAHUAYLAS HUANCARAMA</v>
      </c>
      <c r="N264" s="20">
        <f t="shared" si="26"/>
        <v>0</v>
      </c>
      <c r="O264" s="16" t="s">
        <v>266</v>
      </c>
      <c r="P264" s="16" t="s">
        <v>276</v>
      </c>
      <c r="Q264" s="16" t="s">
        <v>279</v>
      </c>
      <c r="R264" s="16" t="s">
        <v>2071</v>
      </c>
    </row>
    <row r="265" spans="13:18" x14ac:dyDescent="0.2">
      <c r="M265" s="20" t="str">
        <f t="shared" si="25"/>
        <v>APURIMAC ANDAHUAYLAS HUANCARAY</v>
      </c>
      <c r="N265" s="20">
        <f t="shared" si="26"/>
        <v>0</v>
      </c>
      <c r="O265" s="16" t="s">
        <v>266</v>
      </c>
      <c r="P265" s="16" t="s">
        <v>276</v>
      </c>
      <c r="Q265" s="16" t="s">
        <v>280</v>
      </c>
      <c r="R265" s="16" t="s">
        <v>2072</v>
      </c>
    </row>
    <row r="266" spans="13:18" x14ac:dyDescent="0.2">
      <c r="M266" s="20" t="str">
        <f t="shared" si="25"/>
        <v>APURIMAC ANDAHUAYLAS HUAYANA</v>
      </c>
      <c r="N266" s="20">
        <f t="shared" si="26"/>
        <v>0</v>
      </c>
      <c r="O266" s="16" t="s">
        <v>266</v>
      </c>
      <c r="P266" s="16" t="s">
        <v>276</v>
      </c>
      <c r="Q266" s="16" t="s">
        <v>281</v>
      </c>
      <c r="R266" s="16" t="s">
        <v>2073</v>
      </c>
    </row>
    <row r="267" spans="13:18" x14ac:dyDescent="0.2">
      <c r="M267" s="20" t="str">
        <f t="shared" si="25"/>
        <v>APURIMAC ANDAHUAYLAS JOSE MARIA ARGUEDAS</v>
      </c>
      <c r="N267" s="20">
        <f t="shared" si="26"/>
        <v>0</v>
      </c>
      <c r="O267" s="16" t="s">
        <v>266</v>
      </c>
      <c r="P267" s="16" t="s">
        <v>276</v>
      </c>
      <c r="Q267" s="16" t="s">
        <v>283</v>
      </c>
      <c r="R267" s="16" t="s">
        <v>2074</v>
      </c>
    </row>
    <row r="268" spans="13:18" x14ac:dyDescent="0.2">
      <c r="M268" s="20" t="str">
        <f t="shared" si="25"/>
        <v>APURIMAC ANDAHUAYLAS KAQUIABAMBA</v>
      </c>
      <c r="N268" s="20">
        <f t="shared" si="26"/>
        <v>0</v>
      </c>
      <c r="O268" s="16" t="s">
        <v>266</v>
      </c>
      <c r="P268" s="16" t="s">
        <v>276</v>
      </c>
      <c r="Q268" s="16" t="s">
        <v>284</v>
      </c>
      <c r="R268" s="16" t="s">
        <v>2075</v>
      </c>
    </row>
    <row r="269" spans="13:18" x14ac:dyDescent="0.2">
      <c r="M269" s="20" t="str">
        <f t="shared" si="25"/>
        <v>APURIMAC ANDAHUAYLAS KISHUARA</v>
      </c>
      <c r="N269" s="20">
        <f t="shared" si="26"/>
        <v>0</v>
      </c>
      <c r="O269" s="16" t="s">
        <v>266</v>
      </c>
      <c r="P269" s="16" t="s">
        <v>276</v>
      </c>
      <c r="Q269" s="16" t="s">
        <v>285</v>
      </c>
      <c r="R269" s="16" t="s">
        <v>2076</v>
      </c>
    </row>
    <row r="270" spans="13:18" x14ac:dyDescent="0.2">
      <c r="M270" s="20" t="str">
        <f t="shared" si="25"/>
        <v>APURIMAC ANDAHUAYLAS PACOBAMBA</v>
      </c>
      <c r="N270" s="20">
        <f t="shared" si="26"/>
        <v>0</v>
      </c>
      <c r="O270" s="16" t="s">
        <v>266</v>
      </c>
      <c r="P270" s="16" t="s">
        <v>276</v>
      </c>
      <c r="Q270" s="16" t="s">
        <v>286</v>
      </c>
      <c r="R270" s="16" t="s">
        <v>2077</v>
      </c>
    </row>
    <row r="271" spans="13:18" x14ac:dyDescent="0.2">
      <c r="M271" s="20" t="str">
        <f t="shared" si="25"/>
        <v>APURIMAC ANDAHUAYLAS PACUCHA</v>
      </c>
      <c r="N271" s="20">
        <f t="shared" si="26"/>
        <v>0</v>
      </c>
      <c r="O271" s="16" t="s">
        <v>266</v>
      </c>
      <c r="P271" s="16" t="s">
        <v>276</v>
      </c>
      <c r="Q271" s="16" t="s">
        <v>287</v>
      </c>
      <c r="R271" s="16" t="s">
        <v>2078</v>
      </c>
    </row>
    <row r="272" spans="13:18" x14ac:dyDescent="0.2">
      <c r="M272" s="20" t="str">
        <f t="shared" si="25"/>
        <v>APURIMAC ANDAHUAYLAS PAMPACHIRI</v>
      </c>
      <c r="N272" s="20">
        <f t="shared" si="26"/>
        <v>0</v>
      </c>
      <c r="O272" s="16" t="s">
        <v>266</v>
      </c>
      <c r="P272" s="16" t="s">
        <v>276</v>
      </c>
      <c r="Q272" s="16" t="s">
        <v>288</v>
      </c>
      <c r="R272" s="16" t="s">
        <v>2079</v>
      </c>
    </row>
    <row r="273" spans="13:18" x14ac:dyDescent="0.2">
      <c r="M273" s="20" t="str">
        <f t="shared" si="25"/>
        <v>APURIMAC ANDAHUAYLAS POMACOCHA</v>
      </c>
      <c r="N273" s="20">
        <f t="shared" si="26"/>
        <v>0</v>
      </c>
      <c r="O273" s="16" t="s">
        <v>266</v>
      </c>
      <c r="P273" s="16" t="s">
        <v>276</v>
      </c>
      <c r="Q273" s="16" t="s">
        <v>289</v>
      </c>
      <c r="R273" s="16" t="s">
        <v>2080</v>
      </c>
    </row>
    <row r="274" spans="13:18" x14ac:dyDescent="0.2">
      <c r="M274" s="20" t="str">
        <f t="shared" si="25"/>
        <v>APURIMAC ANDAHUAYLAS SAN ANTONIO DE CACHI</v>
      </c>
      <c r="N274" s="20">
        <f t="shared" si="26"/>
        <v>0</v>
      </c>
      <c r="O274" s="16" t="s">
        <v>266</v>
      </c>
      <c r="P274" s="16" t="s">
        <v>276</v>
      </c>
      <c r="Q274" s="16" t="s">
        <v>290</v>
      </c>
      <c r="R274" s="16" t="s">
        <v>2081</v>
      </c>
    </row>
    <row r="275" spans="13:18" x14ac:dyDescent="0.2">
      <c r="M275" s="20" t="str">
        <f t="shared" si="25"/>
        <v>APURIMAC ANDAHUAYLAS SAN JERONIMO</v>
      </c>
      <c r="N275" s="20">
        <f t="shared" si="26"/>
        <v>0</v>
      </c>
      <c r="O275" s="16" t="s">
        <v>266</v>
      </c>
      <c r="P275" s="16" t="s">
        <v>276</v>
      </c>
      <c r="Q275" s="16" t="s">
        <v>69</v>
      </c>
      <c r="R275" s="16" t="s">
        <v>2082</v>
      </c>
    </row>
    <row r="276" spans="13:18" x14ac:dyDescent="0.2">
      <c r="M276" s="20" t="str">
        <f t="shared" si="25"/>
        <v>APURIMAC ANDAHUAYLAS SAN MIGUEL DE CHACCRAMPA</v>
      </c>
      <c r="N276" s="20">
        <f t="shared" si="26"/>
        <v>0</v>
      </c>
      <c r="O276" s="16" t="s">
        <v>266</v>
      </c>
      <c r="P276" s="16" t="s">
        <v>276</v>
      </c>
      <c r="Q276" s="16" t="s">
        <v>291</v>
      </c>
      <c r="R276" s="16" t="s">
        <v>2083</v>
      </c>
    </row>
    <row r="277" spans="13:18" x14ac:dyDescent="0.2">
      <c r="M277" s="20" t="str">
        <f t="shared" si="25"/>
        <v>APURIMAC ANDAHUAYLAS SANTA MARIA DE CHICMO</v>
      </c>
      <c r="N277" s="20">
        <f t="shared" si="26"/>
        <v>0</v>
      </c>
      <c r="O277" s="16" t="s">
        <v>266</v>
      </c>
      <c r="P277" s="16" t="s">
        <v>276</v>
      </c>
      <c r="Q277" s="16" t="s">
        <v>292</v>
      </c>
      <c r="R277" s="16" t="s">
        <v>2084</v>
      </c>
    </row>
    <row r="278" spans="13:18" x14ac:dyDescent="0.2">
      <c r="M278" s="20" t="str">
        <f t="shared" si="25"/>
        <v>APURIMAC ANDAHUAYLAS TALAVERA</v>
      </c>
      <c r="N278" s="20">
        <f t="shared" si="26"/>
        <v>0</v>
      </c>
      <c r="O278" s="16" t="s">
        <v>266</v>
      </c>
      <c r="P278" s="16" t="s">
        <v>276</v>
      </c>
      <c r="Q278" s="16" t="s">
        <v>293</v>
      </c>
      <c r="R278" s="16" t="s">
        <v>2085</v>
      </c>
    </row>
    <row r="279" spans="13:18" x14ac:dyDescent="0.2">
      <c r="M279" s="20" t="str">
        <f t="shared" si="25"/>
        <v>APURIMAC ANDAHUAYLAS TUMAY HUARACA</v>
      </c>
      <c r="N279" s="20">
        <f t="shared" si="26"/>
        <v>0</v>
      </c>
      <c r="O279" s="16" t="s">
        <v>266</v>
      </c>
      <c r="P279" s="16" t="s">
        <v>276</v>
      </c>
      <c r="Q279" s="16" t="s">
        <v>294</v>
      </c>
      <c r="R279" s="16" t="s">
        <v>2086</v>
      </c>
    </row>
    <row r="280" spans="13:18" x14ac:dyDescent="0.2">
      <c r="M280" s="20" t="str">
        <f t="shared" si="25"/>
        <v>APURIMAC ANDAHUAYLAS TURPO</v>
      </c>
      <c r="N280" s="20">
        <f t="shared" si="26"/>
        <v>0</v>
      </c>
      <c r="O280" s="16" t="s">
        <v>266</v>
      </c>
      <c r="P280" s="16" t="s">
        <v>276</v>
      </c>
      <c r="Q280" s="16" t="s">
        <v>295</v>
      </c>
      <c r="R280" s="16" t="s">
        <v>2087</v>
      </c>
    </row>
    <row r="281" spans="13:18" x14ac:dyDescent="0.2">
      <c r="M281" s="20" t="str">
        <f t="shared" si="25"/>
        <v>APURIMAC ANTABAMBA ANTABAMBA</v>
      </c>
      <c r="N281" s="20">
        <f t="shared" si="26"/>
        <v>0</v>
      </c>
      <c r="O281" s="16" t="s">
        <v>266</v>
      </c>
      <c r="P281" s="16" t="s">
        <v>296</v>
      </c>
      <c r="Q281" s="16" t="s">
        <v>296</v>
      </c>
      <c r="R281" s="16" t="s">
        <v>2088</v>
      </c>
    </row>
    <row r="282" spans="13:18" x14ac:dyDescent="0.2">
      <c r="M282" s="20" t="str">
        <f t="shared" si="25"/>
        <v>APURIMAC ANTABAMBA EL ORO</v>
      </c>
      <c r="N282" s="20">
        <f t="shared" si="26"/>
        <v>0</v>
      </c>
      <c r="O282" s="16" t="s">
        <v>266</v>
      </c>
      <c r="P282" s="16" t="s">
        <v>296</v>
      </c>
      <c r="Q282" s="16" t="s">
        <v>297</v>
      </c>
      <c r="R282" s="16" t="s">
        <v>2089</v>
      </c>
    </row>
    <row r="283" spans="13:18" x14ac:dyDescent="0.2">
      <c r="M283" s="20" t="str">
        <f t="shared" si="25"/>
        <v>APURIMAC ANTABAMBA HUAQUIRCA</v>
      </c>
      <c r="N283" s="20">
        <f t="shared" si="26"/>
        <v>0</v>
      </c>
      <c r="O283" s="16" t="s">
        <v>266</v>
      </c>
      <c r="P283" s="16" t="s">
        <v>296</v>
      </c>
      <c r="Q283" s="16" t="s">
        <v>298</v>
      </c>
      <c r="R283" s="16" t="s">
        <v>2090</v>
      </c>
    </row>
    <row r="284" spans="13:18" x14ac:dyDescent="0.2">
      <c r="M284" s="20" t="str">
        <f t="shared" si="25"/>
        <v>APURIMAC ANTABAMBA JUAN ESPINOZA MEDRANO</v>
      </c>
      <c r="N284" s="20">
        <f t="shared" si="26"/>
        <v>0</v>
      </c>
      <c r="O284" s="16" t="s">
        <v>266</v>
      </c>
      <c r="P284" s="16" t="s">
        <v>296</v>
      </c>
      <c r="Q284" s="16" t="s">
        <v>202</v>
      </c>
      <c r="R284" s="16" t="s">
        <v>2091</v>
      </c>
    </row>
    <row r="285" spans="13:18" x14ac:dyDescent="0.2">
      <c r="M285" s="20" t="str">
        <f t="shared" si="25"/>
        <v>APURIMAC ANTABAMBA OROPESA</v>
      </c>
      <c r="N285" s="20">
        <f t="shared" si="26"/>
        <v>0</v>
      </c>
      <c r="O285" s="16" t="s">
        <v>266</v>
      </c>
      <c r="P285" s="16" t="s">
        <v>296</v>
      </c>
      <c r="Q285" s="16" t="s">
        <v>299</v>
      </c>
      <c r="R285" s="16" t="s">
        <v>2092</v>
      </c>
    </row>
    <row r="286" spans="13:18" x14ac:dyDescent="0.2">
      <c r="M286" s="20" t="str">
        <f t="shared" si="25"/>
        <v>APURIMAC ANTABAMBA PACHACONAS</v>
      </c>
      <c r="N286" s="20">
        <f t="shared" si="26"/>
        <v>0</v>
      </c>
      <c r="O286" s="16" t="s">
        <v>266</v>
      </c>
      <c r="P286" s="16" t="s">
        <v>296</v>
      </c>
      <c r="Q286" s="16" t="s">
        <v>300</v>
      </c>
      <c r="R286" s="16" t="s">
        <v>2093</v>
      </c>
    </row>
    <row r="287" spans="13:18" x14ac:dyDescent="0.2">
      <c r="M287" s="20" t="str">
        <f t="shared" si="25"/>
        <v>APURIMAC ANTABAMBA SABAINO</v>
      </c>
      <c r="N287" s="20">
        <f t="shared" si="26"/>
        <v>0</v>
      </c>
      <c r="O287" s="16" t="s">
        <v>266</v>
      </c>
      <c r="P287" s="16" t="s">
        <v>296</v>
      </c>
      <c r="Q287" s="16" t="s">
        <v>301</v>
      </c>
      <c r="R287" s="16" t="s">
        <v>2094</v>
      </c>
    </row>
    <row r="288" spans="13:18" x14ac:dyDescent="0.2">
      <c r="M288" s="20" t="str">
        <f t="shared" si="25"/>
        <v>APURIMAC AYMARAES CAPAYA</v>
      </c>
      <c r="N288" s="20">
        <f t="shared" si="26"/>
        <v>0</v>
      </c>
      <c r="O288" s="16" t="s">
        <v>266</v>
      </c>
      <c r="P288" s="16" t="s">
        <v>302</v>
      </c>
      <c r="Q288" s="16" t="s">
        <v>303</v>
      </c>
      <c r="R288" s="16" t="s">
        <v>2095</v>
      </c>
    </row>
    <row r="289" spans="13:18" x14ac:dyDescent="0.2">
      <c r="M289" s="20" t="str">
        <f t="shared" si="25"/>
        <v>APURIMAC AYMARAES CARAYBAMBA</v>
      </c>
      <c r="N289" s="20">
        <f t="shared" si="26"/>
        <v>0</v>
      </c>
      <c r="O289" s="16" t="s">
        <v>266</v>
      </c>
      <c r="P289" s="16" t="s">
        <v>302</v>
      </c>
      <c r="Q289" s="16" t="s">
        <v>304</v>
      </c>
      <c r="R289" s="16" t="s">
        <v>2096</v>
      </c>
    </row>
    <row r="290" spans="13:18" x14ac:dyDescent="0.2">
      <c r="M290" s="20" t="str">
        <f t="shared" si="25"/>
        <v>APURIMAC AYMARAES CHALHUANCA</v>
      </c>
      <c r="N290" s="20">
        <f t="shared" si="26"/>
        <v>0</v>
      </c>
      <c r="O290" s="16" t="s">
        <v>266</v>
      </c>
      <c r="P290" s="16" t="s">
        <v>302</v>
      </c>
      <c r="Q290" s="16" t="s">
        <v>305</v>
      </c>
      <c r="R290" s="16" t="s">
        <v>2097</v>
      </c>
    </row>
    <row r="291" spans="13:18" x14ac:dyDescent="0.2">
      <c r="M291" s="20" t="str">
        <f t="shared" si="25"/>
        <v>APURIMAC AYMARAES CHAPIMARCA</v>
      </c>
      <c r="N291" s="20">
        <f t="shared" si="26"/>
        <v>0</v>
      </c>
      <c r="O291" s="16" t="s">
        <v>266</v>
      </c>
      <c r="P291" s="16" t="s">
        <v>302</v>
      </c>
      <c r="Q291" s="16" t="s">
        <v>306</v>
      </c>
      <c r="R291" s="16" t="s">
        <v>2098</v>
      </c>
    </row>
    <row r="292" spans="13:18" x14ac:dyDescent="0.2">
      <c r="M292" s="20" t="str">
        <f t="shared" si="25"/>
        <v>APURIMAC AYMARAES COLCABAMBA</v>
      </c>
      <c r="N292" s="20">
        <f t="shared" si="26"/>
        <v>0</v>
      </c>
      <c r="O292" s="16" t="s">
        <v>266</v>
      </c>
      <c r="P292" s="16" t="s">
        <v>302</v>
      </c>
      <c r="Q292" s="16" t="s">
        <v>155</v>
      </c>
      <c r="R292" s="16" t="s">
        <v>2099</v>
      </c>
    </row>
    <row r="293" spans="13:18" x14ac:dyDescent="0.2">
      <c r="M293" s="20" t="str">
        <f t="shared" si="25"/>
        <v>APURIMAC AYMARAES COTARUSE</v>
      </c>
      <c r="N293" s="20">
        <f t="shared" si="26"/>
        <v>0</v>
      </c>
      <c r="O293" s="16" t="s">
        <v>266</v>
      </c>
      <c r="P293" s="16" t="s">
        <v>302</v>
      </c>
      <c r="Q293" s="16" t="s">
        <v>307</v>
      </c>
      <c r="R293" s="16" t="s">
        <v>2100</v>
      </c>
    </row>
    <row r="294" spans="13:18" x14ac:dyDescent="0.2">
      <c r="M294" s="20" t="str">
        <f t="shared" si="25"/>
        <v>APURIMAC AYMARAES HUAYLLO</v>
      </c>
      <c r="N294" s="20">
        <f t="shared" si="26"/>
        <v>0</v>
      </c>
      <c r="O294" s="16" t="s">
        <v>266</v>
      </c>
      <c r="P294" s="16" t="s">
        <v>302</v>
      </c>
      <c r="Q294" s="16" t="s">
        <v>308</v>
      </c>
      <c r="R294" s="16" t="s">
        <v>2101</v>
      </c>
    </row>
    <row r="295" spans="13:18" x14ac:dyDescent="0.2">
      <c r="M295" s="20" t="str">
        <f t="shared" si="25"/>
        <v>APURIMAC AYMARAES JUSTO APU SAHUARAURA</v>
      </c>
      <c r="N295" s="20">
        <f t="shared" si="26"/>
        <v>0</v>
      </c>
      <c r="O295" s="16" t="s">
        <v>266</v>
      </c>
      <c r="P295" s="16" t="s">
        <v>302</v>
      </c>
      <c r="Q295" s="16" t="s">
        <v>309</v>
      </c>
      <c r="R295" s="16" t="s">
        <v>2102</v>
      </c>
    </row>
    <row r="296" spans="13:18" x14ac:dyDescent="0.2">
      <c r="M296" s="20" t="str">
        <f t="shared" si="25"/>
        <v>APURIMAC AYMARAES LUCRE</v>
      </c>
      <c r="N296" s="20">
        <f t="shared" si="26"/>
        <v>0</v>
      </c>
      <c r="O296" s="16" t="s">
        <v>266</v>
      </c>
      <c r="P296" s="16" t="s">
        <v>302</v>
      </c>
      <c r="Q296" s="16" t="s">
        <v>310</v>
      </c>
      <c r="R296" s="16" t="s">
        <v>2103</v>
      </c>
    </row>
    <row r="297" spans="13:18" x14ac:dyDescent="0.2">
      <c r="M297" s="20" t="str">
        <f t="shared" si="25"/>
        <v>APURIMAC AYMARAES POCOHUANCA</v>
      </c>
      <c r="N297" s="20">
        <f t="shared" si="26"/>
        <v>0</v>
      </c>
      <c r="O297" s="16" t="s">
        <v>266</v>
      </c>
      <c r="P297" s="16" t="s">
        <v>302</v>
      </c>
      <c r="Q297" s="16" t="s">
        <v>311</v>
      </c>
      <c r="R297" s="16" t="s">
        <v>2104</v>
      </c>
    </row>
    <row r="298" spans="13:18" x14ac:dyDescent="0.2">
      <c r="M298" s="20" t="str">
        <f t="shared" si="25"/>
        <v>APURIMAC AYMARAES SAN JUAN DE CHACÑA</v>
      </c>
      <c r="N298" s="20">
        <f t="shared" si="26"/>
        <v>0</v>
      </c>
      <c r="O298" s="16" t="s">
        <v>266</v>
      </c>
      <c r="P298" s="16" t="s">
        <v>302</v>
      </c>
      <c r="Q298" s="16" t="s">
        <v>312</v>
      </c>
      <c r="R298" s="16" t="s">
        <v>2105</v>
      </c>
    </row>
    <row r="299" spans="13:18" x14ac:dyDescent="0.2">
      <c r="M299" s="20" t="str">
        <f t="shared" si="25"/>
        <v>APURIMAC AYMARAES SAÑAYCA</v>
      </c>
      <c r="N299" s="20">
        <f t="shared" si="26"/>
        <v>0</v>
      </c>
      <c r="O299" s="16" t="s">
        <v>266</v>
      </c>
      <c r="P299" s="16" t="s">
        <v>302</v>
      </c>
      <c r="Q299" s="16" t="s">
        <v>313</v>
      </c>
      <c r="R299" s="16" t="s">
        <v>2105</v>
      </c>
    </row>
    <row r="300" spans="13:18" x14ac:dyDescent="0.2">
      <c r="M300" s="20" t="str">
        <f t="shared" si="25"/>
        <v>APURIMAC AYMARAES SORAYA</v>
      </c>
      <c r="N300" s="20">
        <f t="shared" si="26"/>
        <v>0</v>
      </c>
      <c r="O300" s="16" t="s">
        <v>266</v>
      </c>
      <c r="P300" s="16" t="s">
        <v>302</v>
      </c>
      <c r="Q300" s="16" t="s">
        <v>314</v>
      </c>
      <c r="R300" s="16" t="s">
        <v>2106</v>
      </c>
    </row>
    <row r="301" spans="13:18" x14ac:dyDescent="0.2">
      <c r="M301" s="20" t="str">
        <f t="shared" si="25"/>
        <v>APURIMAC AYMARAES TAPAIRIHUA</v>
      </c>
      <c r="N301" s="20">
        <f t="shared" si="26"/>
        <v>0</v>
      </c>
      <c r="O301" s="16" t="s">
        <v>266</v>
      </c>
      <c r="P301" s="16" t="s">
        <v>302</v>
      </c>
      <c r="Q301" s="16" t="s">
        <v>315</v>
      </c>
      <c r="R301" s="16" t="s">
        <v>2107</v>
      </c>
    </row>
    <row r="302" spans="13:18" x14ac:dyDescent="0.2">
      <c r="M302" s="20" t="str">
        <f t="shared" si="25"/>
        <v>APURIMAC AYMARAES TINTAY</v>
      </c>
      <c r="N302" s="20">
        <f t="shared" si="26"/>
        <v>0</v>
      </c>
      <c r="O302" s="16" t="s">
        <v>266</v>
      </c>
      <c r="P302" s="16" t="s">
        <v>302</v>
      </c>
      <c r="Q302" s="16" t="s">
        <v>316</v>
      </c>
      <c r="R302" s="16" t="s">
        <v>2108</v>
      </c>
    </row>
    <row r="303" spans="13:18" x14ac:dyDescent="0.2">
      <c r="M303" s="20" t="str">
        <f t="shared" si="25"/>
        <v>APURIMAC AYMARAES TORAYA</v>
      </c>
      <c r="N303" s="20">
        <f t="shared" si="26"/>
        <v>0</v>
      </c>
      <c r="O303" s="16" t="s">
        <v>266</v>
      </c>
      <c r="P303" s="16" t="s">
        <v>302</v>
      </c>
      <c r="Q303" s="16" t="s">
        <v>317</v>
      </c>
      <c r="R303" s="16" t="s">
        <v>2109</v>
      </c>
    </row>
    <row r="304" spans="13:18" x14ac:dyDescent="0.2">
      <c r="M304" s="20" t="str">
        <f t="shared" si="25"/>
        <v>APURIMAC AYMARAES YANACA</v>
      </c>
      <c r="N304" s="20">
        <f t="shared" si="26"/>
        <v>0</v>
      </c>
      <c r="O304" s="16" t="s">
        <v>266</v>
      </c>
      <c r="P304" s="16" t="s">
        <v>302</v>
      </c>
      <c r="Q304" s="16" t="s">
        <v>318</v>
      </c>
      <c r="R304" s="16" t="s">
        <v>2110</v>
      </c>
    </row>
    <row r="305" spans="13:18" x14ac:dyDescent="0.2">
      <c r="M305" s="20" t="str">
        <f t="shared" si="25"/>
        <v>APURIMAC CHINCHEROS ANCO_HUALLO</v>
      </c>
      <c r="N305" s="20">
        <f t="shared" si="26"/>
        <v>0</v>
      </c>
      <c r="O305" s="16" t="s">
        <v>266</v>
      </c>
      <c r="P305" s="16" t="s">
        <v>319</v>
      </c>
      <c r="Q305" s="16" t="s">
        <v>320</v>
      </c>
      <c r="R305" s="16" t="s">
        <v>2111</v>
      </c>
    </row>
    <row r="306" spans="13:18" x14ac:dyDescent="0.2">
      <c r="M306" s="20" t="str">
        <f t="shared" si="25"/>
        <v>APURIMAC CHINCHEROS CHINCHEROS</v>
      </c>
      <c r="N306" s="20">
        <f t="shared" si="26"/>
        <v>0</v>
      </c>
      <c r="O306" s="16" t="s">
        <v>266</v>
      </c>
      <c r="P306" s="16" t="s">
        <v>319</v>
      </c>
      <c r="Q306" s="16" t="s">
        <v>319</v>
      </c>
      <c r="R306" s="16" t="s">
        <v>2112</v>
      </c>
    </row>
    <row r="307" spans="13:18" x14ac:dyDescent="0.2">
      <c r="M307" s="20" t="str">
        <f t="shared" si="25"/>
        <v>APURIMAC CHINCHEROS COCHARCAS</v>
      </c>
      <c r="N307" s="20">
        <f t="shared" si="26"/>
        <v>0</v>
      </c>
      <c r="O307" s="16" t="s">
        <v>266</v>
      </c>
      <c r="P307" s="16" t="s">
        <v>319</v>
      </c>
      <c r="Q307" s="16" t="s">
        <v>321</v>
      </c>
      <c r="R307" s="16" t="s">
        <v>2113</v>
      </c>
    </row>
    <row r="308" spans="13:18" x14ac:dyDescent="0.2">
      <c r="M308" s="20" t="str">
        <f t="shared" si="25"/>
        <v>APURIMAC CHINCHEROS EL PORVENIR</v>
      </c>
      <c r="N308" s="20">
        <f t="shared" si="26"/>
        <v>0</v>
      </c>
      <c r="O308" s="16" t="s">
        <v>266</v>
      </c>
      <c r="P308" s="16" t="s">
        <v>319</v>
      </c>
      <c r="Q308" s="16" t="s">
        <v>322</v>
      </c>
      <c r="R308" s="16" t="s">
        <v>2114</v>
      </c>
    </row>
    <row r="309" spans="13:18" x14ac:dyDescent="0.2">
      <c r="M309" s="20" t="str">
        <f t="shared" si="25"/>
        <v>APURIMAC CHINCHEROS HUACCANA</v>
      </c>
      <c r="N309" s="20">
        <f t="shared" si="26"/>
        <v>0</v>
      </c>
      <c r="O309" s="16" t="s">
        <v>266</v>
      </c>
      <c r="P309" s="16" t="s">
        <v>319</v>
      </c>
      <c r="Q309" s="16" t="s">
        <v>323</v>
      </c>
      <c r="R309" s="16" t="s">
        <v>2115</v>
      </c>
    </row>
    <row r="310" spans="13:18" x14ac:dyDescent="0.2">
      <c r="M310" s="20" t="str">
        <f t="shared" si="25"/>
        <v>APURIMAC CHINCHEROS OCOBAMBA</v>
      </c>
      <c r="N310" s="20">
        <f t="shared" si="26"/>
        <v>0</v>
      </c>
      <c r="O310" s="16" t="s">
        <v>266</v>
      </c>
      <c r="P310" s="16" t="s">
        <v>319</v>
      </c>
      <c r="Q310" s="16" t="s">
        <v>324</v>
      </c>
      <c r="R310" s="16" t="s">
        <v>2116</v>
      </c>
    </row>
    <row r="311" spans="13:18" x14ac:dyDescent="0.2">
      <c r="M311" s="20" t="str">
        <f t="shared" si="25"/>
        <v>APURIMAC CHINCHEROS ONGOY</v>
      </c>
      <c r="N311" s="20">
        <f t="shared" si="26"/>
        <v>0</v>
      </c>
      <c r="O311" s="16" t="s">
        <v>266</v>
      </c>
      <c r="P311" s="16" t="s">
        <v>319</v>
      </c>
      <c r="Q311" s="16" t="s">
        <v>325</v>
      </c>
      <c r="R311" s="16" t="s">
        <v>2117</v>
      </c>
    </row>
    <row r="312" spans="13:18" x14ac:dyDescent="0.2">
      <c r="M312" s="20" t="str">
        <f t="shared" si="25"/>
        <v>APURIMAC CHINCHEROS RANRACANCHA</v>
      </c>
      <c r="N312" s="20">
        <f t="shared" si="26"/>
        <v>0</v>
      </c>
      <c r="O312" s="16" t="s">
        <v>266</v>
      </c>
      <c r="P312" s="16" t="s">
        <v>319</v>
      </c>
      <c r="Q312" s="16" t="s">
        <v>326</v>
      </c>
      <c r="R312" s="16" t="s">
        <v>2118</v>
      </c>
    </row>
    <row r="313" spans="13:18" x14ac:dyDescent="0.2">
      <c r="M313" s="20" t="str">
        <f t="shared" si="25"/>
        <v>APURIMAC CHINCHEROS ROCCHACC</v>
      </c>
      <c r="N313" s="20">
        <f t="shared" si="26"/>
        <v>0</v>
      </c>
      <c r="O313" s="16" t="s">
        <v>266</v>
      </c>
      <c r="P313" s="16" t="s">
        <v>319</v>
      </c>
      <c r="Q313" s="16" t="s">
        <v>327</v>
      </c>
      <c r="R313" s="16" t="s">
        <v>2119</v>
      </c>
    </row>
    <row r="314" spans="13:18" x14ac:dyDescent="0.2">
      <c r="M314" s="20" t="str">
        <f t="shared" si="25"/>
        <v>APURIMAC CHINCHEROS URANMARCA</v>
      </c>
      <c r="N314" s="20">
        <f t="shared" si="26"/>
        <v>0</v>
      </c>
      <c r="O314" s="16" t="s">
        <v>266</v>
      </c>
      <c r="P314" s="16" t="s">
        <v>319</v>
      </c>
      <c r="Q314" s="16" t="s">
        <v>328</v>
      </c>
      <c r="R314" s="16" t="s">
        <v>2120</v>
      </c>
    </row>
    <row r="315" spans="13:18" x14ac:dyDescent="0.2">
      <c r="M315" s="20" t="str">
        <f t="shared" si="25"/>
        <v>APURIMAC COTABAMBAS CHALLHUAHUACHO</v>
      </c>
      <c r="N315" s="20">
        <f t="shared" si="26"/>
        <v>0</v>
      </c>
      <c r="O315" s="16" t="s">
        <v>266</v>
      </c>
      <c r="P315" s="16" t="s">
        <v>329</v>
      </c>
      <c r="Q315" s="16" t="s">
        <v>330</v>
      </c>
      <c r="R315" s="16" t="s">
        <v>2121</v>
      </c>
    </row>
    <row r="316" spans="13:18" x14ac:dyDescent="0.2">
      <c r="M316" s="20" t="str">
        <f t="shared" si="25"/>
        <v>APURIMAC COTABAMBAS COTABAMBAS</v>
      </c>
      <c r="N316" s="20">
        <f t="shared" si="26"/>
        <v>0</v>
      </c>
      <c r="O316" s="16" t="s">
        <v>266</v>
      </c>
      <c r="P316" s="16" t="s">
        <v>329</v>
      </c>
      <c r="Q316" s="16" t="s">
        <v>329</v>
      </c>
      <c r="R316" s="16" t="s">
        <v>2122</v>
      </c>
    </row>
    <row r="317" spans="13:18" x14ac:dyDescent="0.2">
      <c r="M317" s="20" t="str">
        <f t="shared" si="25"/>
        <v>APURIMAC COTABAMBAS COYLLURQUI</v>
      </c>
      <c r="N317" s="20">
        <f t="shared" si="26"/>
        <v>0</v>
      </c>
      <c r="O317" s="16" t="s">
        <v>266</v>
      </c>
      <c r="P317" s="16" t="s">
        <v>329</v>
      </c>
      <c r="Q317" s="16" t="s">
        <v>331</v>
      </c>
      <c r="R317" s="16" t="s">
        <v>2123</v>
      </c>
    </row>
    <row r="318" spans="13:18" x14ac:dyDescent="0.2">
      <c r="M318" s="20" t="str">
        <f t="shared" si="25"/>
        <v>APURIMAC COTABAMBAS HAQUIRA</v>
      </c>
      <c r="N318" s="20">
        <f t="shared" si="26"/>
        <v>0</v>
      </c>
      <c r="O318" s="16" t="s">
        <v>266</v>
      </c>
      <c r="P318" s="16" t="s">
        <v>329</v>
      </c>
      <c r="Q318" s="16" t="s">
        <v>332</v>
      </c>
      <c r="R318" s="16" t="s">
        <v>2124</v>
      </c>
    </row>
    <row r="319" spans="13:18" x14ac:dyDescent="0.2">
      <c r="M319" s="20" t="str">
        <f t="shared" si="25"/>
        <v>APURIMAC COTABAMBAS MARA</v>
      </c>
      <c r="N319" s="20">
        <f t="shared" si="26"/>
        <v>0</v>
      </c>
      <c r="O319" s="16" t="s">
        <v>266</v>
      </c>
      <c r="P319" s="16" t="s">
        <v>329</v>
      </c>
      <c r="Q319" s="16" t="s">
        <v>333</v>
      </c>
      <c r="R319" s="16" t="s">
        <v>2125</v>
      </c>
    </row>
    <row r="320" spans="13:18" x14ac:dyDescent="0.2">
      <c r="M320" s="20" t="str">
        <f t="shared" si="25"/>
        <v>APURIMAC COTABAMBAS TAMBOBAMBA</v>
      </c>
      <c r="N320" s="20">
        <f t="shared" si="26"/>
        <v>0</v>
      </c>
      <c r="O320" s="16" t="s">
        <v>266</v>
      </c>
      <c r="P320" s="16" t="s">
        <v>329</v>
      </c>
      <c r="Q320" s="16" t="s">
        <v>334</v>
      </c>
      <c r="R320" s="16" t="s">
        <v>2126</v>
      </c>
    </row>
    <row r="321" spans="13:18" x14ac:dyDescent="0.2">
      <c r="M321" s="20" t="str">
        <f t="shared" si="25"/>
        <v>APURIMAC GRAU CHUQUIBAMBILLA</v>
      </c>
      <c r="N321" s="20">
        <f t="shared" si="26"/>
        <v>0</v>
      </c>
      <c r="O321" s="16" t="s">
        <v>266</v>
      </c>
      <c r="P321" s="16" t="s">
        <v>335</v>
      </c>
      <c r="Q321" s="16" t="s">
        <v>336</v>
      </c>
      <c r="R321" s="16" t="s">
        <v>2127</v>
      </c>
    </row>
    <row r="322" spans="13:18" x14ac:dyDescent="0.2">
      <c r="M322" s="20" t="str">
        <f t="shared" si="25"/>
        <v>APURIMAC GRAU CURASCO</v>
      </c>
      <c r="N322" s="20">
        <f t="shared" si="26"/>
        <v>0</v>
      </c>
      <c r="O322" s="16" t="s">
        <v>266</v>
      </c>
      <c r="P322" s="16" t="s">
        <v>335</v>
      </c>
      <c r="Q322" s="16" t="s">
        <v>337</v>
      </c>
      <c r="R322" s="16" t="s">
        <v>2128</v>
      </c>
    </row>
    <row r="323" spans="13:18" x14ac:dyDescent="0.2">
      <c r="M323" s="20" t="str">
        <f t="shared" ref="M323:M386" si="27">O323&amp;" "&amp;P323&amp;" "&amp;Q323</f>
        <v>APURIMAC GRAU CURPAHUASI</v>
      </c>
      <c r="N323" s="20">
        <f t="shared" ref="N323:N386" si="28">IF(AND($D$9=O323,$D$10=P323),N322+1,0)</f>
        <v>0</v>
      </c>
      <c r="O323" s="16" t="s">
        <v>266</v>
      </c>
      <c r="P323" s="16" t="s">
        <v>335</v>
      </c>
      <c r="Q323" s="16" t="s">
        <v>338</v>
      </c>
      <c r="R323" s="16" t="s">
        <v>2129</v>
      </c>
    </row>
    <row r="324" spans="13:18" x14ac:dyDescent="0.2">
      <c r="M324" s="20" t="str">
        <f t="shared" si="27"/>
        <v>APURIMAC GRAU GAMARRA</v>
      </c>
      <c r="N324" s="20">
        <f t="shared" si="28"/>
        <v>0</v>
      </c>
      <c r="O324" s="16" t="s">
        <v>266</v>
      </c>
      <c r="P324" s="16" t="s">
        <v>335</v>
      </c>
      <c r="Q324" s="16" t="s">
        <v>339</v>
      </c>
      <c r="R324" s="16" t="s">
        <v>2130</v>
      </c>
    </row>
    <row r="325" spans="13:18" x14ac:dyDescent="0.2">
      <c r="M325" s="20" t="str">
        <f t="shared" si="27"/>
        <v>APURIMAC GRAU HUAYLLATI</v>
      </c>
      <c r="N325" s="20">
        <f t="shared" si="28"/>
        <v>0</v>
      </c>
      <c r="O325" s="16" t="s">
        <v>266</v>
      </c>
      <c r="P325" s="16" t="s">
        <v>335</v>
      </c>
      <c r="Q325" s="16" t="s">
        <v>340</v>
      </c>
      <c r="R325" s="16" t="s">
        <v>2131</v>
      </c>
    </row>
    <row r="326" spans="13:18" x14ac:dyDescent="0.2">
      <c r="M326" s="20" t="str">
        <f t="shared" si="27"/>
        <v>APURIMAC GRAU MAMARA</v>
      </c>
      <c r="N326" s="20">
        <f t="shared" si="28"/>
        <v>0</v>
      </c>
      <c r="O326" s="16" t="s">
        <v>266</v>
      </c>
      <c r="P326" s="16" t="s">
        <v>335</v>
      </c>
      <c r="Q326" s="16" t="s">
        <v>341</v>
      </c>
      <c r="R326" s="16" t="s">
        <v>2132</v>
      </c>
    </row>
    <row r="327" spans="13:18" x14ac:dyDescent="0.2">
      <c r="M327" s="20" t="str">
        <f t="shared" si="27"/>
        <v>APURIMAC GRAU MICAELA BASTIDAS</v>
      </c>
      <c r="N327" s="20">
        <f t="shared" si="28"/>
        <v>0</v>
      </c>
      <c r="O327" s="16" t="s">
        <v>266</v>
      </c>
      <c r="P327" s="16" t="s">
        <v>335</v>
      </c>
      <c r="Q327" s="16" t="s">
        <v>342</v>
      </c>
      <c r="R327" s="16" t="s">
        <v>2133</v>
      </c>
    </row>
    <row r="328" spans="13:18" x14ac:dyDescent="0.2">
      <c r="M328" s="20" t="str">
        <f t="shared" si="27"/>
        <v>APURIMAC GRAU PATAYPAMPA</v>
      </c>
      <c r="N328" s="20">
        <f t="shared" si="28"/>
        <v>0</v>
      </c>
      <c r="O328" s="16" t="s">
        <v>266</v>
      </c>
      <c r="P328" s="16" t="s">
        <v>335</v>
      </c>
      <c r="Q328" s="16" t="s">
        <v>343</v>
      </c>
      <c r="R328" s="16" t="s">
        <v>2134</v>
      </c>
    </row>
    <row r="329" spans="13:18" x14ac:dyDescent="0.2">
      <c r="M329" s="20" t="str">
        <f t="shared" si="27"/>
        <v>APURIMAC GRAU PROGRESO</v>
      </c>
      <c r="N329" s="20">
        <f t="shared" si="28"/>
        <v>0</v>
      </c>
      <c r="O329" s="16" t="s">
        <v>266</v>
      </c>
      <c r="P329" s="16" t="s">
        <v>335</v>
      </c>
      <c r="Q329" s="16" t="s">
        <v>344</v>
      </c>
      <c r="R329" s="16" t="s">
        <v>2135</v>
      </c>
    </row>
    <row r="330" spans="13:18" x14ac:dyDescent="0.2">
      <c r="M330" s="20" t="str">
        <f t="shared" si="27"/>
        <v>APURIMAC GRAU SAN ANTONIO</v>
      </c>
      <c r="N330" s="20">
        <f t="shared" si="28"/>
        <v>0</v>
      </c>
      <c r="O330" s="16" t="s">
        <v>266</v>
      </c>
      <c r="P330" s="16" t="s">
        <v>335</v>
      </c>
      <c r="Q330" s="16" t="s">
        <v>345</v>
      </c>
      <c r="R330" s="16" t="s">
        <v>2136</v>
      </c>
    </row>
    <row r="331" spans="13:18" x14ac:dyDescent="0.2">
      <c r="M331" s="20" t="str">
        <f t="shared" si="27"/>
        <v>APURIMAC GRAU SANTA ROSA</v>
      </c>
      <c r="N331" s="20">
        <f t="shared" si="28"/>
        <v>0</v>
      </c>
      <c r="O331" s="16" t="s">
        <v>266</v>
      </c>
      <c r="P331" s="16" t="s">
        <v>335</v>
      </c>
      <c r="Q331" s="16" t="s">
        <v>85</v>
      </c>
      <c r="R331" s="16" t="s">
        <v>2137</v>
      </c>
    </row>
    <row r="332" spans="13:18" x14ac:dyDescent="0.2">
      <c r="M332" s="20" t="str">
        <f t="shared" si="27"/>
        <v>APURIMAC GRAU TURPAY</v>
      </c>
      <c r="N332" s="20">
        <f t="shared" si="28"/>
        <v>0</v>
      </c>
      <c r="O332" s="16" t="s">
        <v>266</v>
      </c>
      <c r="P332" s="16" t="s">
        <v>335</v>
      </c>
      <c r="Q332" s="16" t="s">
        <v>346</v>
      </c>
      <c r="R332" s="16" t="s">
        <v>2138</v>
      </c>
    </row>
    <row r="333" spans="13:18" x14ac:dyDescent="0.2">
      <c r="M333" s="20" t="str">
        <f t="shared" si="27"/>
        <v>APURIMAC GRAU VILCABAMBA</v>
      </c>
      <c r="N333" s="20">
        <f t="shared" si="28"/>
        <v>0</v>
      </c>
      <c r="O333" s="16" t="s">
        <v>266</v>
      </c>
      <c r="P333" s="16" t="s">
        <v>335</v>
      </c>
      <c r="Q333" s="16" t="s">
        <v>347</v>
      </c>
      <c r="R333" s="16" t="s">
        <v>2139</v>
      </c>
    </row>
    <row r="334" spans="13:18" x14ac:dyDescent="0.2">
      <c r="M334" s="20" t="str">
        <f t="shared" si="27"/>
        <v>APURIMAC GRAU VIRUNDO</v>
      </c>
      <c r="N334" s="20">
        <f t="shared" si="28"/>
        <v>0</v>
      </c>
      <c r="O334" s="16" t="s">
        <v>266</v>
      </c>
      <c r="P334" s="16" t="s">
        <v>335</v>
      </c>
      <c r="Q334" s="16" t="s">
        <v>348</v>
      </c>
      <c r="R334" s="16" t="s">
        <v>2140</v>
      </c>
    </row>
    <row r="335" spans="13:18" x14ac:dyDescent="0.2">
      <c r="M335" s="20" t="str">
        <f t="shared" si="27"/>
        <v>AREQUIPA AREQUIPA ALTO SELVA ALEGRE</v>
      </c>
      <c r="N335" s="20">
        <f t="shared" si="28"/>
        <v>0</v>
      </c>
      <c r="O335" s="16" t="s">
        <v>349</v>
      </c>
      <c r="P335" s="16" t="s">
        <v>349</v>
      </c>
      <c r="Q335" s="16" t="s">
        <v>350</v>
      </c>
      <c r="R335" s="16" t="s">
        <v>2141</v>
      </c>
    </row>
    <row r="336" spans="13:18" x14ac:dyDescent="0.2">
      <c r="M336" s="20" t="str">
        <f t="shared" si="27"/>
        <v>AREQUIPA AREQUIPA AREQUIPA</v>
      </c>
      <c r="N336" s="20">
        <f t="shared" si="28"/>
        <v>0</v>
      </c>
      <c r="O336" s="16" t="s">
        <v>349</v>
      </c>
      <c r="P336" s="16" t="s">
        <v>349</v>
      </c>
      <c r="Q336" s="16" t="s">
        <v>349</v>
      </c>
      <c r="R336" s="16" t="s">
        <v>2142</v>
      </c>
    </row>
    <row r="337" spans="13:18" x14ac:dyDescent="0.2">
      <c r="M337" s="20" t="str">
        <f t="shared" si="27"/>
        <v>AREQUIPA AREQUIPA CAYMA</v>
      </c>
      <c r="N337" s="20">
        <f t="shared" si="28"/>
        <v>0</v>
      </c>
      <c r="O337" s="16" t="s">
        <v>349</v>
      </c>
      <c r="P337" s="16" t="s">
        <v>349</v>
      </c>
      <c r="Q337" s="16" t="s">
        <v>351</v>
      </c>
      <c r="R337" s="16" t="s">
        <v>2143</v>
      </c>
    </row>
    <row r="338" spans="13:18" x14ac:dyDescent="0.2">
      <c r="M338" s="20" t="str">
        <f t="shared" si="27"/>
        <v>AREQUIPA AREQUIPA CERRO COLORADO</v>
      </c>
      <c r="N338" s="20">
        <f t="shared" si="28"/>
        <v>0</v>
      </c>
      <c r="O338" s="16" t="s">
        <v>349</v>
      </c>
      <c r="P338" s="16" t="s">
        <v>349</v>
      </c>
      <c r="Q338" s="16" t="s">
        <v>352</v>
      </c>
      <c r="R338" s="16" t="s">
        <v>2144</v>
      </c>
    </row>
    <row r="339" spans="13:18" x14ac:dyDescent="0.2">
      <c r="M339" s="20" t="str">
        <f t="shared" si="27"/>
        <v>AREQUIPA AREQUIPA CHARACATO</v>
      </c>
      <c r="N339" s="20">
        <f t="shared" si="28"/>
        <v>0</v>
      </c>
      <c r="O339" s="16" t="s">
        <v>349</v>
      </c>
      <c r="P339" s="16" t="s">
        <v>349</v>
      </c>
      <c r="Q339" s="16" t="s">
        <v>353</v>
      </c>
      <c r="R339" s="16" t="s">
        <v>2145</v>
      </c>
    </row>
    <row r="340" spans="13:18" x14ac:dyDescent="0.2">
      <c r="M340" s="20" t="str">
        <f t="shared" si="27"/>
        <v>AREQUIPA AREQUIPA CHIGUATA</v>
      </c>
      <c r="N340" s="20">
        <f t="shared" si="28"/>
        <v>0</v>
      </c>
      <c r="O340" s="16" t="s">
        <v>349</v>
      </c>
      <c r="P340" s="16" t="s">
        <v>349</v>
      </c>
      <c r="Q340" s="16" t="s">
        <v>354</v>
      </c>
      <c r="R340" s="16" t="s">
        <v>2146</v>
      </c>
    </row>
    <row r="341" spans="13:18" x14ac:dyDescent="0.2">
      <c r="M341" s="20" t="str">
        <f t="shared" si="27"/>
        <v>AREQUIPA AREQUIPA JACOBO HUNTER</v>
      </c>
      <c r="N341" s="20">
        <f t="shared" si="28"/>
        <v>0</v>
      </c>
      <c r="O341" s="16" t="s">
        <v>349</v>
      </c>
      <c r="P341" s="16" t="s">
        <v>349</v>
      </c>
      <c r="Q341" s="16" t="s">
        <v>355</v>
      </c>
      <c r="R341" s="16" t="s">
        <v>2147</v>
      </c>
    </row>
    <row r="342" spans="13:18" x14ac:dyDescent="0.2">
      <c r="M342" s="20" t="str">
        <f t="shared" si="27"/>
        <v>AREQUIPA AREQUIPA JOSE LUIS BUSTAMANTE Y RIVERO</v>
      </c>
      <c r="N342" s="20">
        <f t="shared" si="28"/>
        <v>0</v>
      </c>
      <c r="O342" s="16" t="s">
        <v>349</v>
      </c>
      <c r="P342" s="16" t="s">
        <v>349</v>
      </c>
      <c r="Q342" s="16" t="s">
        <v>356</v>
      </c>
      <c r="R342" s="16" t="s">
        <v>2148</v>
      </c>
    </row>
    <row r="343" spans="13:18" x14ac:dyDescent="0.2">
      <c r="M343" s="20" t="str">
        <f t="shared" si="27"/>
        <v>AREQUIPA AREQUIPA LA JOYA</v>
      </c>
      <c r="N343" s="20">
        <f t="shared" si="28"/>
        <v>0</v>
      </c>
      <c r="O343" s="16" t="s">
        <v>349</v>
      </c>
      <c r="P343" s="16" t="s">
        <v>349</v>
      </c>
      <c r="Q343" s="16" t="s">
        <v>357</v>
      </c>
      <c r="R343" s="16" t="s">
        <v>2149</v>
      </c>
    </row>
    <row r="344" spans="13:18" x14ac:dyDescent="0.2">
      <c r="M344" s="20" t="str">
        <f t="shared" si="27"/>
        <v>AREQUIPA AREQUIPA MARIANO MELGAR</v>
      </c>
      <c r="N344" s="20">
        <f t="shared" si="28"/>
        <v>0</v>
      </c>
      <c r="O344" s="16" t="s">
        <v>349</v>
      </c>
      <c r="P344" s="16" t="s">
        <v>349</v>
      </c>
      <c r="Q344" s="16" t="s">
        <v>358</v>
      </c>
      <c r="R344" s="16" t="s">
        <v>2150</v>
      </c>
    </row>
    <row r="345" spans="13:18" x14ac:dyDescent="0.2">
      <c r="M345" s="20" t="str">
        <f t="shared" si="27"/>
        <v>AREQUIPA AREQUIPA MIRAFLORES</v>
      </c>
      <c r="N345" s="20">
        <f t="shared" si="28"/>
        <v>0</v>
      </c>
      <c r="O345" s="16" t="s">
        <v>349</v>
      </c>
      <c r="P345" s="16" t="s">
        <v>349</v>
      </c>
      <c r="Q345" s="16" t="s">
        <v>359</v>
      </c>
      <c r="R345" s="16" t="s">
        <v>2151</v>
      </c>
    </row>
    <row r="346" spans="13:18" x14ac:dyDescent="0.2">
      <c r="M346" s="20" t="str">
        <f t="shared" si="27"/>
        <v>AREQUIPA AREQUIPA MOLLEBAYA</v>
      </c>
      <c r="N346" s="20">
        <f t="shared" si="28"/>
        <v>0</v>
      </c>
      <c r="O346" s="16" t="s">
        <v>349</v>
      </c>
      <c r="P346" s="16" t="s">
        <v>349</v>
      </c>
      <c r="Q346" s="16" t="s">
        <v>360</v>
      </c>
      <c r="R346" s="16" t="s">
        <v>2152</v>
      </c>
    </row>
    <row r="347" spans="13:18" x14ac:dyDescent="0.2">
      <c r="M347" s="20" t="str">
        <f t="shared" si="27"/>
        <v>AREQUIPA AREQUIPA PAUCARPATA</v>
      </c>
      <c r="N347" s="20">
        <f t="shared" si="28"/>
        <v>0</v>
      </c>
      <c r="O347" s="16" t="s">
        <v>349</v>
      </c>
      <c r="P347" s="16" t="s">
        <v>349</v>
      </c>
      <c r="Q347" s="16" t="s">
        <v>361</v>
      </c>
      <c r="R347" s="16" t="s">
        <v>2153</v>
      </c>
    </row>
    <row r="348" spans="13:18" x14ac:dyDescent="0.2">
      <c r="M348" s="20" t="str">
        <f t="shared" si="27"/>
        <v>AREQUIPA AREQUIPA POCSI</v>
      </c>
      <c r="N348" s="20">
        <f t="shared" si="28"/>
        <v>0</v>
      </c>
      <c r="O348" s="16" t="s">
        <v>349</v>
      </c>
      <c r="P348" s="16" t="s">
        <v>349</v>
      </c>
      <c r="Q348" s="16" t="s">
        <v>362</v>
      </c>
      <c r="R348" s="16" t="s">
        <v>2154</v>
      </c>
    </row>
    <row r="349" spans="13:18" x14ac:dyDescent="0.2">
      <c r="M349" s="20" t="str">
        <f t="shared" si="27"/>
        <v>AREQUIPA AREQUIPA POLOBAYA</v>
      </c>
      <c r="N349" s="20">
        <f t="shared" si="28"/>
        <v>0</v>
      </c>
      <c r="O349" s="16" t="s">
        <v>349</v>
      </c>
      <c r="P349" s="16" t="s">
        <v>349</v>
      </c>
      <c r="Q349" s="16" t="s">
        <v>363</v>
      </c>
      <c r="R349" s="16" t="s">
        <v>2155</v>
      </c>
    </row>
    <row r="350" spans="13:18" x14ac:dyDescent="0.2">
      <c r="M350" s="20" t="str">
        <f t="shared" si="27"/>
        <v>AREQUIPA AREQUIPA QUEQUEÑA</v>
      </c>
      <c r="N350" s="20">
        <f t="shared" si="28"/>
        <v>0</v>
      </c>
      <c r="O350" s="16" t="s">
        <v>349</v>
      </c>
      <c r="P350" s="16" t="s">
        <v>349</v>
      </c>
      <c r="Q350" s="16" t="s">
        <v>364</v>
      </c>
      <c r="R350" s="16" t="s">
        <v>2156</v>
      </c>
    </row>
    <row r="351" spans="13:18" x14ac:dyDescent="0.2">
      <c r="M351" s="20" t="str">
        <f t="shared" si="27"/>
        <v>AREQUIPA AREQUIPA SABANDIA</v>
      </c>
      <c r="N351" s="20">
        <f t="shared" si="28"/>
        <v>0</v>
      </c>
      <c r="O351" s="16" t="s">
        <v>349</v>
      </c>
      <c r="P351" s="16" t="s">
        <v>349</v>
      </c>
      <c r="Q351" s="16" t="s">
        <v>365</v>
      </c>
      <c r="R351" s="16" t="s">
        <v>2157</v>
      </c>
    </row>
    <row r="352" spans="13:18" x14ac:dyDescent="0.2">
      <c r="M352" s="20" t="str">
        <f t="shared" si="27"/>
        <v>AREQUIPA AREQUIPA SACHACA</v>
      </c>
      <c r="N352" s="20">
        <f t="shared" si="28"/>
        <v>0</v>
      </c>
      <c r="O352" s="16" t="s">
        <v>349</v>
      </c>
      <c r="P352" s="16" t="s">
        <v>349</v>
      </c>
      <c r="Q352" s="16" t="s">
        <v>366</v>
      </c>
      <c r="R352" s="16" t="s">
        <v>2158</v>
      </c>
    </row>
    <row r="353" spans="13:18" x14ac:dyDescent="0.2">
      <c r="M353" s="20" t="str">
        <f t="shared" si="27"/>
        <v>AREQUIPA AREQUIPA SAN JUAN DE SIGUAS</v>
      </c>
      <c r="N353" s="20">
        <f t="shared" si="28"/>
        <v>0</v>
      </c>
      <c r="O353" s="16" t="s">
        <v>349</v>
      </c>
      <c r="P353" s="16" t="s">
        <v>349</v>
      </c>
      <c r="Q353" s="16" t="s">
        <v>367</v>
      </c>
      <c r="R353" s="16" t="s">
        <v>2159</v>
      </c>
    </row>
    <row r="354" spans="13:18" x14ac:dyDescent="0.2">
      <c r="M354" s="20" t="str">
        <f t="shared" si="27"/>
        <v>AREQUIPA AREQUIPA SAN JUAN DE TARUCANI</v>
      </c>
      <c r="N354" s="20">
        <f t="shared" si="28"/>
        <v>0</v>
      </c>
      <c r="O354" s="16" t="s">
        <v>349</v>
      </c>
      <c r="P354" s="16" t="s">
        <v>349</v>
      </c>
      <c r="Q354" s="16" t="s">
        <v>368</v>
      </c>
      <c r="R354" s="16" t="s">
        <v>2160</v>
      </c>
    </row>
    <row r="355" spans="13:18" x14ac:dyDescent="0.2">
      <c r="M355" s="20" t="str">
        <f t="shared" si="27"/>
        <v>AREQUIPA AREQUIPA SANTA ISABEL DE SIGUAS</v>
      </c>
      <c r="N355" s="20">
        <f t="shared" si="28"/>
        <v>0</v>
      </c>
      <c r="O355" s="16" t="s">
        <v>349</v>
      </c>
      <c r="P355" s="16" t="s">
        <v>349</v>
      </c>
      <c r="Q355" s="16" t="s">
        <v>369</v>
      </c>
      <c r="R355" s="16" t="s">
        <v>2161</v>
      </c>
    </row>
    <row r="356" spans="13:18" x14ac:dyDescent="0.2">
      <c r="M356" s="20" t="str">
        <f t="shared" si="27"/>
        <v>AREQUIPA AREQUIPA SANTA RITA DE SIGUAS</v>
      </c>
      <c r="N356" s="20">
        <f t="shared" si="28"/>
        <v>0</v>
      </c>
      <c r="O356" s="16" t="s">
        <v>349</v>
      </c>
      <c r="P356" s="16" t="s">
        <v>349</v>
      </c>
      <c r="Q356" s="16" t="s">
        <v>370</v>
      </c>
      <c r="R356" s="16" t="s">
        <v>2162</v>
      </c>
    </row>
    <row r="357" spans="13:18" x14ac:dyDescent="0.2">
      <c r="M357" s="20" t="str">
        <f t="shared" si="27"/>
        <v>AREQUIPA AREQUIPA SOCABAYA</v>
      </c>
      <c r="N357" s="20">
        <f t="shared" si="28"/>
        <v>0</v>
      </c>
      <c r="O357" s="16" t="s">
        <v>349</v>
      </c>
      <c r="P357" s="16" t="s">
        <v>349</v>
      </c>
      <c r="Q357" s="16" t="s">
        <v>371</v>
      </c>
      <c r="R357" s="16" t="s">
        <v>2163</v>
      </c>
    </row>
    <row r="358" spans="13:18" x14ac:dyDescent="0.2">
      <c r="M358" s="20" t="str">
        <f t="shared" si="27"/>
        <v>AREQUIPA AREQUIPA TIABAYA</v>
      </c>
      <c r="N358" s="20">
        <f t="shared" si="28"/>
        <v>0</v>
      </c>
      <c r="O358" s="16" t="s">
        <v>349</v>
      </c>
      <c r="P358" s="16" t="s">
        <v>349</v>
      </c>
      <c r="Q358" s="16" t="s">
        <v>372</v>
      </c>
      <c r="R358" s="16" t="s">
        <v>2164</v>
      </c>
    </row>
    <row r="359" spans="13:18" x14ac:dyDescent="0.2">
      <c r="M359" s="20" t="str">
        <f t="shared" si="27"/>
        <v>AREQUIPA AREQUIPA UCHUMAYO</v>
      </c>
      <c r="N359" s="20">
        <f t="shared" si="28"/>
        <v>0</v>
      </c>
      <c r="O359" s="16" t="s">
        <v>349</v>
      </c>
      <c r="P359" s="16" t="s">
        <v>349</v>
      </c>
      <c r="Q359" s="16" t="s">
        <v>373</v>
      </c>
      <c r="R359" s="16" t="s">
        <v>2165</v>
      </c>
    </row>
    <row r="360" spans="13:18" x14ac:dyDescent="0.2">
      <c r="M360" s="20" t="str">
        <f t="shared" si="27"/>
        <v>AREQUIPA AREQUIPA VITOR</v>
      </c>
      <c r="N360" s="20">
        <f t="shared" si="28"/>
        <v>0</v>
      </c>
      <c r="O360" s="16" t="s">
        <v>349</v>
      </c>
      <c r="P360" s="16" t="s">
        <v>349</v>
      </c>
      <c r="Q360" s="16" t="s">
        <v>374</v>
      </c>
      <c r="R360" s="16" t="s">
        <v>2166</v>
      </c>
    </row>
    <row r="361" spans="13:18" x14ac:dyDescent="0.2">
      <c r="M361" s="20" t="str">
        <f t="shared" si="27"/>
        <v>AREQUIPA AREQUIPA YANAHUARA</v>
      </c>
      <c r="N361" s="20">
        <f t="shared" si="28"/>
        <v>0</v>
      </c>
      <c r="O361" s="16" t="s">
        <v>349</v>
      </c>
      <c r="P361" s="16" t="s">
        <v>349</v>
      </c>
      <c r="Q361" s="16" t="s">
        <v>375</v>
      </c>
      <c r="R361" s="16" t="s">
        <v>2167</v>
      </c>
    </row>
    <row r="362" spans="13:18" x14ac:dyDescent="0.2">
      <c r="M362" s="20" t="str">
        <f t="shared" si="27"/>
        <v>AREQUIPA AREQUIPA YARABAMBA</v>
      </c>
      <c r="N362" s="20">
        <f t="shared" si="28"/>
        <v>0</v>
      </c>
      <c r="O362" s="16" t="s">
        <v>349</v>
      </c>
      <c r="P362" s="16" t="s">
        <v>349</v>
      </c>
      <c r="Q362" s="16" t="s">
        <v>376</v>
      </c>
      <c r="R362" s="16" t="s">
        <v>2168</v>
      </c>
    </row>
    <row r="363" spans="13:18" x14ac:dyDescent="0.2">
      <c r="M363" s="20" t="str">
        <f t="shared" si="27"/>
        <v>AREQUIPA AREQUIPA YURA</v>
      </c>
      <c r="N363" s="20">
        <f t="shared" si="28"/>
        <v>0</v>
      </c>
      <c r="O363" s="16" t="s">
        <v>349</v>
      </c>
      <c r="P363" s="16" t="s">
        <v>349</v>
      </c>
      <c r="Q363" s="16" t="s">
        <v>377</v>
      </c>
      <c r="R363" s="16" t="s">
        <v>2169</v>
      </c>
    </row>
    <row r="364" spans="13:18" x14ac:dyDescent="0.2">
      <c r="M364" s="20" t="str">
        <f t="shared" si="27"/>
        <v>AREQUIPA CAMANA CAMANA</v>
      </c>
      <c r="N364" s="20">
        <f t="shared" si="28"/>
        <v>0</v>
      </c>
      <c r="O364" s="16" t="s">
        <v>349</v>
      </c>
      <c r="P364" s="16" t="s">
        <v>378</v>
      </c>
      <c r="Q364" s="16" t="s">
        <v>378</v>
      </c>
      <c r="R364" s="16" t="s">
        <v>2170</v>
      </c>
    </row>
    <row r="365" spans="13:18" x14ac:dyDescent="0.2">
      <c r="M365" s="20" t="str">
        <f t="shared" si="27"/>
        <v>AREQUIPA CAMANA JOSE MARIA QUIMPER</v>
      </c>
      <c r="N365" s="20">
        <f t="shared" si="28"/>
        <v>0</v>
      </c>
      <c r="O365" s="16" t="s">
        <v>349</v>
      </c>
      <c r="P365" s="16" t="s">
        <v>378</v>
      </c>
      <c r="Q365" s="16" t="s">
        <v>379</v>
      </c>
      <c r="R365" s="16" t="s">
        <v>2171</v>
      </c>
    </row>
    <row r="366" spans="13:18" x14ac:dyDescent="0.2">
      <c r="M366" s="20" t="str">
        <f t="shared" si="27"/>
        <v>AREQUIPA CAMANA MARIANO NICOLAS VALCARCEL</v>
      </c>
      <c r="N366" s="20">
        <f t="shared" si="28"/>
        <v>0</v>
      </c>
      <c r="O366" s="16" t="s">
        <v>349</v>
      </c>
      <c r="P366" s="16" t="s">
        <v>378</v>
      </c>
      <c r="Q366" s="16" t="s">
        <v>380</v>
      </c>
      <c r="R366" s="16" t="s">
        <v>2172</v>
      </c>
    </row>
    <row r="367" spans="13:18" x14ac:dyDescent="0.2">
      <c r="M367" s="20" t="str">
        <f t="shared" si="27"/>
        <v>AREQUIPA CAMANA MARISCAL CACERES</v>
      </c>
      <c r="N367" s="20">
        <f t="shared" si="28"/>
        <v>0</v>
      </c>
      <c r="O367" s="16" t="s">
        <v>349</v>
      </c>
      <c r="P367" s="16" t="s">
        <v>378</v>
      </c>
      <c r="Q367" s="16" t="s">
        <v>381</v>
      </c>
      <c r="R367" s="16" t="s">
        <v>2173</v>
      </c>
    </row>
    <row r="368" spans="13:18" x14ac:dyDescent="0.2">
      <c r="M368" s="20" t="str">
        <f t="shared" si="27"/>
        <v>AREQUIPA CAMANA NICOLAS DE PIEROLA</v>
      </c>
      <c r="N368" s="20">
        <f t="shared" si="28"/>
        <v>0</v>
      </c>
      <c r="O368" s="16" t="s">
        <v>349</v>
      </c>
      <c r="P368" s="16" t="s">
        <v>378</v>
      </c>
      <c r="Q368" s="16" t="s">
        <v>382</v>
      </c>
      <c r="R368" s="16" t="s">
        <v>2174</v>
      </c>
    </row>
    <row r="369" spans="13:18" x14ac:dyDescent="0.2">
      <c r="M369" s="20" t="str">
        <f t="shared" si="27"/>
        <v>AREQUIPA CAMANA OCOÑA</v>
      </c>
      <c r="N369" s="20">
        <f t="shared" si="28"/>
        <v>0</v>
      </c>
      <c r="O369" s="16" t="s">
        <v>349</v>
      </c>
      <c r="P369" s="16" t="s">
        <v>378</v>
      </c>
      <c r="Q369" s="16" t="s">
        <v>383</v>
      </c>
      <c r="R369" s="16" t="s">
        <v>2175</v>
      </c>
    </row>
    <row r="370" spans="13:18" x14ac:dyDescent="0.2">
      <c r="M370" s="20" t="str">
        <f t="shared" si="27"/>
        <v>AREQUIPA CAMANA QUILCA</v>
      </c>
      <c r="N370" s="20">
        <f t="shared" si="28"/>
        <v>0</v>
      </c>
      <c r="O370" s="16" t="s">
        <v>349</v>
      </c>
      <c r="P370" s="16" t="s">
        <v>378</v>
      </c>
      <c r="Q370" s="16" t="s">
        <v>384</v>
      </c>
      <c r="R370" s="16" t="s">
        <v>2176</v>
      </c>
    </row>
    <row r="371" spans="13:18" x14ac:dyDescent="0.2">
      <c r="M371" s="20" t="str">
        <f t="shared" si="27"/>
        <v>AREQUIPA CAMANA SAMUEL PASTOR</v>
      </c>
      <c r="N371" s="20">
        <f t="shared" si="28"/>
        <v>0</v>
      </c>
      <c r="O371" s="16" t="s">
        <v>349</v>
      </c>
      <c r="P371" s="16" t="s">
        <v>378</v>
      </c>
      <c r="Q371" s="16" t="s">
        <v>385</v>
      </c>
      <c r="R371" s="16" t="s">
        <v>2177</v>
      </c>
    </row>
    <row r="372" spans="13:18" x14ac:dyDescent="0.2">
      <c r="M372" s="20" t="str">
        <f t="shared" si="27"/>
        <v>AREQUIPA CARAVELI ACARI</v>
      </c>
      <c r="N372" s="20">
        <f t="shared" si="28"/>
        <v>0</v>
      </c>
      <c r="O372" s="16" t="s">
        <v>349</v>
      </c>
      <c r="P372" s="16" t="s">
        <v>386</v>
      </c>
      <c r="Q372" s="16" t="s">
        <v>387</v>
      </c>
      <c r="R372" s="16" t="s">
        <v>2178</v>
      </c>
    </row>
    <row r="373" spans="13:18" x14ac:dyDescent="0.2">
      <c r="M373" s="20" t="str">
        <f t="shared" si="27"/>
        <v>AREQUIPA CARAVELI ATICO</v>
      </c>
      <c r="N373" s="20">
        <f t="shared" si="28"/>
        <v>0</v>
      </c>
      <c r="O373" s="16" t="s">
        <v>349</v>
      </c>
      <c r="P373" s="16" t="s">
        <v>386</v>
      </c>
      <c r="Q373" s="16" t="s">
        <v>388</v>
      </c>
      <c r="R373" s="16" t="s">
        <v>2179</v>
      </c>
    </row>
    <row r="374" spans="13:18" x14ac:dyDescent="0.2">
      <c r="M374" s="20" t="str">
        <f t="shared" si="27"/>
        <v>AREQUIPA CARAVELI ATIQUIPA</v>
      </c>
      <c r="N374" s="20">
        <f t="shared" si="28"/>
        <v>0</v>
      </c>
      <c r="O374" s="16" t="s">
        <v>349</v>
      </c>
      <c r="P374" s="16" t="s">
        <v>386</v>
      </c>
      <c r="Q374" s="16" t="s">
        <v>389</v>
      </c>
      <c r="R374" s="16" t="s">
        <v>2180</v>
      </c>
    </row>
    <row r="375" spans="13:18" x14ac:dyDescent="0.2">
      <c r="M375" s="20" t="str">
        <f t="shared" si="27"/>
        <v>AREQUIPA CARAVELI BELLA UNION</v>
      </c>
      <c r="N375" s="20">
        <f t="shared" si="28"/>
        <v>0</v>
      </c>
      <c r="O375" s="16" t="s">
        <v>349</v>
      </c>
      <c r="P375" s="16" t="s">
        <v>386</v>
      </c>
      <c r="Q375" s="16" t="s">
        <v>390</v>
      </c>
      <c r="R375" s="16" t="s">
        <v>2181</v>
      </c>
    </row>
    <row r="376" spans="13:18" x14ac:dyDescent="0.2">
      <c r="M376" s="20" t="str">
        <f t="shared" si="27"/>
        <v>AREQUIPA CARAVELI CAHUACHO</v>
      </c>
      <c r="N376" s="20">
        <f t="shared" si="28"/>
        <v>0</v>
      </c>
      <c r="O376" s="16" t="s">
        <v>349</v>
      </c>
      <c r="P376" s="16" t="s">
        <v>386</v>
      </c>
      <c r="Q376" s="16" t="s">
        <v>391</v>
      </c>
      <c r="R376" s="16" t="s">
        <v>2182</v>
      </c>
    </row>
    <row r="377" spans="13:18" x14ac:dyDescent="0.2">
      <c r="M377" s="20" t="str">
        <f t="shared" si="27"/>
        <v>AREQUIPA CARAVELI CARAVELI</v>
      </c>
      <c r="N377" s="20">
        <f t="shared" si="28"/>
        <v>0</v>
      </c>
      <c r="O377" s="16" t="s">
        <v>349</v>
      </c>
      <c r="P377" s="16" t="s">
        <v>386</v>
      </c>
      <c r="Q377" s="16" t="s">
        <v>386</v>
      </c>
      <c r="R377" s="16" t="s">
        <v>2183</v>
      </c>
    </row>
    <row r="378" spans="13:18" x14ac:dyDescent="0.2">
      <c r="M378" s="20" t="str">
        <f t="shared" si="27"/>
        <v>AREQUIPA CARAVELI CHALA</v>
      </c>
      <c r="N378" s="20">
        <f t="shared" si="28"/>
        <v>0</v>
      </c>
      <c r="O378" s="16" t="s">
        <v>349</v>
      </c>
      <c r="P378" s="16" t="s">
        <v>386</v>
      </c>
      <c r="Q378" s="16" t="s">
        <v>392</v>
      </c>
      <c r="R378" s="16" t="s">
        <v>2184</v>
      </c>
    </row>
    <row r="379" spans="13:18" x14ac:dyDescent="0.2">
      <c r="M379" s="20" t="str">
        <f t="shared" si="27"/>
        <v>AREQUIPA CARAVELI CHAPARRA</v>
      </c>
      <c r="N379" s="20">
        <f t="shared" si="28"/>
        <v>0</v>
      </c>
      <c r="O379" s="16" t="s">
        <v>349</v>
      </c>
      <c r="P379" s="16" t="s">
        <v>386</v>
      </c>
      <c r="Q379" s="16" t="s">
        <v>393</v>
      </c>
      <c r="R379" s="16" t="s">
        <v>2185</v>
      </c>
    </row>
    <row r="380" spans="13:18" x14ac:dyDescent="0.2">
      <c r="M380" s="20" t="str">
        <f t="shared" si="27"/>
        <v>AREQUIPA CARAVELI HUANUHUANU</v>
      </c>
      <c r="N380" s="20">
        <f t="shared" si="28"/>
        <v>0</v>
      </c>
      <c r="O380" s="16" t="s">
        <v>349</v>
      </c>
      <c r="P380" s="16" t="s">
        <v>386</v>
      </c>
      <c r="Q380" s="16" t="s">
        <v>394</v>
      </c>
      <c r="R380" s="16" t="s">
        <v>2186</v>
      </c>
    </row>
    <row r="381" spans="13:18" x14ac:dyDescent="0.2">
      <c r="M381" s="20" t="str">
        <f t="shared" si="27"/>
        <v>AREQUIPA CARAVELI JAQUI</v>
      </c>
      <c r="N381" s="20">
        <f t="shared" si="28"/>
        <v>0</v>
      </c>
      <c r="O381" s="16" t="s">
        <v>349</v>
      </c>
      <c r="P381" s="16" t="s">
        <v>386</v>
      </c>
      <c r="Q381" s="16" t="s">
        <v>395</v>
      </c>
      <c r="R381" s="16" t="s">
        <v>2187</v>
      </c>
    </row>
    <row r="382" spans="13:18" x14ac:dyDescent="0.2">
      <c r="M382" s="20" t="str">
        <f t="shared" si="27"/>
        <v>AREQUIPA CARAVELI LOMAS</v>
      </c>
      <c r="N382" s="20">
        <f t="shared" si="28"/>
        <v>0</v>
      </c>
      <c r="O382" s="16" t="s">
        <v>349</v>
      </c>
      <c r="P382" s="16" t="s">
        <v>386</v>
      </c>
      <c r="Q382" s="16" t="s">
        <v>396</v>
      </c>
      <c r="R382" s="16" t="s">
        <v>2188</v>
      </c>
    </row>
    <row r="383" spans="13:18" x14ac:dyDescent="0.2">
      <c r="M383" s="20" t="str">
        <f t="shared" si="27"/>
        <v>AREQUIPA CARAVELI QUICACHA</v>
      </c>
      <c r="N383" s="20">
        <f t="shared" si="28"/>
        <v>0</v>
      </c>
      <c r="O383" s="16" t="s">
        <v>349</v>
      </c>
      <c r="P383" s="16" t="s">
        <v>386</v>
      </c>
      <c r="Q383" s="16" t="s">
        <v>397</v>
      </c>
      <c r="R383" s="16" t="s">
        <v>2189</v>
      </c>
    </row>
    <row r="384" spans="13:18" x14ac:dyDescent="0.2">
      <c r="M384" s="20" t="str">
        <f t="shared" si="27"/>
        <v>AREQUIPA CARAVELI YAUCA</v>
      </c>
      <c r="N384" s="20">
        <f t="shared" si="28"/>
        <v>0</v>
      </c>
      <c r="O384" s="16" t="s">
        <v>349</v>
      </c>
      <c r="P384" s="16" t="s">
        <v>386</v>
      </c>
      <c r="Q384" s="16" t="s">
        <v>398</v>
      </c>
      <c r="R384" s="16" t="s">
        <v>2190</v>
      </c>
    </row>
    <row r="385" spans="13:18" x14ac:dyDescent="0.2">
      <c r="M385" s="20" t="str">
        <f t="shared" si="27"/>
        <v>AREQUIPA CASTILLA ANDAGUA</v>
      </c>
      <c r="N385" s="20">
        <f t="shared" si="28"/>
        <v>0</v>
      </c>
      <c r="O385" s="16" t="s">
        <v>349</v>
      </c>
      <c r="P385" s="16" t="s">
        <v>399</v>
      </c>
      <c r="Q385" s="16" t="s">
        <v>400</v>
      </c>
      <c r="R385" s="16" t="s">
        <v>2191</v>
      </c>
    </row>
    <row r="386" spans="13:18" x14ac:dyDescent="0.2">
      <c r="M386" s="20" t="str">
        <f t="shared" si="27"/>
        <v>AREQUIPA CASTILLA APLAO</v>
      </c>
      <c r="N386" s="20">
        <f t="shared" si="28"/>
        <v>0</v>
      </c>
      <c r="O386" s="16" t="s">
        <v>349</v>
      </c>
      <c r="P386" s="16" t="s">
        <v>399</v>
      </c>
      <c r="Q386" s="16" t="s">
        <v>401</v>
      </c>
      <c r="R386" s="16" t="s">
        <v>2192</v>
      </c>
    </row>
    <row r="387" spans="13:18" x14ac:dyDescent="0.2">
      <c r="M387" s="20" t="str">
        <f t="shared" ref="M387:M450" si="29">O387&amp;" "&amp;P387&amp;" "&amp;Q387</f>
        <v>AREQUIPA CASTILLA AYO</v>
      </c>
      <c r="N387" s="20">
        <f t="shared" ref="N387:N450" si="30">IF(AND($D$9=O387,$D$10=P387),N386+1,0)</f>
        <v>0</v>
      </c>
      <c r="O387" s="16" t="s">
        <v>349</v>
      </c>
      <c r="P387" s="16" t="s">
        <v>399</v>
      </c>
      <c r="Q387" s="16" t="s">
        <v>402</v>
      </c>
      <c r="R387" s="16" t="s">
        <v>2193</v>
      </c>
    </row>
    <row r="388" spans="13:18" x14ac:dyDescent="0.2">
      <c r="M388" s="20" t="str">
        <f t="shared" si="29"/>
        <v>AREQUIPA CASTILLA CHACHAS</v>
      </c>
      <c r="N388" s="20">
        <f t="shared" si="30"/>
        <v>0</v>
      </c>
      <c r="O388" s="16" t="s">
        <v>349</v>
      </c>
      <c r="P388" s="16" t="s">
        <v>399</v>
      </c>
      <c r="Q388" s="16" t="s">
        <v>403</v>
      </c>
      <c r="R388" s="16" t="s">
        <v>2194</v>
      </c>
    </row>
    <row r="389" spans="13:18" x14ac:dyDescent="0.2">
      <c r="M389" s="20" t="str">
        <f t="shared" si="29"/>
        <v>AREQUIPA CASTILLA CHILCAYMARCA</v>
      </c>
      <c r="N389" s="20">
        <f t="shared" si="30"/>
        <v>0</v>
      </c>
      <c r="O389" s="16" t="s">
        <v>349</v>
      </c>
      <c r="P389" s="16" t="s">
        <v>399</v>
      </c>
      <c r="Q389" s="16" t="s">
        <v>404</v>
      </c>
      <c r="R389" s="16" t="s">
        <v>2195</v>
      </c>
    </row>
    <row r="390" spans="13:18" x14ac:dyDescent="0.2">
      <c r="M390" s="20" t="str">
        <f t="shared" si="29"/>
        <v>AREQUIPA CASTILLA CHOCO</v>
      </c>
      <c r="N390" s="20">
        <f t="shared" si="30"/>
        <v>0</v>
      </c>
      <c r="O390" s="16" t="s">
        <v>349</v>
      </c>
      <c r="P390" s="16" t="s">
        <v>399</v>
      </c>
      <c r="Q390" s="16" t="s">
        <v>405</v>
      </c>
      <c r="R390" s="16" t="s">
        <v>2196</v>
      </c>
    </row>
    <row r="391" spans="13:18" x14ac:dyDescent="0.2">
      <c r="M391" s="20" t="str">
        <f t="shared" si="29"/>
        <v>AREQUIPA CASTILLA HUANCARQUI</v>
      </c>
      <c r="N391" s="20">
        <f t="shared" si="30"/>
        <v>0</v>
      </c>
      <c r="O391" s="16" t="s">
        <v>349</v>
      </c>
      <c r="P391" s="16" t="s">
        <v>399</v>
      </c>
      <c r="Q391" s="16" t="s">
        <v>406</v>
      </c>
      <c r="R391" s="16" t="s">
        <v>2197</v>
      </c>
    </row>
    <row r="392" spans="13:18" x14ac:dyDescent="0.2">
      <c r="M392" s="20" t="str">
        <f t="shared" si="29"/>
        <v>AREQUIPA CASTILLA MACHAGUAY</v>
      </c>
      <c r="N392" s="20">
        <f t="shared" si="30"/>
        <v>0</v>
      </c>
      <c r="O392" s="16" t="s">
        <v>349</v>
      </c>
      <c r="P392" s="16" t="s">
        <v>399</v>
      </c>
      <c r="Q392" s="16" t="s">
        <v>407</v>
      </c>
      <c r="R392" s="16" t="s">
        <v>2198</v>
      </c>
    </row>
    <row r="393" spans="13:18" x14ac:dyDescent="0.2">
      <c r="M393" s="20" t="str">
        <f t="shared" si="29"/>
        <v>AREQUIPA CASTILLA ORCOPAMPA</v>
      </c>
      <c r="N393" s="20">
        <f t="shared" si="30"/>
        <v>0</v>
      </c>
      <c r="O393" s="16" t="s">
        <v>349</v>
      </c>
      <c r="P393" s="16" t="s">
        <v>399</v>
      </c>
      <c r="Q393" s="16" t="s">
        <v>408</v>
      </c>
      <c r="R393" s="16" t="s">
        <v>2199</v>
      </c>
    </row>
    <row r="394" spans="13:18" x14ac:dyDescent="0.2">
      <c r="M394" s="20" t="str">
        <f t="shared" si="29"/>
        <v>AREQUIPA CASTILLA PAMPACOLCA</v>
      </c>
      <c r="N394" s="20">
        <f t="shared" si="30"/>
        <v>0</v>
      </c>
      <c r="O394" s="16" t="s">
        <v>349</v>
      </c>
      <c r="P394" s="16" t="s">
        <v>399</v>
      </c>
      <c r="Q394" s="16" t="s">
        <v>409</v>
      </c>
      <c r="R394" s="16" t="s">
        <v>2200</v>
      </c>
    </row>
    <row r="395" spans="13:18" x14ac:dyDescent="0.2">
      <c r="M395" s="20" t="str">
        <f t="shared" si="29"/>
        <v>AREQUIPA CASTILLA TIPAN</v>
      </c>
      <c r="N395" s="20">
        <f t="shared" si="30"/>
        <v>0</v>
      </c>
      <c r="O395" s="16" t="s">
        <v>349</v>
      </c>
      <c r="P395" s="16" t="s">
        <v>399</v>
      </c>
      <c r="Q395" s="16" t="s">
        <v>410</v>
      </c>
      <c r="R395" s="16" t="s">
        <v>2201</v>
      </c>
    </row>
    <row r="396" spans="13:18" x14ac:dyDescent="0.2">
      <c r="M396" s="20" t="str">
        <f t="shared" si="29"/>
        <v>AREQUIPA CASTILLA UÑON</v>
      </c>
      <c r="N396" s="20">
        <f t="shared" si="30"/>
        <v>0</v>
      </c>
      <c r="O396" s="16" t="s">
        <v>349</v>
      </c>
      <c r="P396" s="16" t="s">
        <v>399</v>
      </c>
      <c r="Q396" s="16" t="s">
        <v>411</v>
      </c>
      <c r="R396" s="16" t="s">
        <v>2202</v>
      </c>
    </row>
    <row r="397" spans="13:18" x14ac:dyDescent="0.2">
      <c r="M397" s="20" t="str">
        <f t="shared" si="29"/>
        <v>AREQUIPA CASTILLA URACA</v>
      </c>
      <c r="N397" s="20">
        <f t="shared" si="30"/>
        <v>0</v>
      </c>
      <c r="O397" s="16" t="s">
        <v>349</v>
      </c>
      <c r="P397" s="16" t="s">
        <v>399</v>
      </c>
      <c r="Q397" s="16" t="s">
        <v>412</v>
      </c>
      <c r="R397" s="16" t="s">
        <v>2203</v>
      </c>
    </row>
    <row r="398" spans="13:18" x14ac:dyDescent="0.2">
      <c r="M398" s="20" t="str">
        <f t="shared" si="29"/>
        <v>AREQUIPA CASTILLA VIRACO</v>
      </c>
      <c r="N398" s="20">
        <f t="shared" si="30"/>
        <v>0</v>
      </c>
      <c r="O398" s="16" t="s">
        <v>349</v>
      </c>
      <c r="P398" s="16" t="s">
        <v>399</v>
      </c>
      <c r="Q398" s="16" t="s">
        <v>413</v>
      </c>
      <c r="R398" s="16" t="s">
        <v>2204</v>
      </c>
    </row>
    <row r="399" spans="13:18" x14ac:dyDescent="0.2">
      <c r="M399" s="20" t="str">
        <f t="shared" si="29"/>
        <v>AREQUIPA CAYLLOMA ACHOMA</v>
      </c>
      <c r="N399" s="20">
        <f t="shared" si="30"/>
        <v>0</v>
      </c>
      <c r="O399" s="16" t="s">
        <v>349</v>
      </c>
      <c r="P399" s="16" t="s">
        <v>414</v>
      </c>
      <c r="Q399" s="16" t="s">
        <v>415</v>
      </c>
      <c r="R399" s="16" t="s">
        <v>2205</v>
      </c>
    </row>
    <row r="400" spans="13:18" x14ac:dyDescent="0.2">
      <c r="M400" s="20" t="str">
        <f t="shared" si="29"/>
        <v>AREQUIPA CAYLLOMA CABANACONDE</v>
      </c>
      <c r="N400" s="20">
        <f t="shared" si="30"/>
        <v>0</v>
      </c>
      <c r="O400" s="16" t="s">
        <v>349</v>
      </c>
      <c r="P400" s="16" t="s">
        <v>414</v>
      </c>
      <c r="Q400" s="16" t="s">
        <v>416</v>
      </c>
      <c r="R400" s="16" t="s">
        <v>2206</v>
      </c>
    </row>
    <row r="401" spans="13:18" x14ac:dyDescent="0.2">
      <c r="M401" s="20" t="str">
        <f t="shared" si="29"/>
        <v>AREQUIPA CAYLLOMA CALLALLI</v>
      </c>
      <c r="N401" s="20">
        <f t="shared" si="30"/>
        <v>0</v>
      </c>
      <c r="O401" s="16" t="s">
        <v>349</v>
      </c>
      <c r="P401" s="16" t="s">
        <v>414</v>
      </c>
      <c r="Q401" s="16" t="s">
        <v>417</v>
      </c>
      <c r="R401" s="16" t="s">
        <v>2207</v>
      </c>
    </row>
    <row r="402" spans="13:18" x14ac:dyDescent="0.2">
      <c r="M402" s="20" t="str">
        <f t="shared" si="29"/>
        <v>AREQUIPA CAYLLOMA CAYLLOMA</v>
      </c>
      <c r="N402" s="20">
        <f t="shared" si="30"/>
        <v>0</v>
      </c>
      <c r="O402" s="16" t="s">
        <v>349</v>
      </c>
      <c r="P402" s="16" t="s">
        <v>414</v>
      </c>
      <c r="Q402" s="16" t="s">
        <v>414</v>
      </c>
      <c r="R402" s="16" t="s">
        <v>2208</v>
      </c>
    </row>
    <row r="403" spans="13:18" x14ac:dyDescent="0.2">
      <c r="M403" s="20" t="str">
        <f t="shared" si="29"/>
        <v>AREQUIPA CAYLLOMA CHIVAY</v>
      </c>
      <c r="N403" s="20">
        <f t="shared" si="30"/>
        <v>0</v>
      </c>
      <c r="O403" s="16" t="s">
        <v>349</v>
      </c>
      <c r="P403" s="16" t="s">
        <v>414</v>
      </c>
      <c r="Q403" s="16" t="s">
        <v>418</v>
      </c>
      <c r="R403" s="16" t="s">
        <v>2209</v>
      </c>
    </row>
    <row r="404" spans="13:18" x14ac:dyDescent="0.2">
      <c r="M404" s="20" t="str">
        <f t="shared" si="29"/>
        <v>AREQUIPA CAYLLOMA COPORAQUE</v>
      </c>
      <c r="N404" s="20">
        <f t="shared" si="30"/>
        <v>0</v>
      </c>
      <c r="O404" s="16" t="s">
        <v>349</v>
      </c>
      <c r="P404" s="16" t="s">
        <v>414</v>
      </c>
      <c r="Q404" s="16" t="s">
        <v>419</v>
      </c>
      <c r="R404" s="16" t="s">
        <v>2210</v>
      </c>
    </row>
    <row r="405" spans="13:18" x14ac:dyDescent="0.2">
      <c r="M405" s="20" t="str">
        <f t="shared" si="29"/>
        <v>AREQUIPA CAYLLOMA HUAMBO</v>
      </c>
      <c r="N405" s="20">
        <f t="shared" si="30"/>
        <v>0</v>
      </c>
      <c r="O405" s="16" t="s">
        <v>349</v>
      </c>
      <c r="P405" s="16" t="s">
        <v>414</v>
      </c>
      <c r="Q405" s="16" t="s">
        <v>78</v>
      </c>
      <c r="R405" s="16" t="s">
        <v>2211</v>
      </c>
    </row>
    <row r="406" spans="13:18" x14ac:dyDescent="0.2">
      <c r="M406" s="20" t="str">
        <f t="shared" si="29"/>
        <v>AREQUIPA CAYLLOMA HUANCA</v>
      </c>
      <c r="N406" s="20">
        <f t="shared" si="30"/>
        <v>0</v>
      </c>
      <c r="O406" s="16" t="s">
        <v>349</v>
      </c>
      <c r="P406" s="16" t="s">
        <v>414</v>
      </c>
      <c r="Q406" s="16" t="s">
        <v>420</v>
      </c>
      <c r="R406" s="16" t="s">
        <v>2212</v>
      </c>
    </row>
    <row r="407" spans="13:18" x14ac:dyDescent="0.2">
      <c r="M407" s="20" t="str">
        <f t="shared" si="29"/>
        <v>AREQUIPA CAYLLOMA ICHUPAMPA</v>
      </c>
      <c r="N407" s="20">
        <f t="shared" si="30"/>
        <v>0</v>
      </c>
      <c r="O407" s="16" t="s">
        <v>349</v>
      </c>
      <c r="P407" s="16" t="s">
        <v>414</v>
      </c>
      <c r="Q407" s="16" t="s">
        <v>421</v>
      </c>
      <c r="R407" s="16" t="s">
        <v>2213</v>
      </c>
    </row>
    <row r="408" spans="13:18" x14ac:dyDescent="0.2">
      <c r="M408" s="20" t="str">
        <f t="shared" si="29"/>
        <v>AREQUIPA CAYLLOMA LARI</v>
      </c>
      <c r="N408" s="20">
        <f t="shared" si="30"/>
        <v>0</v>
      </c>
      <c r="O408" s="16" t="s">
        <v>349</v>
      </c>
      <c r="P408" s="16" t="s">
        <v>414</v>
      </c>
      <c r="Q408" s="16" t="s">
        <v>422</v>
      </c>
      <c r="R408" s="16" t="s">
        <v>2214</v>
      </c>
    </row>
    <row r="409" spans="13:18" x14ac:dyDescent="0.2">
      <c r="M409" s="20" t="str">
        <f t="shared" si="29"/>
        <v>AREQUIPA CAYLLOMA LLUTA</v>
      </c>
      <c r="N409" s="20">
        <f t="shared" si="30"/>
        <v>0</v>
      </c>
      <c r="O409" s="16" t="s">
        <v>349</v>
      </c>
      <c r="P409" s="16" t="s">
        <v>414</v>
      </c>
      <c r="Q409" s="16" t="s">
        <v>423</v>
      </c>
      <c r="R409" s="16" t="s">
        <v>2215</v>
      </c>
    </row>
    <row r="410" spans="13:18" x14ac:dyDescent="0.2">
      <c r="M410" s="20" t="str">
        <f t="shared" si="29"/>
        <v>AREQUIPA CAYLLOMA MACA</v>
      </c>
      <c r="N410" s="20">
        <f t="shared" si="30"/>
        <v>0</v>
      </c>
      <c r="O410" s="16" t="s">
        <v>349</v>
      </c>
      <c r="P410" s="16" t="s">
        <v>414</v>
      </c>
      <c r="Q410" s="16" t="s">
        <v>424</v>
      </c>
      <c r="R410" s="16" t="s">
        <v>2216</v>
      </c>
    </row>
    <row r="411" spans="13:18" x14ac:dyDescent="0.2">
      <c r="M411" s="20" t="str">
        <f t="shared" si="29"/>
        <v>AREQUIPA CAYLLOMA MADRIGAL</v>
      </c>
      <c r="N411" s="20">
        <f t="shared" si="30"/>
        <v>0</v>
      </c>
      <c r="O411" s="16" t="s">
        <v>349</v>
      </c>
      <c r="P411" s="16" t="s">
        <v>414</v>
      </c>
      <c r="Q411" s="16" t="s">
        <v>425</v>
      </c>
      <c r="R411" s="16" t="s">
        <v>2217</v>
      </c>
    </row>
    <row r="412" spans="13:18" x14ac:dyDescent="0.2">
      <c r="M412" s="20" t="str">
        <f t="shared" si="29"/>
        <v>AREQUIPA CAYLLOMA MAJES</v>
      </c>
      <c r="N412" s="20">
        <f t="shared" si="30"/>
        <v>0</v>
      </c>
      <c r="O412" s="16" t="s">
        <v>349</v>
      </c>
      <c r="P412" s="16" t="s">
        <v>414</v>
      </c>
      <c r="Q412" s="16" t="s">
        <v>426</v>
      </c>
      <c r="R412" s="16" t="s">
        <v>2218</v>
      </c>
    </row>
    <row r="413" spans="13:18" x14ac:dyDescent="0.2">
      <c r="M413" s="20" t="str">
        <f t="shared" si="29"/>
        <v>AREQUIPA CAYLLOMA SAN ANTONIO DE CHUCA</v>
      </c>
      <c r="N413" s="20">
        <f t="shared" si="30"/>
        <v>0</v>
      </c>
      <c r="O413" s="16" t="s">
        <v>349</v>
      </c>
      <c r="P413" s="16" t="s">
        <v>414</v>
      </c>
      <c r="Q413" s="16" t="s">
        <v>427</v>
      </c>
      <c r="R413" s="16" t="s">
        <v>2219</v>
      </c>
    </row>
    <row r="414" spans="13:18" x14ac:dyDescent="0.2">
      <c r="M414" s="20" t="str">
        <f t="shared" si="29"/>
        <v>AREQUIPA CAYLLOMA SIBAYO</v>
      </c>
      <c r="N414" s="20">
        <f t="shared" si="30"/>
        <v>0</v>
      </c>
      <c r="O414" s="16" t="s">
        <v>349</v>
      </c>
      <c r="P414" s="16" t="s">
        <v>414</v>
      </c>
      <c r="Q414" s="16" t="s">
        <v>428</v>
      </c>
      <c r="R414" s="16" t="s">
        <v>2220</v>
      </c>
    </row>
    <row r="415" spans="13:18" x14ac:dyDescent="0.2">
      <c r="M415" s="20" t="str">
        <f t="shared" si="29"/>
        <v>AREQUIPA CAYLLOMA TAPAY</v>
      </c>
      <c r="N415" s="20">
        <f t="shared" si="30"/>
        <v>0</v>
      </c>
      <c r="O415" s="16" t="s">
        <v>349</v>
      </c>
      <c r="P415" s="16" t="s">
        <v>414</v>
      </c>
      <c r="Q415" s="16" t="s">
        <v>429</v>
      </c>
      <c r="R415" s="16" t="s">
        <v>2221</v>
      </c>
    </row>
    <row r="416" spans="13:18" x14ac:dyDescent="0.2">
      <c r="M416" s="20" t="str">
        <f t="shared" si="29"/>
        <v>AREQUIPA CAYLLOMA TISCO</v>
      </c>
      <c r="N416" s="20">
        <f t="shared" si="30"/>
        <v>0</v>
      </c>
      <c r="O416" s="16" t="s">
        <v>349</v>
      </c>
      <c r="P416" s="16" t="s">
        <v>414</v>
      </c>
      <c r="Q416" s="16" t="s">
        <v>430</v>
      </c>
      <c r="R416" s="16" t="s">
        <v>2222</v>
      </c>
    </row>
    <row r="417" spans="13:18" x14ac:dyDescent="0.2">
      <c r="M417" s="20" t="str">
        <f t="shared" si="29"/>
        <v>AREQUIPA CAYLLOMA TUTI</v>
      </c>
      <c r="N417" s="20">
        <f t="shared" si="30"/>
        <v>0</v>
      </c>
      <c r="O417" s="16" t="s">
        <v>349</v>
      </c>
      <c r="P417" s="16" t="s">
        <v>414</v>
      </c>
      <c r="Q417" s="16" t="s">
        <v>431</v>
      </c>
      <c r="R417" s="16" t="s">
        <v>2223</v>
      </c>
    </row>
    <row r="418" spans="13:18" x14ac:dyDescent="0.2">
      <c r="M418" s="20" t="str">
        <f t="shared" si="29"/>
        <v>AREQUIPA CAYLLOMA YANQUE</v>
      </c>
      <c r="N418" s="20">
        <f t="shared" si="30"/>
        <v>0</v>
      </c>
      <c r="O418" s="16" t="s">
        <v>349</v>
      </c>
      <c r="P418" s="16" t="s">
        <v>414</v>
      </c>
      <c r="Q418" s="16" t="s">
        <v>432</v>
      </c>
      <c r="R418" s="16" t="s">
        <v>2224</v>
      </c>
    </row>
    <row r="419" spans="13:18" x14ac:dyDescent="0.2">
      <c r="M419" s="20" t="str">
        <f t="shared" si="29"/>
        <v>AREQUIPA CONDESUYOS ANDARAY</v>
      </c>
      <c r="N419" s="20">
        <f t="shared" si="30"/>
        <v>0</v>
      </c>
      <c r="O419" s="16" t="s">
        <v>349</v>
      </c>
      <c r="P419" s="16" t="s">
        <v>433</v>
      </c>
      <c r="Q419" s="16" t="s">
        <v>434</v>
      </c>
      <c r="R419" s="16" t="s">
        <v>2225</v>
      </c>
    </row>
    <row r="420" spans="13:18" x14ac:dyDescent="0.2">
      <c r="M420" s="20" t="str">
        <f t="shared" si="29"/>
        <v>AREQUIPA CONDESUYOS CAYARANI</v>
      </c>
      <c r="N420" s="20">
        <f t="shared" si="30"/>
        <v>0</v>
      </c>
      <c r="O420" s="16" t="s">
        <v>349</v>
      </c>
      <c r="P420" s="16" t="s">
        <v>433</v>
      </c>
      <c r="Q420" s="16" t="s">
        <v>435</v>
      </c>
      <c r="R420" s="16" t="s">
        <v>2226</v>
      </c>
    </row>
    <row r="421" spans="13:18" x14ac:dyDescent="0.2">
      <c r="M421" s="20" t="str">
        <f t="shared" si="29"/>
        <v>AREQUIPA CONDESUYOS CHICHAS</v>
      </c>
      <c r="N421" s="20">
        <f t="shared" si="30"/>
        <v>0</v>
      </c>
      <c r="O421" s="16" t="s">
        <v>349</v>
      </c>
      <c r="P421" s="16" t="s">
        <v>433</v>
      </c>
      <c r="Q421" s="16" t="s">
        <v>436</v>
      </c>
      <c r="R421" s="16" t="s">
        <v>2227</v>
      </c>
    </row>
    <row r="422" spans="13:18" x14ac:dyDescent="0.2">
      <c r="M422" s="20" t="str">
        <f t="shared" si="29"/>
        <v>AREQUIPA CONDESUYOS CHUQUIBAMBA</v>
      </c>
      <c r="N422" s="20">
        <f t="shared" si="30"/>
        <v>0</v>
      </c>
      <c r="O422" s="16" t="s">
        <v>349</v>
      </c>
      <c r="P422" s="16" t="s">
        <v>433</v>
      </c>
      <c r="Q422" s="16" t="s">
        <v>31</v>
      </c>
      <c r="R422" s="16" t="s">
        <v>2228</v>
      </c>
    </row>
    <row r="423" spans="13:18" x14ac:dyDescent="0.2">
      <c r="M423" s="20" t="str">
        <f t="shared" si="29"/>
        <v>AREQUIPA CONDESUYOS IRAY</v>
      </c>
      <c r="N423" s="20">
        <f t="shared" si="30"/>
        <v>0</v>
      </c>
      <c r="O423" s="16" t="s">
        <v>349</v>
      </c>
      <c r="P423" s="16" t="s">
        <v>433</v>
      </c>
      <c r="Q423" s="16" t="s">
        <v>437</v>
      </c>
      <c r="R423" s="16" t="s">
        <v>2229</v>
      </c>
    </row>
    <row r="424" spans="13:18" x14ac:dyDescent="0.2">
      <c r="M424" s="20" t="str">
        <f t="shared" si="29"/>
        <v>AREQUIPA CONDESUYOS RIO GRANDE</v>
      </c>
      <c r="N424" s="20">
        <f t="shared" si="30"/>
        <v>0</v>
      </c>
      <c r="O424" s="16" t="s">
        <v>349</v>
      </c>
      <c r="P424" s="16" t="s">
        <v>433</v>
      </c>
      <c r="Q424" s="16" t="s">
        <v>438</v>
      </c>
      <c r="R424" s="16" t="s">
        <v>2230</v>
      </c>
    </row>
    <row r="425" spans="13:18" x14ac:dyDescent="0.2">
      <c r="M425" s="20" t="str">
        <f t="shared" si="29"/>
        <v>AREQUIPA CONDESUYOS SALAMANCA</v>
      </c>
      <c r="N425" s="20">
        <f t="shared" si="30"/>
        <v>0</v>
      </c>
      <c r="O425" s="16" t="s">
        <v>349</v>
      </c>
      <c r="P425" s="16" t="s">
        <v>433</v>
      </c>
      <c r="Q425" s="16" t="s">
        <v>439</v>
      </c>
      <c r="R425" s="16" t="s">
        <v>2231</v>
      </c>
    </row>
    <row r="426" spans="13:18" x14ac:dyDescent="0.2">
      <c r="M426" s="20" t="str">
        <f t="shared" si="29"/>
        <v>AREQUIPA CONDESUYOS YANAQUIHUA</v>
      </c>
      <c r="N426" s="20">
        <f t="shared" si="30"/>
        <v>0</v>
      </c>
      <c r="O426" s="16" t="s">
        <v>349</v>
      </c>
      <c r="P426" s="16" t="s">
        <v>433</v>
      </c>
      <c r="Q426" s="16" t="s">
        <v>440</v>
      </c>
      <c r="R426" s="16" t="s">
        <v>2232</v>
      </c>
    </row>
    <row r="427" spans="13:18" x14ac:dyDescent="0.2">
      <c r="M427" s="20" t="str">
        <f t="shared" si="29"/>
        <v>AREQUIPA ISLAY COCACHACRA</v>
      </c>
      <c r="N427" s="20">
        <f t="shared" si="30"/>
        <v>0</v>
      </c>
      <c r="O427" s="16" t="s">
        <v>349</v>
      </c>
      <c r="P427" s="16" t="s">
        <v>441</v>
      </c>
      <c r="Q427" s="16" t="s">
        <v>442</v>
      </c>
      <c r="R427" s="16" t="s">
        <v>2233</v>
      </c>
    </row>
    <row r="428" spans="13:18" x14ac:dyDescent="0.2">
      <c r="M428" s="20" t="str">
        <f t="shared" si="29"/>
        <v>AREQUIPA ISLAY DEAN VALDIVIA</v>
      </c>
      <c r="N428" s="20">
        <f t="shared" si="30"/>
        <v>0</v>
      </c>
      <c r="O428" s="16" t="s">
        <v>349</v>
      </c>
      <c r="P428" s="16" t="s">
        <v>441</v>
      </c>
      <c r="Q428" s="16" t="s">
        <v>443</v>
      </c>
      <c r="R428" s="16" t="s">
        <v>2234</v>
      </c>
    </row>
    <row r="429" spans="13:18" x14ac:dyDescent="0.2">
      <c r="M429" s="20" t="str">
        <f t="shared" si="29"/>
        <v>AREQUIPA ISLAY ISLAY</v>
      </c>
      <c r="N429" s="20">
        <f t="shared" si="30"/>
        <v>0</v>
      </c>
      <c r="O429" s="16" t="s">
        <v>349</v>
      </c>
      <c r="P429" s="16" t="s">
        <v>441</v>
      </c>
      <c r="Q429" s="16" t="s">
        <v>441</v>
      </c>
      <c r="R429" s="16" t="s">
        <v>2235</v>
      </c>
    </row>
    <row r="430" spans="13:18" x14ac:dyDescent="0.2">
      <c r="M430" s="20" t="str">
        <f t="shared" si="29"/>
        <v>AREQUIPA ISLAY MEJIA</v>
      </c>
      <c r="N430" s="20">
        <f t="shared" si="30"/>
        <v>0</v>
      </c>
      <c r="O430" s="16" t="s">
        <v>349</v>
      </c>
      <c r="P430" s="16" t="s">
        <v>441</v>
      </c>
      <c r="Q430" s="16" t="s">
        <v>444</v>
      </c>
      <c r="R430" s="16" t="s">
        <v>2236</v>
      </c>
    </row>
    <row r="431" spans="13:18" x14ac:dyDescent="0.2">
      <c r="M431" s="20" t="str">
        <f t="shared" si="29"/>
        <v>AREQUIPA ISLAY MOLLENDO</v>
      </c>
      <c r="N431" s="20">
        <f t="shared" si="30"/>
        <v>0</v>
      </c>
      <c r="O431" s="16" t="s">
        <v>349</v>
      </c>
      <c r="P431" s="16" t="s">
        <v>441</v>
      </c>
      <c r="Q431" s="16" t="s">
        <v>445</v>
      </c>
      <c r="R431" s="16" t="s">
        <v>2237</v>
      </c>
    </row>
    <row r="432" spans="13:18" x14ac:dyDescent="0.2">
      <c r="M432" s="20" t="str">
        <f t="shared" si="29"/>
        <v>AREQUIPA ISLAY PUNTA DE BOMBON</v>
      </c>
      <c r="N432" s="20">
        <f t="shared" si="30"/>
        <v>0</v>
      </c>
      <c r="O432" s="16" t="s">
        <v>349</v>
      </c>
      <c r="P432" s="16" t="s">
        <v>441</v>
      </c>
      <c r="Q432" s="16" t="s">
        <v>446</v>
      </c>
      <c r="R432" s="16" t="s">
        <v>2238</v>
      </c>
    </row>
    <row r="433" spans="13:18" x14ac:dyDescent="0.2">
      <c r="M433" s="20" t="str">
        <f t="shared" si="29"/>
        <v>AREQUIPA LA UNION ALCA</v>
      </c>
      <c r="N433" s="20">
        <f t="shared" si="30"/>
        <v>0</v>
      </c>
      <c r="O433" s="16" t="s">
        <v>349</v>
      </c>
      <c r="P433" s="16" t="s">
        <v>447</v>
      </c>
      <c r="Q433" s="16" t="s">
        <v>448</v>
      </c>
      <c r="R433" s="16" t="s">
        <v>2239</v>
      </c>
    </row>
    <row r="434" spans="13:18" x14ac:dyDescent="0.2">
      <c r="M434" s="20" t="str">
        <f t="shared" si="29"/>
        <v>AREQUIPA LA UNION CHARCANA</v>
      </c>
      <c r="N434" s="20">
        <f t="shared" si="30"/>
        <v>0</v>
      </c>
      <c r="O434" s="16" t="s">
        <v>349</v>
      </c>
      <c r="P434" s="16" t="s">
        <v>447</v>
      </c>
      <c r="Q434" s="16" t="s">
        <v>449</v>
      </c>
      <c r="R434" s="16" t="s">
        <v>2240</v>
      </c>
    </row>
    <row r="435" spans="13:18" x14ac:dyDescent="0.2">
      <c r="M435" s="20" t="str">
        <f t="shared" si="29"/>
        <v>AREQUIPA LA UNION COTAHUASI</v>
      </c>
      <c r="N435" s="20">
        <f t="shared" si="30"/>
        <v>0</v>
      </c>
      <c r="O435" s="16" t="s">
        <v>349</v>
      </c>
      <c r="P435" s="16" t="s">
        <v>447</v>
      </c>
      <c r="Q435" s="16" t="s">
        <v>450</v>
      </c>
      <c r="R435" s="16" t="s">
        <v>2241</v>
      </c>
    </row>
    <row r="436" spans="13:18" x14ac:dyDescent="0.2">
      <c r="M436" s="20" t="str">
        <f t="shared" si="29"/>
        <v>AREQUIPA LA UNION HUAYNACOTAS</v>
      </c>
      <c r="N436" s="20">
        <f t="shared" si="30"/>
        <v>0</v>
      </c>
      <c r="O436" s="16" t="s">
        <v>349</v>
      </c>
      <c r="P436" s="16" t="s">
        <v>447</v>
      </c>
      <c r="Q436" s="16" t="s">
        <v>451</v>
      </c>
      <c r="R436" s="16" t="s">
        <v>2242</v>
      </c>
    </row>
    <row r="437" spans="13:18" x14ac:dyDescent="0.2">
      <c r="M437" s="20" t="str">
        <f t="shared" si="29"/>
        <v>AREQUIPA LA UNION PAMPAMARCA</v>
      </c>
      <c r="N437" s="20">
        <f t="shared" si="30"/>
        <v>0</v>
      </c>
      <c r="O437" s="16" t="s">
        <v>349</v>
      </c>
      <c r="P437" s="16" t="s">
        <v>447</v>
      </c>
      <c r="Q437" s="16" t="s">
        <v>452</v>
      </c>
      <c r="R437" s="16" t="s">
        <v>2243</v>
      </c>
    </row>
    <row r="438" spans="13:18" x14ac:dyDescent="0.2">
      <c r="M438" s="20" t="str">
        <f t="shared" si="29"/>
        <v>AREQUIPA LA UNION PUYCA</v>
      </c>
      <c r="N438" s="20">
        <f t="shared" si="30"/>
        <v>0</v>
      </c>
      <c r="O438" s="16" t="s">
        <v>349</v>
      </c>
      <c r="P438" s="16" t="s">
        <v>447</v>
      </c>
      <c r="Q438" s="16" t="s">
        <v>453</v>
      </c>
      <c r="R438" s="16" t="s">
        <v>2244</v>
      </c>
    </row>
    <row r="439" spans="13:18" x14ac:dyDescent="0.2">
      <c r="M439" s="20" t="str">
        <f t="shared" si="29"/>
        <v>AREQUIPA LA UNION QUECHUALLA</v>
      </c>
      <c r="N439" s="20">
        <f t="shared" si="30"/>
        <v>0</v>
      </c>
      <c r="O439" s="16" t="s">
        <v>349</v>
      </c>
      <c r="P439" s="16" t="s">
        <v>447</v>
      </c>
      <c r="Q439" s="16" t="s">
        <v>454</v>
      </c>
      <c r="R439" s="16" t="s">
        <v>2245</v>
      </c>
    </row>
    <row r="440" spans="13:18" x14ac:dyDescent="0.2">
      <c r="M440" s="20" t="str">
        <f t="shared" si="29"/>
        <v>AREQUIPA LA UNION SAYLA</v>
      </c>
      <c r="N440" s="20">
        <f t="shared" si="30"/>
        <v>0</v>
      </c>
      <c r="O440" s="16" t="s">
        <v>349</v>
      </c>
      <c r="P440" s="16" t="s">
        <v>447</v>
      </c>
      <c r="Q440" s="16" t="s">
        <v>455</v>
      </c>
      <c r="R440" s="16" t="s">
        <v>2246</v>
      </c>
    </row>
    <row r="441" spans="13:18" x14ac:dyDescent="0.2">
      <c r="M441" s="20" t="str">
        <f t="shared" si="29"/>
        <v>AREQUIPA LA UNION TAURIA</v>
      </c>
      <c r="N441" s="20">
        <f t="shared" si="30"/>
        <v>0</v>
      </c>
      <c r="O441" s="16" t="s">
        <v>349</v>
      </c>
      <c r="P441" s="16" t="s">
        <v>447</v>
      </c>
      <c r="Q441" s="16" t="s">
        <v>456</v>
      </c>
      <c r="R441" s="16" t="s">
        <v>2247</v>
      </c>
    </row>
    <row r="442" spans="13:18" x14ac:dyDescent="0.2">
      <c r="M442" s="20" t="str">
        <f t="shared" si="29"/>
        <v>AREQUIPA LA UNION TOMEPAMPA</v>
      </c>
      <c r="N442" s="20">
        <f t="shared" si="30"/>
        <v>0</v>
      </c>
      <c r="O442" s="16" t="s">
        <v>349</v>
      </c>
      <c r="P442" s="16" t="s">
        <v>447</v>
      </c>
      <c r="Q442" s="16" t="s">
        <v>457</v>
      </c>
      <c r="R442" s="16" t="s">
        <v>2248</v>
      </c>
    </row>
    <row r="443" spans="13:18" x14ac:dyDescent="0.2">
      <c r="M443" s="20" t="str">
        <f t="shared" si="29"/>
        <v>AREQUIPA LA UNION TORO</v>
      </c>
      <c r="N443" s="20">
        <f t="shared" si="30"/>
        <v>0</v>
      </c>
      <c r="O443" s="16" t="s">
        <v>349</v>
      </c>
      <c r="P443" s="16" t="s">
        <v>447</v>
      </c>
      <c r="Q443" s="16" t="s">
        <v>458</v>
      </c>
      <c r="R443" s="16" t="s">
        <v>2249</v>
      </c>
    </row>
    <row r="444" spans="13:18" x14ac:dyDescent="0.2">
      <c r="M444" s="20" t="str">
        <f t="shared" si="29"/>
        <v>AYACUCHO CANGALLO CANGALLO</v>
      </c>
      <c r="N444" s="20">
        <f t="shared" si="30"/>
        <v>0</v>
      </c>
      <c r="O444" s="16" t="s">
        <v>459</v>
      </c>
      <c r="P444" s="16" t="s">
        <v>460</v>
      </c>
      <c r="Q444" s="16" t="s">
        <v>460</v>
      </c>
      <c r="R444" s="16" t="s">
        <v>2250</v>
      </c>
    </row>
    <row r="445" spans="13:18" x14ac:dyDescent="0.2">
      <c r="M445" s="20" t="str">
        <f t="shared" si="29"/>
        <v>AYACUCHO CANGALLO CHUSCHI</v>
      </c>
      <c r="N445" s="20">
        <f t="shared" si="30"/>
        <v>0</v>
      </c>
      <c r="O445" s="16" t="s">
        <v>459</v>
      </c>
      <c r="P445" s="16" t="s">
        <v>460</v>
      </c>
      <c r="Q445" s="16" t="s">
        <v>461</v>
      </c>
      <c r="R445" s="16" t="s">
        <v>2251</v>
      </c>
    </row>
    <row r="446" spans="13:18" x14ac:dyDescent="0.2">
      <c r="M446" s="20" t="str">
        <f t="shared" si="29"/>
        <v>AYACUCHO CANGALLO LOS MOROCHUCOS</v>
      </c>
      <c r="N446" s="20">
        <f t="shared" si="30"/>
        <v>0</v>
      </c>
      <c r="O446" s="16" t="s">
        <v>459</v>
      </c>
      <c r="P446" s="16" t="s">
        <v>460</v>
      </c>
      <c r="Q446" s="16" t="s">
        <v>462</v>
      </c>
      <c r="R446" s="16" t="s">
        <v>2252</v>
      </c>
    </row>
    <row r="447" spans="13:18" x14ac:dyDescent="0.2">
      <c r="M447" s="20" t="str">
        <f t="shared" si="29"/>
        <v>AYACUCHO CANGALLO MARIA PARADO DE BELLIDO</v>
      </c>
      <c r="N447" s="20">
        <f t="shared" si="30"/>
        <v>0</v>
      </c>
      <c r="O447" s="16" t="s">
        <v>459</v>
      </c>
      <c r="P447" s="16" t="s">
        <v>460</v>
      </c>
      <c r="Q447" s="16" t="s">
        <v>463</v>
      </c>
      <c r="R447" s="16" t="s">
        <v>2253</v>
      </c>
    </row>
    <row r="448" spans="13:18" x14ac:dyDescent="0.2">
      <c r="M448" s="20" t="str">
        <f t="shared" si="29"/>
        <v>AYACUCHO CANGALLO PARAS</v>
      </c>
      <c r="N448" s="20">
        <f t="shared" si="30"/>
        <v>0</v>
      </c>
      <c r="O448" s="16" t="s">
        <v>459</v>
      </c>
      <c r="P448" s="16" t="s">
        <v>460</v>
      </c>
      <c r="Q448" s="16" t="s">
        <v>464</v>
      </c>
      <c r="R448" s="16" t="s">
        <v>2254</v>
      </c>
    </row>
    <row r="449" spans="13:18" x14ac:dyDescent="0.2">
      <c r="M449" s="20" t="str">
        <f t="shared" si="29"/>
        <v>AYACUCHO CANGALLO TOTOS</v>
      </c>
      <c r="N449" s="20">
        <f t="shared" si="30"/>
        <v>0</v>
      </c>
      <c r="O449" s="16" t="s">
        <v>459</v>
      </c>
      <c r="P449" s="16" t="s">
        <v>460</v>
      </c>
      <c r="Q449" s="16" t="s">
        <v>465</v>
      </c>
      <c r="R449" s="16" t="s">
        <v>2255</v>
      </c>
    </row>
    <row r="450" spans="13:18" x14ac:dyDescent="0.2">
      <c r="M450" s="20" t="str">
        <f t="shared" si="29"/>
        <v>AYACUCHO HUAMANGA ACOCRO</v>
      </c>
      <c r="N450" s="20">
        <f t="shared" si="30"/>
        <v>0</v>
      </c>
      <c r="O450" s="16" t="s">
        <v>459</v>
      </c>
      <c r="P450" s="16" t="s">
        <v>466</v>
      </c>
      <c r="Q450" s="16" t="s">
        <v>467</v>
      </c>
      <c r="R450" s="16" t="s">
        <v>2256</v>
      </c>
    </row>
    <row r="451" spans="13:18" x14ac:dyDescent="0.2">
      <c r="M451" s="20" t="str">
        <f t="shared" ref="M451:M514" si="31">O451&amp;" "&amp;P451&amp;" "&amp;Q451</f>
        <v>AYACUCHO HUAMANGA ACOS VINCHOS</v>
      </c>
      <c r="N451" s="20">
        <f t="shared" ref="N451:N514" si="32">IF(AND($D$9=O451,$D$10=P451),N450+1,0)</f>
        <v>0</v>
      </c>
      <c r="O451" s="16" t="s">
        <v>459</v>
      </c>
      <c r="P451" s="16" t="s">
        <v>466</v>
      </c>
      <c r="Q451" s="16" t="s">
        <v>468</v>
      </c>
      <c r="R451" s="16" t="s">
        <v>2257</v>
      </c>
    </row>
    <row r="452" spans="13:18" x14ac:dyDescent="0.2">
      <c r="M452" s="20" t="str">
        <f t="shared" si="31"/>
        <v>AYACUCHO HUAMANGA ANDRÉS AVELINO CÁCERES DORREGARAY</v>
      </c>
      <c r="N452" s="20">
        <f t="shared" si="32"/>
        <v>0</v>
      </c>
      <c r="O452" s="16" t="s">
        <v>459</v>
      </c>
      <c r="P452" s="16" t="s">
        <v>466</v>
      </c>
      <c r="Q452" s="16" t="s">
        <v>469</v>
      </c>
      <c r="R452" s="16" t="s">
        <v>2258</v>
      </c>
    </row>
    <row r="453" spans="13:18" x14ac:dyDescent="0.2">
      <c r="M453" s="20" t="str">
        <f t="shared" si="31"/>
        <v>AYACUCHO HUAMANGA AYACUCHO</v>
      </c>
      <c r="N453" s="20">
        <f t="shared" si="32"/>
        <v>0</v>
      </c>
      <c r="O453" s="16" t="s">
        <v>459</v>
      </c>
      <c r="P453" s="16" t="s">
        <v>466</v>
      </c>
      <c r="Q453" s="16" t="s">
        <v>459</v>
      </c>
      <c r="R453" s="16" t="s">
        <v>2259</v>
      </c>
    </row>
    <row r="454" spans="13:18" x14ac:dyDescent="0.2">
      <c r="M454" s="20" t="str">
        <f t="shared" si="31"/>
        <v>AYACUCHO HUAMANGA CARMEN ALTO</v>
      </c>
      <c r="N454" s="20">
        <f t="shared" si="32"/>
        <v>0</v>
      </c>
      <c r="O454" s="16" t="s">
        <v>459</v>
      </c>
      <c r="P454" s="16" t="s">
        <v>466</v>
      </c>
      <c r="Q454" s="16" t="s">
        <v>470</v>
      </c>
      <c r="R454" s="16" t="s">
        <v>2260</v>
      </c>
    </row>
    <row r="455" spans="13:18" x14ac:dyDescent="0.2">
      <c r="M455" s="20" t="str">
        <f t="shared" si="31"/>
        <v>AYACUCHO HUAMANGA CHIARA</v>
      </c>
      <c r="N455" s="20">
        <f t="shared" si="32"/>
        <v>0</v>
      </c>
      <c r="O455" s="16" t="s">
        <v>459</v>
      </c>
      <c r="P455" s="16" t="s">
        <v>466</v>
      </c>
      <c r="Q455" s="16" t="s">
        <v>278</v>
      </c>
      <c r="R455" s="16" t="s">
        <v>2261</v>
      </c>
    </row>
    <row r="456" spans="13:18" x14ac:dyDescent="0.2">
      <c r="M456" s="20" t="str">
        <f t="shared" si="31"/>
        <v>AYACUCHO HUAMANGA JESUS NAZARENO</v>
      </c>
      <c r="N456" s="20">
        <f t="shared" si="32"/>
        <v>0</v>
      </c>
      <c r="O456" s="16" t="s">
        <v>459</v>
      </c>
      <c r="P456" s="16" t="s">
        <v>466</v>
      </c>
      <c r="Q456" s="16" t="s">
        <v>471</v>
      </c>
      <c r="R456" s="16" t="s">
        <v>2262</v>
      </c>
    </row>
    <row r="457" spans="13:18" x14ac:dyDescent="0.2">
      <c r="M457" s="20" t="str">
        <f t="shared" si="31"/>
        <v>AYACUCHO HUAMANGA OCROS</v>
      </c>
      <c r="N457" s="20">
        <f t="shared" si="32"/>
        <v>0</v>
      </c>
      <c r="O457" s="16" t="s">
        <v>459</v>
      </c>
      <c r="P457" s="16" t="s">
        <v>466</v>
      </c>
      <c r="Q457" s="16" t="s">
        <v>204</v>
      </c>
      <c r="R457" s="16" t="s">
        <v>2263</v>
      </c>
    </row>
    <row r="458" spans="13:18" x14ac:dyDescent="0.2">
      <c r="M458" s="20" t="str">
        <f t="shared" si="31"/>
        <v>AYACUCHO HUAMANGA PACAYCASA</v>
      </c>
      <c r="N458" s="20">
        <f t="shared" si="32"/>
        <v>0</v>
      </c>
      <c r="O458" s="16" t="s">
        <v>459</v>
      </c>
      <c r="P458" s="16" t="s">
        <v>466</v>
      </c>
      <c r="Q458" s="16" t="s">
        <v>472</v>
      </c>
      <c r="R458" s="16" t="s">
        <v>2264</v>
      </c>
    </row>
    <row r="459" spans="13:18" x14ac:dyDescent="0.2">
      <c r="M459" s="20" t="str">
        <f t="shared" si="31"/>
        <v>AYACUCHO HUAMANGA QUINUA</v>
      </c>
      <c r="N459" s="20">
        <f t="shared" si="32"/>
        <v>0</v>
      </c>
      <c r="O459" s="16" t="s">
        <v>459</v>
      </c>
      <c r="P459" s="16" t="s">
        <v>466</v>
      </c>
      <c r="Q459" s="16" t="s">
        <v>473</v>
      </c>
      <c r="R459" s="16" t="s">
        <v>2265</v>
      </c>
    </row>
    <row r="460" spans="13:18" x14ac:dyDescent="0.2">
      <c r="M460" s="20" t="str">
        <f t="shared" si="31"/>
        <v>AYACUCHO HUAMANGA SAN JOSE DE TICLLAS</v>
      </c>
      <c r="N460" s="20">
        <f t="shared" si="32"/>
        <v>0</v>
      </c>
      <c r="O460" s="16" t="s">
        <v>459</v>
      </c>
      <c r="P460" s="16" t="s">
        <v>466</v>
      </c>
      <c r="Q460" s="16" t="s">
        <v>474</v>
      </c>
      <c r="R460" s="16" t="s">
        <v>2266</v>
      </c>
    </row>
    <row r="461" spans="13:18" x14ac:dyDescent="0.2">
      <c r="M461" s="20" t="str">
        <f t="shared" si="31"/>
        <v>AYACUCHO HUAMANGA SAN JUAN BAUTISTA</v>
      </c>
      <c r="N461" s="20">
        <f t="shared" si="32"/>
        <v>0</v>
      </c>
      <c r="O461" s="16" t="s">
        <v>459</v>
      </c>
      <c r="P461" s="16" t="s">
        <v>466</v>
      </c>
      <c r="Q461" s="16" t="s">
        <v>282</v>
      </c>
      <c r="R461" s="16" t="s">
        <v>2267</v>
      </c>
    </row>
    <row r="462" spans="13:18" x14ac:dyDescent="0.2">
      <c r="M462" s="20" t="str">
        <f t="shared" si="31"/>
        <v>AYACUCHO HUAMANGA SANTIAGO DE PISCHA</v>
      </c>
      <c r="N462" s="20">
        <f t="shared" si="32"/>
        <v>0</v>
      </c>
      <c r="O462" s="16" t="s">
        <v>459</v>
      </c>
      <c r="P462" s="16" t="s">
        <v>466</v>
      </c>
      <c r="Q462" s="16" t="s">
        <v>475</v>
      </c>
      <c r="R462" s="16" t="s">
        <v>2268</v>
      </c>
    </row>
    <row r="463" spans="13:18" x14ac:dyDescent="0.2">
      <c r="M463" s="20" t="str">
        <f t="shared" si="31"/>
        <v>AYACUCHO HUAMANGA SOCOS</v>
      </c>
      <c r="N463" s="20">
        <f t="shared" si="32"/>
        <v>0</v>
      </c>
      <c r="O463" s="16" t="s">
        <v>459</v>
      </c>
      <c r="P463" s="16" t="s">
        <v>466</v>
      </c>
      <c r="Q463" s="16" t="s">
        <v>476</v>
      </c>
      <c r="R463" s="16" t="s">
        <v>2269</v>
      </c>
    </row>
    <row r="464" spans="13:18" x14ac:dyDescent="0.2">
      <c r="M464" s="20" t="str">
        <f t="shared" si="31"/>
        <v>AYACUCHO HUAMANGA TAMBILLO</v>
      </c>
      <c r="N464" s="20">
        <f t="shared" si="32"/>
        <v>0</v>
      </c>
      <c r="O464" s="16" t="s">
        <v>459</v>
      </c>
      <c r="P464" s="16" t="s">
        <v>466</v>
      </c>
      <c r="Q464" s="16" t="s">
        <v>477</v>
      </c>
      <c r="R464" s="16" t="s">
        <v>2270</v>
      </c>
    </row>
    <row r="465" spans="13:18" x14ac:dyDescent="0.2">
      <c r="M465" s="20" t="str">
        <f t="shared" si="31"/>
        <v>AYACUCHO HUAMANGA VINCHOS</v>
      </c>
      <c r="N465" s="20">
        <f t="shared" si="32"/>
        <v>0</v>
      </c>
      <c r="O465" s="16" t="s">
        <v>459</v>
      </c>
      <c r="P465" s="16" t="s">
        <v>466</v>
      </c>
      <c r="Q465" s="16" t="s">
        <v>478</v>
      </c>
      <c r="R465" s="16" t="s">
        <v>2271</v>
      </c>
    </row>
    <row r="466" spans="13:18" x14ac:dyDescent="0.2">
      <c r="M466" s="20" t="str">
        <f t="shared" si="31"/>
        <v>AYACUCHO HUANCA SANCOS CARAPO</v>
      </c>
      <c r="N466" s="20">
        <f t="shared" si="32"/>
        <v>0</v>
      </c>
      <c r="O466" s="16" t="s">
        <v>459</v>
      </c>
      <c r="P466" s="16" t="s">
        <v>479</v>
      </c>
      <c r="Q466" s="16" t="s">
        <v>480</v>
      </c>
      <c r="R466" s="16" t="s">
        <v>2272</v>
      </c>
    </row>
    <row r="467" spans="13:18" x14ac:dyDescent="0.2">
      <c r="M467" s="20" t="str">
        <f t="shared" si="31"/>
        <v>AYACUCHO HUANCA SANCOS SACSAMARCA</v>
      </c>
      <c r="N467" s="20">
        <f t="shared" si="32"/>
        <v>0</v>
      </c>
      <c r="O467" s="16" t="s">
        <v>459</v>
      </c>
      <c r="P467" s="16" t="s">
        <v>479</v>
      </c>
      <c r="Q467" s="16" t="s">
        <v>481</v>
      </c>
      <c r="R467" s="16" t="s">
        <v>2273</v>
      </c>
    </row>
    <row r="468" spans="13:18" x14ac:dyDescent="0.2">
      <c r="M468" s="20" t="str">
        <f t="shared" si="31"/>
        <v>AYACUCHO HUANCA SANCOS SANCOS</v>
      </c>
      <c r="N468" s="20">
        <f t="shared" si="32"/>
        <v>0</v>
      </c>
      <c r="O468" s="16" t="s">
        <v>459</v>
      </c>
      <c r="P468" s="16" t="s">
        <v>479</v>
      </c>
      <c r="Q468" s="16" t="s">
        <v>482</v>
      </c>
      <c r="R468" s="16" t="s">
        <v>2274</v>
      </c>
    </row>
    <row r="469" spans="13:18" x14ac:dyDescent="0.2">
      <c r="M469" s="20" t="str">
        <f t="shared" si="31"/>
        <v>AYACUCHO HUANCA SANCOS SANTIAGO DE LUCANAMARCA</v>
      </c>
      <c r="N469" s="20">
        <f t="shared" si="32"/>
        <v>0</v>
      </c>
      <c r="O469" s="16" t="s">
        <v>459</v>
      </c>
      <c r="P469" s="16" t="s">
        <v>479</v>
      </c>
      <c r="Q469" s="16" t="s">
        <v>483</v>
      </c>
      <c r="R469" s="16" t="s">
        <v>2275</v>
      </c>
    </row>
    <row r="470" spans="13:18" x14ac:dyDescent="0.2">
      <c r="M470" s="20" t="str">
        <f t="shared" si="31"/>
        <v>AYACUCHO HUANTA AYAHUANCO</v>
      </c>
      <c r="N470" s="20">
        <f t="shared" si="32"/>
        <v>0</v>
      </c>
      <c r="O470" s="16" t="s">
        <v>459</v>
      </c>
      <c r="P470" s="16" t="s">
        <v>484</v>
      </c>
      <c r="Q470" s="16" t="s">
        <v>485</v>
      </c>
      <c r="R470" s="16" t="s">
        <v>2276</v>
      </c>
    </row>
    <row r="471" spans="13:18" x14ac:dyDescent="0.2">
      <c r="M471" s="20" t="str">
        <f t="shared" si="31"/>
        <v>AYACUCHO HUANTA CANAYRE</v>
      </c>
      <c r="N471" s="20">
        <f t="shared" si="32"/>
        <v>0</v>
      </c>
      <c r="O471" s="16" t="s">
        <v>459</v>
      </c>
      <c r="P471" s="16" t="s">
        <v>484</v>
      </c>
      <c r="Q471" s="16" t="s">
        <v>486</v>
      </c>
      <c r="R471" s="16" t="s">
        <v>2277</v>
      </c>
    </row>
    <row r="472" spans="13:18" x14ac:dyDescent="0.2">
      <c r="M472" s="20" t="str">
        <f t="shared" si="31"/>
        <v>AYACUCHO HUANTA CHACA</v>
      </c>
      <c r="N472" s="20">
        <f t="shared" si="32"/>
        <v>0</v>
      </c>
      <c r="O472" s="16" t="s">
        <v>459</v>
      </c>
      <c r="P472" s="16" t="s">
        <v>484</v>
      </c>
      <c r="Q472" s="16" t="s">
        <v>487</v>
      </c>
      <c r="R472" s="16" t="s">
        <v>2278</v>
      </c>
    </row>
    <row r="473" spans="13:18" x14ac:dyDescent="0.2">
      <c r="M473" s="20" t="str">
        <f t="shared" si="31"/>
        <v>AYACUCHO HUANTA HUAMANGUILLA</v>
      </c>
      <c r="N473" s="20">
        <f t="shared" si="32"/>
        <v>0</v>
      </c>
      <c r="O473" s="16" t="s">
        <v>459</v>
      </c>
      <c r="P473" s="16" t="s">
        <v>484</v>
      </c>
      <c r="Q473" s="16" t="s">
        <v>488</v>
      </c>
      <c r="R473" s="16" t="s">
        <v>2279</v>
      </c>
    </row>
    <row r="474" spans="13:18" x14ac:dyDescent="0.2">
      <c r="M474" s="20" t="str">
        <f t="shared" si="31"/>
        <v>AYACUCHO HUANTA HUANTA</v>
      </c>
      <c r="N474" s="20">
        <f t="shared" si="32"/>
        <v>0</v>
      </c>
      <c r="O474" s="16" t="s">
        <v>459</v>
      </c>
      <c r="P474" s="16" t="s">
        <v>484</v>
      </c>
      <c r="Q474" s="16" t="s">
        <v>484</v>
      </c>
      <c r="R474" s="16" t="s">
        <v>2280</v>
      </c>
    </row>
    <row r="475" spans="13:18" x14ac:dyDescent="0.2">
      <c r="M475" s="20" t="str">
        <f t="shared" si="31"/>
        <v>AYACUCHO HUANTA IGUAIN</v>
      </c>
      <c r="N475" s="20">
        <f t="shared" si="32"/>
        <v>0</v>
      </c>
      <c r="O475" s="16" t="s">
        <v>459</v>
      </c>
      <c r="P475" s="16" t="s">
        <v>484</v>
      </c>
      <c r="Q475" s="16" t="s">
        <v>489</v>
      </c>
      <c r="R475" s="16" t="s">
        <v>2281</v>
      </c>
    </row>
    <row r="476" spans="13:18" x14ac:dyDescent="0.2">
      <c r="M476" s="20" t="str">
        <f t="shared" si="31"/>
        <v>AYACUCHO HUANTA LLOCHEGUA</v>
      </c>
      <c r="N476" s="20">
        <f t="shared" si="32"/>
        <v>0</v>
      </c>
      <c r="O476" s="16" t="s">
        <v>459</v>
      </c>
      <c r="P476" s="16" t="s">
        <v>484</v>
      </c>
      <c r="Q476" s="16" t="s">
        <v>490</v>
      </c>
      <c r="R476" s="16" t="s">
        <v>2282</v>
      </c>
    </row>
    <row r="477" spans="13:18" x14ac:dyDescent="0.2">
      <c r="M477" s="20" t="str">
        <f t="shared" si="31"/>
        <v>AYACUCHO HUANTA LURICOCHA</v>
      </c>
      <c r="N477" s="20">
        <f t="shared" si="32"/>
        <v>0</v>
      </c>
      <c r="O477" s="16" t="s">
        <v>459</v>
      </c>
      <c r="P477" s="16" t="s">
        <v>484</v>
      </c>
      <c r="Q477" s="16" t="s">
        <v>491</v>
      </c>
      <c r="R477" s="16" t="s">
        <v>2283</v>
      </c>
    </row>
    <row r="478" spans="13:18" x14ac:dyDescent="0.2">
      <c r="M478" s="20" t="str">
        <f t="shared" si="31"/>
        <v>AYACUCHO HUANTA PUCACOLPA</v>
      </c>
      <c r="N478" s="20">
        <f t="shared" si="32"/>
        <v>0</v>
      </c>
      <c r="O478" s="16" t="s">
        <v>459</v>
      </c>
      <c r="P478" s="16" t="s">
        <v>484</v>
      </c>
      <c r="Q478" s="16" t="s">
        <v>492</v>
      </c>
      <c r="R478" s="16" t="s">
        <v>2284</v>
      </c>
    </row>
    <row r="479" spans="13:18" x14ac:dyDescent="0.2">
      <c r="M479" s="20" t="str">
        <f t="shared" si="31"/>
        <v>AYACUCHO HUANTA SANTILLANA</v>
      </c>
      <c r="N479" s="20">
        <f t="shared" si="32"/>
        <v>0</v>
      </c>
      <c r="O479" s="16" t="s">
        <v>459</v>
      </c>
      <c r="P479" s="16" t="s">
        <v>484</v>
      </c>
      <c r="Q479" s="16" t="s">
        <v>493</v>
      </c>
      <c r="R479" s="16" t="s">
        <v>2285</v>
      </c>
    </row>
    <row r="480" spans="13:18" x14ac:dyDescent="0.2">
      <c r="M480" s="20" t="str">
        <f t="shared" si="31"/>
        <v>AYACUCHO HUANTA SIVIA</v>
      </c>
      <c r="N480" s="20">
        <f t="shared" si="32"/>
        <v>0</v>
      </c>
      <c r="O480" s="16" t="s">
        <v>459</v>
      </c>
      <c r="P480" s="16" t="s">
        <v>484</v>
      </c>
      <c r="Q480" s="16" t="s">
        <v>494</v>
      </c>
      <c r="R480" s="16" t="s">
        <v>2286</v>
      </c>
    </row>
    <row r="481" spans="13:18" x14ac:dyDescent="0.2">
      <c r="M481" s="20" t="str">
        <f t="shared" si="31"/>
        <v>AYACUCHO HUANTA UCHURACCAY</v>
      </c>
      <c r="N481" s="20">
        <f t="shared" si="32"/>
        <v>0</v>
      </c>
      <c r="O481" s="16" t="s">
        <v>459</v>
      </c>
      <c r="P481" s="16" t="s">
        <v>484</v>
      </c>
      <c r="Q481" s="16" t="s">
        <v>495</v>
      </c>
      <c r="R481" s="16" t="s">
        <v>2287</v>
      </c>
    </row>
    <row r="482" spans="13:18" x14ac:dyDescent="0.2">
      <c r="M482" s="20" t="str">
        <f t="shared" si="31"/>
        <v>AYACUCHO LA MAR ANCHIHUAY</v>
      </c>
      <c r="N482" s="20">
        <f t="shared" si="32"/>
        <v>0</v>
      </c>
      <c r="O482" s="16" t="s">
        <v>459</v>
      </c>
      <c r="P482" s="16" t="s">
        <v>496</v>
      </c>
      <c r="Q482" s="16" t="s">
        <v>497</v>
      </c>
      <c r="R482" s="16" t="s">
        <v>2288</v>
      </c>
    </row>
    <row r="483" spans="13:18" x14ac:dyDescent="0.2">
      <c r="M483" s="20" t="str">
        <f t="shared" si="31"/>
        <v>AYACUCHO LA MAR ANCO</v>
      </c>
      <c r="N483" s="20">
        <f t="shared" si="32"/>
        <v>0</v>
      </c>
      <c r="O483" s="16" t="s">
        <v>459</v>
      </c>
      <c r="P483" s="16" t="s">
        <v>496</v>
      </c>
      <c r="Q483" s="16" t="s">
        <v>498</v>
      </c>
      <c r="R483" s="16" t="s">
        <v>2289</v>
      </c>
    </row>
    <row r="484" spans="13:18" x14ac:dyDescent="0.2">
      <c r="M484" s="20" t="str">
        <f t="shared" si="31"/>
        <v>AYACUCHO LA MAR AYNA</v>
      </c>
      <c r="N484" s="20">
        <f t="shared" si="32"/>
        <v>0</v>
      </c>
      <c r="O484" s="16" t="s">
        <v>459</v>
      </c>
      <c r="P484" s="16" t="s">
        <v>496</v>
      </c>
      <c r="Q484" s="16" t="s">
        <v>499</v>
      </c>
      <c r="R484" s="16" t="s">
        <v>2290</v>
      </c>
    </row>
    <row r="485" spans="13:18" x14ac:dyDescent="0.2">
      <c r="M485" s="20" t="str">
        <f t="shared" si="31"/>
        <v>AYACUCHO LA MAR CHILCAS</v>
      </c>
      <c r="N485" s="20">
        <f t="shared" si="32"/>
        <v>0</v>
      </c>
      <c r="O485" s="16" t="s">
        <v>459</v>
      </c>
      <c r="P485" s="16" t="s">
        <v>496</v>
      </c>
      <c r="Q485" s="16" t="s">
        <v>500</v>
      </c>
      <c r="R485" s="16" t="s">
        <v>2291</v>
      </c>
    </row>
    <row r="486" spans="13:18" x14ac:dyDescent="0.2">
      <c r="M486" s="20" t="str">
        <f t="shared" si="31"/>
        <v>AYACUCHO LA MAR CHUNGUI</v>
      </c>
      <c r="N486" s="20">
        <f t="shared" si="32"/>
        <v>0</v>
      </c>
      <c r="O486" s="16" t="s">
        <v>459</v>
      </c>
      <c r="P486" s="16" t="s">
        <v>496</v>
      </c>
      <c r="Q486" s="16" t="s">
        <v>501</v>
      </c>
      <c r="R486" s="16" t="s">
        <v>2292</v>
      </c>
    </row>
    <row r="487" spans="13:18" x14ac:dyDescent="0.2">
      <c r="M487" s="20" t="str">
        <f t="shared" si="31"/>
        <v>AYACUCHO LA MAR LUIS CARRANZA</v>
      </c>
      <c r="N487" s="20">
        <f t="shared" si="32"/>
        <v>0</v>
      </c>
      <c r="O487" s="16" t="s">
        <v>459</v>
      </c>
      <c r="P487" s="16" t="s">
        <v>496</v>
      </c>
      <c r="Q487" s="16" t="s">
        <v>502</v>
      </c>
      <c r="R487" s="16" t="s">
        <v>2293</v>
      </c>
    </row>
    <row r="488" spans="13:18" x14ac:dyDescent="0.2">
      <c r="M488" s="20" t="str">
        <f t="shared" si="31"/>
        <v>AYACUCHO LA MAR SAMUGARI</v>
      </c>
      <c r="N488" s="20">
        <f t="shared" si="32"/>
        <v>0</v>
      </c>
      <c r="O488" s="16" t="s">
        <v>459</v>
      </c>
      <c r="P488" s="16" t="s">
        <v>496</v>
      </c>
      <c r="Q488" s="16" t="s">
        <v>503</v>
      </c>
      <c r="R488" s="16" t="s">
        <v>2294</v>
      </c>
    </row>
    <row r="489" spans="13:18" x14ac:dyDescent="0.2">
      <c r="M489" s="20" t="str">
        <f t="shared" si="31"/>
        <v>AYACUCHO LA MAR SAN MIGUEL</v>
      </c>
      <c r="N489" s="20">
        <f t="shared" si="32"/>
        <v>0</v>
      </c>
      <c r="O489" s="16" t="s">
        <v>459</v>
      </c>
      <c r="P489" s="16" t="s">
        <v>496</v>
      </c>
      <c r="Q489" s="16" t="s">
        <v>504</v>
      </c>
      <c r="R489" s="16" t="s">
        <v>2295</v>
      </c>
    </row>
    <row r="490" spans="13:18" x14ac:dyDescent="0.2">
      <c r="M490" s="20" t="str">
        <f t="shared" si="31"/>
        <v>AYACUCHO LA MAR SANTA ROSA</v>
      </c>
      <c r="N490" s="20">
        <f t="shared" si="32"/>
        <v>0</v>
      </c>
      <c r="O490" s="16" t="s">
        <v>459</v>
      </c>
      <c r="P490" s="16" t="s">
        <v>496</v>
      </c>
      <c r="Q490" s="16" t="s">
        <v>85</v>
      </c>
      <c r="R490" s="16" t="s">
        <v>2296</v>
      </c>
    </row>
    <row r="491" spans="13:18" x14ac:dyDescent="0.2">
      <c r="M491" s="20" t="str">
        <f t="shared" si="31"/>
        <v>AYACUCHO LA MAR TAMBO</v>
      </c>
      <c r="N491" s="20">
        <f t="shared" si="32"/>
        <v>0</v>
      </c>
      <c r="O491" s="16" t="s">
        <v>459</v>
      </c>
      <c r="P491" s="16" t="s">
        <v>496</v>
      </c>
      <c r="Q491" s="16" t="s">
        <v>505</v>
      </c>
      <c r="R491" s="16" t="s">
        <v>2297</v>
      </c>
    </row>
    <row r="492" spans="13:18" x14ac:dyDescent="0.2">
      <c r="M492" s="20" t="str">
        <f t="shared" si="31"/>
        <v>AYACUCHO LUCANAS AUCARA</v>
      </c>
      <c r="N492" s="20">
        <f t="shared" si="32"/>
        <v>0</v>
      </c>
      <c r="O492" s="16" t="s">
        <v>459</v>
      </c>
      <c r="P492" s="16" t="s">
        <v>506</v>
      </c>
      <c r="Q492" s="16" t="s">
        <v>507</v>
      </c>
      <c r="R492" s="16" t="s">
        <v>2298</v>
      </c>
    </row>
    <row r="493" spans="13:18" x14ac:dyDescent="0.2">
      <c r="M493" s="20" t="str">
        <f t="shared" si="31"/>
        <v>AYACUCHO LUCANAS CABANA</v>
      </c>
      <c r="N493" s="20">
        <f t="shared" si="32"/>
        <v>0</v>
      </c>
      <c r="O493" s="16" t="s">
        <v>459</v>
      </c>
      <c r="P493" s="16" t="s">
        <v>506</v>
      </c>
      <c r="Q493" s="16" t="s">
        <v>215</v>
      </c>
      <c r="R493" s="16" t="s">
        <v>2299</v>
      </c>
    </row>
    <row r="494" spans="13:18" x14ac:dyDescent="0.2">
      <c r="M494" s="20" t="str">
        <f t="shared" si="31"/>
        <v>AYACUCHO LUCANAS CARMEN SALCEDO</v>
      </c>
      <c r="N494" s="20">
        <f t="shared" si="32"/>
        <v>0</v>
      </c>
      <c r="O494" s="16" t="s">
        <v>459</v>
      </c>
      <c r="P494" s="16" t="s">
        <v>506</v>
      </c>
      <c r="Q494" s="16" t="s">
        <v>508</v>
      </c>
      <c r="R494" s="16" t="s">
        <v>2300</v>
      </c>
    </row>
    <row r="495" spans="13:18" x14ac:dyDescent="0.2">
      <c r="M495" s="20" t="str">
        <f t="shared" si="31"/>
        <v>AYACUCHO LUCANAS CHAVIÑA</v>
      </c>
      <c r="N495" s="20">
        <f t="shared" si="32"/>
        <v>0</v>
      </c>
      <c r="O495" s="16" t="s">
        <v>459</v>
      </c>
      <c r="P495" s="16" t="s">
        <v>506</v>
      </c>
      <c r="Q495" s="16" t="s">
        <v>509</v>
      </c>
      <c r="R495" s="16" t="s">
        <v>2301</v>
      </c>
    </row>
    <row r="496" spans="13:18" x14ac:dyDescent="0.2">
      <c r="M496" s="20" t="str">
        <f t="shared" si="31"/>
        <v>AYACUCHO LUCANAS CHIPAO</v>
      </c>
      <c r="N496" s="20">
        <f t="shared" si="32"/>
        <v>0</v>
      </c>
      <c r="O496" s="16" t="s">
        <v>459</v>
      </c>
      <c r="P496" s="16" t="s">
        <v>506</v>
      </c>
      <c r="Q496" s="16" t="s">
        <v>510</v>
      </c>
      <c r="R496" s="16" t="s">
        <v>2302</v>
      </c>
    </row>
    <row r="497" spans="13:18" x14ac:dyDescent="0.2">
      <c r="M497" s="20" t="str">
        <f t="shared" si="31"/>
        <v>AYACUCHO LUCANAS HUAC-HUAS</v>
      </c>
      <c r="N497" s="20">
        <f t="shared" si="32"/>
        <v>0</v>
      </c>
      <c r="O497" s="16" t="s">
        <v>459</v>
      </c>
      <c r="P497" s="16" t="s">
        <v>506</v>
      </c>
      <c r="Q497" s="16" t="s">
        <v>511</v>
      </c>
      <c r="R497" s="16" t="s">
        <v>2303</v>
      </c>
    </row>
    <row r="498" spans="13:18" x14ac:dyDescent="0.2">
      <c r="M498" s="20" t="str">
        <f t="shared" si="31"/>
        <v>AYACUCHO LUCANAS LARAMATE</v>
      </c>
      <c r="N498" s="20">
        <f t="shared" si="32"/>
        <v>0</v>
      </c>
      <c r="O498" s="16" t="s">
        <v>459</v>
      </c>
      <c r="P498" s="16" t="s">
        <v>506</v>
      </c>
      <c r="Q498" s="16" t="s">
        <v>512</v>
      </c>
      <c r="R498" s="16" t="s">
        <v>2304</v>
      </c>
    </row>
    <row r="499" spans="13:18" x14ac:dyDescent="0.2">
      <c r="M499" s="20" t="str">
        <f t="shared" si="31"/>
        <v>AYACUCHO LUCANAS LEONCIO PRADO</v>
      </c>
      <c r="N499" s="20">
        <f t="shared" si="32"/>
        <v>0</v>
      </c>
      <c r="O499" s="16" t="s">
        <v>459</v>
      </c>
      <c r="P499" s="16" t="s">
        <v>506</v>
      </c>
      <c r="Q499" s="16" t="s">
        <v>513</v>
      </c>
      <c r="R499" s="16" t="s">
        <v>2305</v>
      </c>
    </row>
    <row r="500" spans="13:18" x14ac:dyDescent="0.2">
      <c r="M500" s="20" t="str">
        <f t="shared" si="31"/>
        <v>AYACUCHO LUCANAS LLAUTA</v>
      </c>
      <c r="N500" s="20">
        <f t="shared" si="32"/>
        <v>0</v>
      </c>
      <c r="O500" s="16" t="s">
        <v>459</v>
      </c>
      <c r="P500" s="16" t="s">
        <v>506</v>
      </c>
      <c r="Q500" s="16" t="s">
        <v>514</v>
      </c>
      <c r="R500" s="16" t="s">
        <v>2306</v>
      </c>
    </row>
    <row r="501" spans="13:18" x14ac:dyDescent="0.2">
      <c r="M501" s="20" t="str">
        <f t="shared" si="31"/>
        <v>AYACUCHO LUCANAS LUCANAS</v>
      </c>
      <c r="N501" s="20">
        <f t="shared" si="32"/>
        <v>0</v>
      </c>
      <c r="O501" s="16" t="s">
        <v>459</v>
      </c>
      <c r="P501" s="16" t="s">
        <v>506</v>
      </c>
      <c r="Q501" s="16" t="s">
        <v>506</v>
      </c>
      <c r="R501" s="16" t="s">
        <v>2307</v>
      </c>
    </row>
    <row r="502" spans="13:18" x14ac:dyDescent="0.2">
      <c r="M502" s="20" t="str">
        <f t="shared" si="31"/>
        <v>AYACUCHO LUCANAS OCAÑA</v>
      </c>
      <c r="N502" s="20">
        <f t="shared" si="32"/>
        <v>0</v>
      </c>
      <c r="O502" s="16" t="s">
        <v>459</v>
      </c>
      <c r="P502" s="16" t="s">
        <v>506</v>
      </c>
      <c r="Q502" s="16" t="s">
        <v>515</v>
      </c>
      <c r="R502" s="16" t="s">
        <v>2308</v>
      </c>
    </row>
    <row r="503" spans="13:18" x14ac:dyDescent="0.2">
      <c r="M503" s="20" t="str">
        <f t="shared" si="31"/>
        <v>AYACUCHO LUCANAS OTOCA</v>
      </c>
      <c r="N503" s="20">
        <f t="shared" si="32"/>
        <v>0</v>
      </c>
      <c r="O503" s="16" t="s">
        <v>459</v>
      </c>
      <c r="P503" s="16" t="s">
        <v>506</v>
      </c>
      <c r="Q503" s="16" t="s">
        <v>516</v>
      </c>
      <c r="R503" s="16" t="s">
        <v>2309</v>
      </c>
    </row>
    <row r="504" spans="13:18" x14ac:dyDescent="0.2">
      <c r="M504" s="20" t="str">
        <f t="shared" si="31"/>
        <v>AYACUCHO LUCANAS PUQUIO</v>
      </c>
      <c r="N504" s="20">
        <f t="shared" si="32"/>
        <v>0</v>
      </c>
      <c r="O504" s="16" t="s">
        <v>459</v>
      </c>
      <c r="P504" s="16" t="s">
        <v>506</v>
      </c>
      <c r="Q504" s="16" t="s">
        <v>517</v>
      </c>
      <c r="R504" s="16" t="s">
        <v>2310</v>
      </c>
    </row>
    <row r="505" spans="13:18" x14ac:dyDescent="0.2">
      <c r="M505" s="20" t="str">
        <f t="shared" si="31"/>
        <v>AYACUCHO LUCANAS SAISA</v>
      </c>
      <c r="N505" s="20">
        <f t="shared" si="32"/>
        <v>0</v>
      </c>
      <c r="O505" s="16" t="s">
        <v>459</v>
      </c>
      <c r="P505" s="16" t="s">
        <v>506</v>
      </c>
      <c r="Q505" s="16" t="s">
        <v>518</v>
      </c>
      <c r="R505" s="16" t="s">
        <v>2311</v>
      </c>
    </row>
    <row r="506" spans="13:18" x14ac:dyDescent="0.2">
      <c r="M506" s="20" t="str">
        <f t="shared" si="31"/>
        <v>AYACUCHO LUCANAS SAN CRISTOBAL</v>
      </c>
      <c r="N506" s="20">
        <f t="shared" si="32"/>
        <v>0</v>
      </c>
      <c r="O506" s="16" t="s">
        <v>459</v>
      </c>
      <c r="P506" s="16" t="s">
        <v>506</v>
      </c>
      <c r="Q506" s="16" t="s">
        <v>67</v>
      </c>
      <c r="R506" s="16" t="s">
        <v>2312</v>
      </c>
    </row>
    <row r="507" spans="13:18" x14ac:dyDescent="0.2">
      <c r="M507" s="20" t="str">
        <f t="shared" si="31"/>
        <v>AYACUCHO LUCANAS SAN JUAN</v>
      </c>
      <c r="N507" s="20">
        <f t="shared" si="32"/>
        <v>0</v>
      </c>
      <c r="O507" s="16" t="s">
        <v>459</v>
      </c>
      <c r="P507" s="16" t="s">
        <v>506</v>
      </c>
      <c r="Q507" s="16" t="s">
        <v>255</v>
      </c>
      <c r="R507" s="16" t="s">
        <v>2313</v>
      </c>
    </row>
    <row r="508" spans="13:18" x14ac:dyDescent="0.2">
      <c r="M508" s="20" t="str">
        <f t="shared" si="31"/>
        <v>AYACUCHO LUCANAS SAN PEDRO</v>
      </c>
      <c r="N508" s="20">
        <f t="shared" si="32"/>
        <v>0</v>
      </c>
      <c r="O508" s="16" t="s">
        <v>459</v>
      </c>
      <c r="P508" s="16" t="s">
        <v>506</v>
      </c>
      <c r="Q508" s="16" t="s">
        <v>116</v>
      </c>
      <c r="R508" s="16" t="s">
        <v>2314</v>
      </c>
    </row>
    <row r="509" spans="13:18" x14ac:dyDescent="0.2">
      <c r="M509" s="20" t="str">
        <f t="shared" si="31"/>
        <v>AYACUCHO LUCANAS SAN PEDRO DE PALCO</v>
      </c>
      <c r="N509" s="20">
        <f t="shared" si="32"/>
        <v>0</v>
      </c>
      <c r="O509" s="16" t="s">
        <v>459</v>
      </c>
      <c r="P509" s="16" t="s">
        <v>506</v>
      </c>
      <c r="Q509" s="16" t="s">
        <v>519</v>
      </c>
      <c r="R509" s="16" t="s">
        <v>2315</v>
      </c>
    </row>
    <row r="510" spans="13:18" x14ac:dyDescent="0.2">
      <c r="M510" s="20" t="str">
        <f t="shared" si="31"/>
        <v>AYACUCHO LUCANAS SANCOS</v>
      </c>
      <c r="N510" s="20">
        <f t="shared" si="32"/>
        <v>0</v>
      </c>
      <c r="O510" s="16" t="s">
        <v>459</v>
      </c>
      <c r="P510" s="16" t="s">
        <v>506</v>
      </c>
      <c r="Q510" s="16" t="s">
        <v>482</v>
      </c>
      <c r="R510" s="16" t="s">
        <v>2316</v>
      </c>
    </row>
    <row r="511" spans="13:18" x14ac:dyDescent="0.2">
      <c r="M511" s="20" t="str">
        <f t="shared" si="31"/>
        <v>AYACUCHO LUCANAS SANTA ANA DE HUAYCAHUACHO</v>
      </c>
      <c r="N511" s="20">
        <f t="shared" si="32"/>
        <v>0</v>
      </c>
      <c r="O511" s="16" t="s">
        <v>459</v>
      </c>
      <c r="P511" s="16" t="s">
        <v>506</v>
      </c>
      <c r="Q511" s="16" t="s">
        <v>520</v>
      </c>
      <c r="R511" s="16" t="s">
        <v>2317</v>
      </c>
    </row>
    <row r="512" spans="13:18" x14ac:dyDescent="0.2">
      <c r="M512" s="20" t="str">
        <f t="shared" si="31"/>
        <v>AYACUCHO LUCANAS SANTA LUCIA</v>
      </c>
      <c r="N512" s="20">
        <f t="shared" si="32"/>
        <v>0</v>
      </c>
      <c r="O512" s="16" t="s">
        <v>459</v>
      </c>
      <c r="P512" s="16" t="s">
        <v>506</v>
      </c>
      <c r="Q512" s="16" t="s">
        <v>521</v>
      </c>
      <c r="R512" s="16" t="s">
        <v>2318</v>
      </c>
    </row>
    <row r="513" spans="13:18" x14ac:dyDescent="0.2">
      <c r="M513" s="20" t="str">
        <f t="shared" si="31"/>
        <v>AYACUCHO PARINACOCHAS CHUMPI</v>
      </c>
      <c r="N513" s="20">
        <f t="shared" si="32"/>
        <v>0</v>
      </c>
      <c r="O513" s="16" t="s">
        <v>459</v>
      </c>
      <c r="P513" s="16" t="s">
        <v>522</v>
      </c>
      <c r="Q513" s="16" t="s">
        <v>523</v>
      </c>
      <c r="R513" s="16" t="s">
        <v>2319</v>
      </c>
    </row>
    <row r="514" spans="13:18" x14ac:dyDescent="0.2">
      <c r="M514" s="20" t="str">
        <f t="shared" si="31"/>
        <v>AYACUCHO PARINACOCHAS CORACORA</v>
      </c>
      <c r="N514" s="20">
        <f t="shared" si="32"/>
        <v>0</v>
      </c>
      <c r="O514" s="16" t="s">
        <v>459</v>
      </c>
      <c r="P514" s="16" t="s">
        <v>522</v>
      </c>
      <c r="Q514" s="16" t="s">
        <v>524</v>
      </c>
      <c r="R514" s="16" t="s">
        <v>2320</v>
      </c>
    </row>
    <row r="515" spans="13:18" x14ac:dyDescent="0.2">
      <c r="M515" s="20" t="str">
        <f t="shared" ref="M515:M578" si="33">O515&amp;" "&amp;P515&amp;" "&amp;Q515</f>
        <v>AYACUCHO PARINACOCHAS CORONEL CASTAÑEDA</v>
      </c>
      <c r="N515" s="20">
        <f t="shared" ref="N515:N578" si="34">IF(AND($D$9=O515,$D$10=P515),N514+1,0)</f>
        <v>0</v>
      </c>
      <c r="O515" s="16" t="s">
        <v>459</v>
      </c>
      <c r="P515" s="16" t="s">
        <v>522</v>
      </c>
      <c r="Q515" s="16" t="s">
        <v>525</v>
      </c>
      <c r="R515" s="16" t="s">
        <v>2321</v>
      </c>
    </row>
    <row r="516" spans="13:18" x14ac:dyDescent="0.2">
      <c r="M516" s="20" t="str">
        <f t="shared" si="33"/>
        <v>AYACUCHO PARINACOCHAS PACAPAUSA</v>
      </c>
      <c r="N516" s="20">
        <f t="shared" si="34"/>
        <v>0</v>
      </c>
      <c r="O516" s="16" t="s">
        <v>459</v>
      </c>
      <c r="P516" s="16" t="s">
        <v>522</v>
      </c>
      <c r="Q516" s="16" t="s">
        <v>526</v>
      </c>
      <c r="R516" s="16" t="s">
        <v>2322</v>
      </c>
    </row>
    <row r="517" spans="13:18" x14ac:dyDescent="0.2">
      <c r="M517" s="20" t="str">
        <f t="shared" si="33"/>
        <v>AYACUCHO PARINACOCHAS PULLO</v>
      </c>
      <c r="N517" s="20">
        <f t="shared" si="34"/>
        <v>0</v>
      </c>
      <c r="O517" s="16" t="s">
        <v>459</v>
      </c>
      <c r="P517" s="16" t="s">
        <v>522</v>
      </c>
      <c r="Q517" s="16" t="s">
        <v>527</v>
      </c>
      <c r="R517" s="16" t="s">
        <v>2323</v>
      </c>
    </row>
    <row r="518" spans="13:18" x14ac:dyDescent="0.2">
      <c r="M518" s="20" t="str">
        <f t="shared" si="33"/>
        <v>AYACUCHO PARINACOCHAS PUYUSCA</v>
      </c>
      <c r="N518" s="20">
        <f t="shared" si="34"/>
        <v>0</v>
      </c>
      <c r="O518" s="16" t="s">
        <v>459</v>
      </c>
      <c r="P518" s="16" t="s">
        <v>522</v>
      </c>
      <c r="Q518" s="16" t="s">
        <v>528</v>
      </c>
      <c r="R518" s="16" t="s">
        <v>2324</v>
      </c>
    </row>
    <row r="519" spans="13:18" x14ac:dyDescent="0.2">
      <c r="M519" s="20" t="str">
        <f t="shared" si="33"/>
        <v>AYACUCHO PARINACOCHAS SAN FRANCISCO DE RAVACAYCO</v>
      </c>
      <c r="N519" s="20">
        <f t="shared" si="34"/>
        <v>0</v>
      </c>
      <c r="O519" s="16" t="s">
        <v>459</v>
      </c>
      <c r="P519" s="16" t="s">
        <v>522</v>
      </c>
      <c r="Q519" s="16" t="s">
        <v>529</v>
      </c>
      <c r="R519" s="16" t="s">
        <v>2325</v>
      </c>
    </row>
    <row r="520" spans="13:18" x14ac:dyDescent="0.2">
      <c r="M520" s="20" t="str">
        <f t="shared" si="33"/>
        <v>AYACUCHO PARINACOCHAS UPAHUACHO</v>
      </c>
      <c r="N520" s="20">
        <f t="shared" si="34"/>
        <v>0</v>
      </c>
      <c r="O520" s="16" t="s">
        <v>459</v>
      </c>
      <c r="P520" s="16" t="s">
        <v>522</v>
      </c>
      <c r="Q520" s="16" t="s">
        <v>530</v>
      </c>
      <c r="R520" s="16" t="s">
        <v>2326</v>
      </c>
    </row>
    <row r="521" spans="13:18" x14ac:dyDescent="0.2">
      <c r="M521" s="20" t="str">
        <f t="shared" si="33"/>
        <v>AYACUCHO PAUCAR DEL SARA SARA COLTA</v>
      </c>
      <c r="N521" s="20">
        <f t="shared" si="34"/>
        <v>0</v>
      </c>
      <c r="O521" s="16" t="s">
        <v>459</v>
      </c>
      <c r="P521" s="16" t="s">
        <v>531</v>
      </c>
      <c r="Q521" s="16" t="s">
        <v>532</v>
      </c>
      <c r="R521" s="16" t="s">
        <v>2327</v>
      </c>
    </row>
    <row r="522" spans="13:18" x14ac:dyDescent="0.2">
      <c r="M522" s="20" t="str">
        <f t="shared" si="33"/>
        <v>AYACUCHO PAUCAR DEL SARA SARA CORCULLA</v>
      </c>
      <c r="N522" s="20">
        <f t="shared" si="34"/>
        <v>0</v>
      </c>
      <c r="O522" s="16" t="s">
        <v>459</v>
      </c>
      <c r="P522" s="16" t="s">
        <v>531</v>
      </c>
      <c r="Q522" s="16" t="s">
        <v>533</v>
      </c>
      <c r="R522" s="16" t="s">
        <v>2328</v>
      </c>
    </row>
    <row r="523" spans="13:18" x14ac:dyDescent="0.2">
      <c r="M523" s="20" t="str">
        <f t="shared" si="33"/>
        <v>AYACUCHO PAUCAR DEL SARA SARA LAMPA</v>
      </c>
      <c r="N523" s="20">
        <f t="shared" si="34"/>
        <v>0</v>
      </c>
      <c r="O523" s="16" t="s">
        <v>459</v>
      </c>
      <c r="P523" s="16" t="s">
        <v>531</v>
      </c>
      <c r="Q523" s="16" t="s">
        <v>534</v>
      </c>
      <c r="R523" s="16" t="s">
        <v>2329</v>
      </c>
    </row>
    <row r="524" spans="13:18" x14ac:dyDescent="0.2">
      <c r="M524" s="20" t="str">
        <f t="shared" si="33"/>
        <v>AYACUCHO PAUCAR DEL SARA SARA MARCABAMBA</v>
      </c>
      <c r="N524" s="20">
        <f t="shared" si="34"/>
        <v>0</v>
      </c>
      <c r="O524" s="16" t="s">
        <v>459</v>
      </c>
      <c r="P524" s="16" t="s">
        <v>531</v>
      </c>
      <c r="Q524" s="16" t="s">
        <v>535</v>
      </c>
      <c r="R524" s="16" t="s">
        <v>2330</v>
      </c>
    </row>
    <row r="525" spans="13:18" x14ac:dyDescent="0.2">
      <c r="M525" s="20" t="str">
        <f t="shared" si="33"/>
        <v>AYACUCHO PAUCAR DEL SARA SARA OYOLO</v>
      </c>
      <c r="N525" s="20">
        <f t="shared" si="34"/>
        <v>0</v>
      </c>
      <c r="O525" s="16" t="s">
        <v>459</v>
      </c>
      <c r="P525" s="16" t="s">
        <v>531</v>
      </c>
      <c r="Q525" s="16" t="s">
        <v>536</v>
      </c>
      <c r="R525" s="16" t="s">
        <v>2331</v>
      </c>
    </row>
    <row r="526" spans="13:18" x14ac:dyDescent="0.2">
      <c r="M526" s="20" t="str">
        <f t="shared" si="33"/>
        <v>AYACUCHO PAUCAR DEL SARA SARA PARARCA</v>
      </c>
      <c r="N526" s="20">
        <f t="shared" si="34"/>
        <v>0</v>
      </c>
      <c r="O526" s="16" t="s">
        <v>459</v>
      </c>
      <c r="P526" s="16" t="s">
        <v>531</v>
      </c>
      <c r="Q526" s="16" t="s">
        <v>537</v>
      </c>
      <c r="R526" s="16" t="s">
        <v>2332</v>
      </c>
    </row>
    <row r="527" spans="13:18" x14ac:dyDescent="0.2">
      <c r="M527" s="20" t="str">
        <f t="shared" si="33"/>
        <v>AYACUCHO PAUCAR DEL SARA SARA PAUSA</v>
      </c>
      <c r="N527" s="20">
        <f t="shared" si="34"/>
        <v>0</v>
      </c>
      <c r="O527" s="16" t="s">
        <v>459</v>
      </c>
      <c r="P527" s="16" t="s">
        <v>531</v>
      </c>
      <c r="Q527" s="16" t="s">
        <v>538</v>
      </c>
      <c r="R527" s="16" t="s">
        <v>2333</v>
      </c>
    </row>
    <row r="528" spans="13:18" x14ac:dyDescent="0.2">
      <c r="M528" s="20" t="str">
        <f t="shared" si="33"/>
        <v>AYACUCHO PAUCAR DEL SARA SARA SAN JAVIER DE ALPABAMBA</v>
      </c>
      <c r="N528" s="20">
        <f t="shared" si="34"/>
        <v>0</v>
      </c>
      <c r="O528" s="16" t="s">
        <v>459</v>
      </c>
      <c r="P528" s="16" t="s">
        <v>531</v>
      </c>
      <c r="Q528" s="16" t="s">
        <v>539</v>
      </c>
      <c r="R528" s="16" t="s">
        <v>2334</v>
      </c>
    </row>
    <row r="529" spans="13:18" x14ac:dyDescent="0.2">
      <c r="M529" s="20" t="str">
        <f t="shared" si="33"/>
        <v>AYACUCHO PAUCAR DEL SARA SARA SAN JOSE DE USHUA</v>
      </c>
      <c r="N529" s="20">
        <f t="shared" si="34"/>
        <v>0</v>
      </c>
      <c r="O529" s="16" t="s">
        <v>459</v>
      </c>
      <c r="P529" s="16" t="s">
        <v>531</v>
      </c>
      <c r="Q529" s="16" t="s">
        <v>540</v>
      </c>
      <c r="R529" s="16" t="s">
        <v>2335</v>
      </c>
    </row>
    <row r="530" spans="13:18" x14ac:dyDescent="0.2">
      <c r="M530" s="20" t="str">
        <f t="shared" si="33"/>
        <v>AYACUCHO PAUCAR DEL SARA SARA SARA SARA</v>
      </c>
      <c r="N530" s="20">
        <f t="shared" si="34"/>
        <v>0</v>
      </c>
      <c r="O530" s="16" t="s">
        <v>459</v>
      </c>
      <c r="P530" s="16" t="s">
        <v>531</v>
      </c>
      <c r="Q530" s="16" t="s">
        <v>541</v>
      </c>
      <c r="R530" s="16" t="s">
        <v>2336</v>
      </c>
    </row>
    <row r="531" spans="13:18" x14ac:dyDescent="0.2">
      <c r="M531" s="20" t="str">
        <f t="shared" si="33"/>
        <v>AYACUCHO SUCRE BELEN</v>
      </c>
      <c r="N531" s="20">
        <f t="shared" si="34"/>
        <v>0</v>
      </c>
      <c r="O531" s="16" t="s">
        <v>459</v>
      </c>
      <c r="P531" s="16" t="s">
        <v>542</v>
      </c>
      <c r="Q531" s="16" t="s">
        <v>543</v>
      </c>
      <c r="R531" s="16" t="s">
        <v>2337</v>
      </c>
    </row>
    <row r="532" spans="13:18" x14ac:dyDescent="0.2">
      <c r="M532" s="20" t="str">
        <f t="shared" si="33"/>
        <v>AYACUCHO SUCRE CHALCOS</v>
      </c>
      <c r="N532" s="20">
        <f t="shared" si="34"/>
        <v>0</v>
      </c>
      <c r="O532" s="16" t="s">
        <v>459</v>
      </c>
      <c r="P532" s="16" t="s">
        <v>542</v>
      </c>
      <c r="Q532" s="16" t="s">
        <v>544</v>
      </c>
      <c r="R532" s="16" t="s">
        <v>2338</v>
      </c>
    </row>
    <row r="533" spans="13:18" x14ac:dyDescent="0.2">
      <c r="M533" s="20" t="str">
        <f t="shared" si="33"/>
        <v>AYACUCHO SUCRE CHILCAYOC</v>
      </c>
      <c r="N533" s="20">
        <f t="shared" si="34"/>
        <v>0</v>
      </c>
      <c r="O533" s="16" t="s">
        <v>459</v>
      </c>
      <c r="P533" s="16" t="s">
        <v>542</v>
      </c>
      <c r="Q533" s="16" t="s">
        <v>545</v>
      </c>
      <c r="R533" s="16" t="s">
        <v>2339</v>
      </c>
    </row>
    <row r="534" spans="13:18" x14ac:dyDescent="0.2">
      <c r="M534" s="20" t="str">
        <f t="shared" si="33"/>
        <v>AYACUCHO SUCRE HUACAÑA</v>
      </c>
      <c r="N534" s="20">
        <f t="shared" si="34"/>
        <v>0</v>
      </c>
      <c r="O534" s="16" t="s">
        <v>459</v>
      </c>
      <c r="P534" s="16" t="s">
        <v>542</v>
      </c>
      <c r="Q534" s="16" t="s">
        <v>547</v>
      </c>
      <c r="R534" s="16" t="s">
        <v>2340</v>
      </c>
    </row>
    <row r="535" spans="13:18" x14ac:dyDescent="0.2">
      <c r="M535" s="20" t="str">
        <f t="shared" si="33"/>
        <v>AYACUCHO SUCRE MORCOLLA</v>
      </c>
      <c r="N535" s="20">
        <f t="shared" si="34"/>
        <v>0</v>
      </c>
      <c r="O535" s="16" t="s">
        <v>459</v>
      </c>
      <c r="P535" s="16" t="s">
        <v>542</v>
      </c>
      <c r="Q535" s="16" t="s">
        <v>548</v>
      </c>
      <c r="R535" s="16" t="s">
        <v>2341</v>
      </c>
    </row>
    <row r="536" spans="13:18" x14ac:dyDescent="0.2">
      <c r="M536" s="20" t="str">
        <f t="shared" si="33"/>
        <v>AYACUCHO SUCRE PAICO</v>
      </c>
      <c r="N536" s="20">
        <f t="shared" si="34"/>
        <v>0</v>
      </c>
      <c r="O536" s="16" t="s">
        <v>459</v>
      </c>
      <c r="P536" s="16" t="s">
        <v>542</v>
      </c>
      <c r="Q536" s="16" t="s">
        <v>549</v>
      </c>
      <c r="R536" s="16" t="s">
        <v>2342</v>
      </c>
    </row>
    <row r="537" spans="13:18" x14ac:dyDescent="0.2">
      <c r="M537" s="20" t="str">
        <f t="shared" si="33"/>
        <v>AYACUCHO SUCRE QUEROBAMBA</v>
      </c>
      <c r="N537" s="20">
        <f t="shared" si="34"/>
        <v>0</v>
      </c>
      <c r="O537" s="16" t="s">
        <v>459</v>
      </c>
      <c r="P537" s="16" t="s">
        <v>542</v>
      </c>
      <c r="Q537" s="16" t="s">
        <v>550</v>
      </c>
      <c r="R537" s="16" t="s">
        <v>2343</v>
      </c>
    </row>
    <row r="538" spans="13:18" x14ac:dyDescent="0.2">
      <c r="M538" s="20" t="str">
        <f t="shared" si="33"/>
        <v>AYACUCHO SUCRE SAN PEDRO DE LARCAY</v>
      </c>
      <c r="N538" s="20">
        <f t="shared" si="34"/>
        <v>0</v>
      </c>
      <c r="O538" s="16" t="s">
        <v>459</v>
      </c>
      <c r="P538" s="16" t="s">
        <v>542</v>
      </c>
      <c r="Q538" s="16" t="s">
        <v>551</v>
      </c>
      <c r="R538" s="16" t="s">
        <v>2344</v>
      </c>
    </row>
    <row r="539" spans="13:18" x14ac:dyDescent="0.2">
      <c r="M539" s="20" t="str">
        <f t="shared" si="33"/>
        <v>AYACUCHO SUCRE SAN SALVADOR DE QUIJE</v>
      </c>
      <c r="N539" s="20">
        <f t="shared" si="34"/>
        <v>0</v>
      </c>
      <c r="O539" s="16" t="s">
        <v>459</v>
      </c>
      <c r="P539" s="16" t="s">
        <v>542</v>
      </c>
      <c r="Q539" s="16" t="s">
        <v>552</v>
      </c>
      <c r="R539" s="16" t="s">
        <v>2345</v>
      </c>
    </row>
    <row r="540" spans="13:18" x14ac:dyDescent="0.2">
      <c r="M540" s="20" t="str">
        <f t="shared" si="33"/>
        <v>AYACUCHO SUCRE SANTIAGO DE PAUCARAY</v>
      </c>
      <c r="N540" s="20">
        <f t="shared" si="34"/>
        <v>0</v>
      </c>
      <c r="O540" s="16" t="s">
        <v>459</v>
      </c>
      <c r="P540" s="16" t="s">
        <v>542</v>
      </c>
      <c r="Q540" s="16" t="s">
        <v>553</v>
      </c>
      <c r="R540" s="16" t="s">
        <v>2346</v>
      </c>
    </row>
    <row r="541" spans="13:18" x14ac:dyDescent="0.2">
      <c r="M541" s="20" t="str">
        <f t="shared" si="33"/>
        <v>AYACUCHO SUCRE SORAS</v>
      </c>
      <c r="N541" s="20">
        <f t="shared" si="34"/>
        <v>0</v>
      </c>
      <c r="O541" s="16" t="s">
        <v>459</v>
      </c>
      <c r="P541" s="16" t="s">
        <v>542</v>
      </c>
      <c r="Q541" s="16" t="s">
        <v>554</v>
      </c>
      <c r="R541" s="16" t="s">
        <v>2347</v>
      </c>
    </row>
    <row r="542" spans="13:18" x14ac:dyDescent="0.2">
      <c r="M542" s="20" t="str">
        <f t="shared" si="33"/>
        <v>AYACUCHO VICTOR FAJARDO ALCAMENCA</v>
      </c>
      <c r="N542" s="20">
        <f t="shared" si="34"/>
        <v>0</v>
      </c>
      <c r="O542" s="16" t="s">
        <v>459</v>
      </c>
      <c r="P542" s="16" t="s">
        <v>555</v>
      </c>
      <c r="Q542" s="16" t="s">
        <v>556</v>
      </c>
      <c r="R542" s="16" t="s">
        <v>2348</v>
      </c>
    </row>
    <row r="543" spans="13:18" x14ac:dyDescent="0.2">
      <c r="M543" s="20" t="str">
        <f t="shared" si="33"/>
        <v>AYACUCHO VICTOR FAJARDO APONGO</v>
      </c>
      <c r="N543" s="20">
        <f t="shared" si="34"/>
        <v>0</v>
      </c>
      <c r="O543" s="16" t="s">
        <v>459</v>
      </c>
      <c r="P543" s="16" t="s">
        <v>555</v>
      </c>
      <c r="Q543" s="16" t="s">
        <v>557</v>
      </c>
      <c r="R543" s="16" t="s">
        <v>2349</v>
      </c>
    </row>
    <row r="544" spans="13:18" x14ac:dyDescent="0.2">
      <c r="M544" s="20" t="str">
        <f t="shared" si="33"/>
        <v>AYACUCHO VICTOR FAJARDO ASQUIPATA</v>
      </c>
      <c r="N544" s="20">
        <f t="shared" si="34"/>
        <v>0</v>
      </c>
      <c r="O544" s="16" t="s">
        <v>459</v>
      </c>
      <c r="P544" s="16" t="s">
        <v>555</v>
      </c>
      <c r="Q544" s="16" t="s">
        <v>558</v>
      </c>
      <c r="R544" s="16" t="s">
        <v>2350</v>
      </c>
    </row>
    <row r="545" spans="13:18" x14ac:dyDescent="0.2">
      <c r="M545" s="20" t="str">
        <f t="shared" si="33"/>
        <v>AYACUCHO VICTOR FAJARDO CANARIA</v>
      </c>
      <c r="N545" s="20">
        <f t="shared" si="34"/>
        <v>0</v>
      </c>
      <c r="O545" s="16" t="s">
        <v>459</v>
      </c>
      <c r="P545" s="16" t="s">
        <v>555</v>
      </c>
      <c r="Q545" s="16" t="s">
        <v>559</v>
      </c>
      <c r="R545" s="16" t="s">
        <v>2351</v>
      </c>
    </row>
    <row r="546" spans="13:18" x14ac:dyDescent="0.2">
      <c r="M546" s="20" t="str">
        <f t="shared" si="33"/>
        <v>AYACUCHO VICTOR FAJARDO CAYARA</v>
      </c>
      <c r="N546" s="20">
        <f t="shared" si="34"/>
        <v>0</v>
      </c>
      <c r="O546" s="16" t="s">
        <v>459</v>
      </c>
      <c r="P546" s="16" t="s">
        <v>555</v>
      </c>
      <c r="Q546" s="16" t="s">
        <v>560</v>
      </c>
      <c r="R546" s="16" t="s">
        <v>2352</v>
      </c>
    </row>
    <row r="547" spans="13:18" x14ac:dyDescent="0.2">
      <c r="M547" s="20" t="str">
        <f t="shared" si="33"/>
        <v>AYACUCHO VICTOR FAJARDO COLCA</v>
      </c>
      <c r="N547" s="20">
        <f t="shared" si="34"/>
        <v>0</v>
      </c>
      <c r="O547" s="16" t="s">
        <v>459</v>
      </c>
      <c r="P547" s="16" t="s">
        <v>555</v>
      </c>
      <c r="Q547" s="16" t="s">
        <v>561</v>
      </c>
      <c r="R547" s="16" t="s">
        <v>2353</v>
      </c>
    </row>
    <row r="548" spans="13:18" x14ac:dyDescent="0.2">
      <c r="M548" s="20" t="str">
        <f t="shared" si="33"/>
        <v>AYACUCHO VICTOR FAJARDO HUAMANQUIQUIA</v>
      </c>
      <c r="N548" s="20">
        <f t="shared" si="34"/>
        <v>0</v>
      </c>
      <c r="O548" s="16" t="s">
        <v>459</v>
      </c>
      <c r="P548" s="16" t="s">
        <v>555</v>
      </c>
      <c r="Q548" s="16" t="s">
        <v>562</v>
      </c>
      <c r="R548" s="16" t="s">
        <v>2354</v>
      </c>
    </row>
    <row r="549" spans="13:18" x14ac:dyDescent="0.2">
      <c r="M549" s="20" t="str">
        <f t="shared" si="33"/>
        <v>AYACUCHO VICTOR FAJARDO HUANCAPI</v>
      </c>
      <c r="N549" s="20">
        <f t="shared" si="34"/>
        <v>0</v>
      </c>
      <c r="O549" s="16" t="s">
        <v>459</v>
      </c>
      <c r="P549" s="16" t="s">
        <v>555</v>
      </c>
      <c r="Q549" s="16" t="s">
        <v>563</v>
      </c>
      <c r="R549" s="16" t="s">
        <v>2355</v>
      </c>
    </row>
    <row r="550" spans="13:18" x14ac:dyDescent="0.2">
      <c r="M550" s="20" t="str">
        <f t="shared" si="33"/>
        <v>AYACUCHO VICTOR FAJARDO HUANCARAYLLA</v>
      </c>
      <c r="N550" s="20">
        <f t="shared" si="34"/>
        <v>0</v>
      </c>
      <c r="O550" s="16" t="s">
        <v>459</v>
      </c>
      <c r="P550" s="16" t="s">
        <v>555</v>
      </c>
      <c r="Q550" s="16" t="s">
        <v>564</v>
      </c>
      <c r="R550" s="16" t="s">
        <v>2356</v>
      </c>
    </row>
    <row r="551" spans="13:18" x14ac:dyDescent="0.2">
      <c r="M551" s="20" t="str">
        <f t="shared" si="33"/>
        <v>AYACUCHO VICTOR FAJARDO HUAYA</v>
      </c>
      <c r="N551" s="20">
        <f t="shared" si="34"/>
        <v>0</v>
      </c>
      <c r="O551" s="16" t="s">
        <v>459</v>
      </c>
      <c r="P551" s="16" t="s">
        <v>555</v>
      </c>
      <c r="Q551" s="16" t="s">
        <v>565</v>
      </c>
      <c r="R551" s="16" t="s">
        <v>2357</v>
      </c>
    </row>
    <row r="552" spans="13:18" x14ac:dyDescent="0.2">
      <c r="M552" s="20" t="str">
        <f t="shared" si="33"/>
        <v>AYACUCHO VICTOR FAJARDO SARHUA</v>
      </c>
      <c r="N552" s="20">
        <f t="shared" si="34"/>
        <v>0</v>
      </c>
      <c r="O552" s="16" t="s">
        <v>459</v>
      </c>
      <c r="P552" s="16" t="s">
        <v>555</v>
      </c>
      <c r="Q552" s="16" t="s">
        <v>566</v>
      </c>
      <c r="R552" s="16" t="s">
        <v>2358</v>
      </c>
    </row>
    <row r="553" spans="13:18" x14ac:dyDescent="0.2">
      <c r="M553" s="20" t="str">
        <f t="shared" si="33"/>
        <v>AYACUCHO VICTOR FAJARDO VILCANCHOS</v>
      </c>
      <c r="N553" s="20">
        <f t="shared" si="34"/>
        <v>0</v>
      </c>
      <c r="O553" s="16" t="s">
        <v>459</v>
      </c>
      <c r="P553" s="16" t="s">
        <v>555</v>
      </c>
      <c r="Q553" s="16" t="s">
        <v>567</v>
      </c>
      <c r="R553" s="16" t="s">
        <v>2359</v>
      </c>
    </row>
    <row r="554" spans="13:18" x14ac:dyDescent="0.2">
      <c r="M554" s="20" t="str">
        <f t="shared" si="33"/>
        <v>AYACUCHO VILCAS HUAMAN ACCOMARCA</v>
      </c>
      <c r="N554" s="20">
        <f t="shared" si="34"/>
        <v>0</v>
      </c>
      <c r="O554" s="16" t="s">
        <v>459</v>
      </c>
      <c r="P554" s="16" t="s">
        <v>568</v>
      </c>
      <c r="Q554" s="16" t="s">
        <v>569</v>
      </c>
      <c r="R554" s="16" t="s">
        <v>2360</v>
      </c>
    </row>
    <row r="555" spans="13:18" x14ac:dyDescent="0.2">
      <c r="M555" s="20" t="str">
        <f t="shared" si="33"/>
        <v>AYACUCHO VILCAS HUAMAN CARHUANCA</v>
      </c>
      <c r="N555" s="20">
        <f t="shared" si="34"/>
        <v>0</v>
      </c>
      <c r="O555" s="16" t="s">
        <v>459</v>
      </c>
      <c r="P555" s="16" t="s">
        <v>568</v>
      </c>
      <c r="Q555" s="16" t="s">
        <v>570</v>
      </c>
      <c r="R555" s="16" t="s">
        <v>2361</v>
      </c>
    </row>
    <row r="556" spans="13:18" x14ac:dyDescent="0.2">
      <c r="M556" s="20" t="str">
        <f t="shared" si="33"/>
        <v>AYACUCHO VILCAS HUAMAN CONCEPCION</v>
      </c>
      <c r="N556" s="20">
        <f t="shared" si="34"/>
        <v>0</v>
      </c>
      <c r="O556" s="16" t="s">
        <v>459</v>
      </c>
      <c r="P556" s="16" t="s">
        <v>568</v>
      </c>
      <c r="Q556" s="16" t="s">
        <v>571</v>
      </c>
      <c r="R556" s="16" t="s">
        <v>2362</v>
      </c>
    </row>
    <row r="557" spans="13:18" x14ac:dyDescent="0.2">
      <c r="M557" s="20" t="str">
        <f t="shared" si="33"/>
        <v>AYACUCHO VILCAS HUAMAN HUAMBALPA</v>
      </c>
      <c r="N557" s="20">
        <f t="shared" si="34"/>
        <v>0</v>
      </c>
      <c r="O557" s="16" t="s">
        <v>459</v>
      </c>
      <c r="P557" s="16" t="s">
        <v>568</v>
      </c>
      <c r="Q557" s="16" t="s">
        <v>572</v>
      </c>
      <c r="R557" s="16" t="s">
        <v>2363</v>
      </c>
    </row>
    <row r="558" spans="13:18" x14ac:dyDescent="0.2">
      <c r="M558" s="20" t="str">
        <f t="shared" si="33"/>
        <v>AYACUCHO VILCAS HUAMAN INDEPENDENCIA</v>
      </c>
      <c r="N558" s="20">
        <f t="shared" si="34"/>
        <v>0</v>
      </c>
      <c r="O558" s="16" t="s">
        <v>459</v>
      </c>
      <c r="P558" s="16" t="s">
        <v>568</v>
      </c>
      <c r="Q558" s="16" t="s">
        <v>157</v>
      </c>
      <c r="R558" s="16" t="s">
        <v>2364</v>
      </c>
    </row>
    <row r="559" spans="13:18" x14ac:dyDescent="0.2">
      <c r="M559" s="20" t="str">
        <f t="shared" si="33"/>
        <v>AYACUCHO VILCAS HUAMAN SAURAMA</v>
      </c>
      <c r="N559" s="20">
        <f t="shared" si="34"/>
        <v>0</v>
      </c>
      <c r="O559" s="16" t="s">
        <v>459</v>
      </c>
      <c r="P559" s="16" t="s">
        <v>568</v>
      </c>
      <c r="Q559" s="16" t="s">
        <v>573</v>
      </c>
      <c r="R559" s="16" t="s">
        <v>2365</v>
      </c>
    </row>
    <row r="560" spans="13:18" x14ac:dyDescent="0.2">
      <c r="M560" s="20" t="str">
        <f t="shared" si="33"/>
        <v>AYACUCHO VILCAS HUAMAN VILCAS HUAMAN</v>
      </c>
      <c r="N560" s="20">
        <f t="shared" si="34"/>
        <v>0</v>
      </c>
      <c r="O560" s="16" t="s">
        <v>459</v>
      </c>
      <c r="P560" s="16" t="s">
        <v>568</v>
      </c>
      <c r="Q560" s="16" t="s">
        <v>568</v>
      </c>
      <c r="R560" s="16" t="s">
        <v>2366</v>
      </c>
    </row>
    <row r="561" spans="13:18" x14ac:dyDescent="0.2">
      <c r="M561" s="20" t="str">
        <f t="shared" si="33"/>
        <v>AYACUCHO VILCAS HUAMAN VISCHONGO</v>
      </c>
      <c r="N561" s="20">
        <f t="shared" si="34"/>
        <v>0</v>
      </c>
      <c r="O561" s="16" t="s">
        <v>459</v>
      </c>
      <c r="P561" s="16" t="s">
        <v>568</v>
      </c>
      <c r="Q561" s="16" t="s">
        <v>574</v>
      </c>
      <c r="R561" s="16" t="s">
        <v>2367</v>
      </c>
    </row>
    <row r="562" spans="13:18" x14ac:dyDescent="0.2">
      <c r="M562" s="20" t="str">
        <f t="shared" si="33"/>
        <v>CAJAMARCA CAJABAMBA CACHACHI</v>
      </c>
      <c r="N562" s="20">
        <f t="shared" si="34"/>
        <v>0</v>
      </c>
      <c r="O562" s="16" t="s">
        <v>575</v>
      </c>
      <c r="P562" s="16" t="s">
        <v>576</v>
      </c>
      <c r="Q562" s="16" t="s">
        <v>577</v>
      </c>
      <c r="R562" s="16" t="s">
        <v>2368</v>
      </c>
    </row>
    <row r="563" spans="13:18" x14ac:dyDescent="0.2">
      <c r="M563" s="20" t="str">
        <f t="shared" si="33"/>
        <v>CAJAMARCA CAJABAMBA CAJABAMBA</v>
      </c>
      <c r="N563" s="20">
        <f t="shared" si="34"/>
        <v>0</v>
      </c>
      <c r="O563" s="16" t="s">
        <v>575</v>
      </c>
      <c r="P563" s="16" t="s">
        <v>576</v>
      </c>
      <c r="Q563" s="16" t="s">
        <v>576</v>
      </c>
      <c r="R563" s="16" t="s">
        <v>2369</v>
      </c>
    </row>
    <row r="564" spans="13:18" x14ac:dyDescent="0.2">
      <c r="M564" s="20" t="str">
        <f t="shared" si="33"/>
        <v>CAJAMARCA CAJABAMBA CONDEBAMBA</v>
      </c>
      <c r="N564" s="20">
        <f t="shared" si="34"/>
        <v>0</v>
      </c>
      <c r="O564" s="16" t="s">
        <v>575</v>
      </c>
      <c r="P564" s="16" t="s">
        <v>576</v>
      </c>
      <c r="Q564" s="16" t="s">
        <v>578</v>
      </c>
      <c r="R564" s="16" t="s">
        <v>2370</v>
      </c>
    </row>
    <row r="565" spans="13:18" x14ac:dyDescent="0.2">
      <c r="M565" s="20" t="str">
        <f t="shared" si="33"/>
        <v>CAJAMARCA CAJABAMBA SITACOCHA</v>
      </c>
      <c r="N565" s="20">
        <f t="shared" si="34"/>
        <v>0</v>
      </c>
      <c r="O565" s="16" t="s">
        <v>575</v>
      </c>
      <c r="P565" s="16" t="s">
        <v>576</v>
      </c>
      <c r="Q565" s="16" t="s">
        <v>579</v>
      </c>
      <c r="R565" s="16" t="s">
        <v>2371</v>
      </c>
    </row>
    <row r="566" spans="13:18" x14ac:dyDescent="0.2">
      <c r="M566" s="20" t="str">
        <f t="shared" si="33"/>
        <v>CAJAMARCA CAJAMARCA ASUNCION</v>
      </c>
      <c r="N566" s="20">
        <f t="shared" si="34"/>
        <v>0</v>
      </c>
      <c r="O566" s="16" t="s">
        <v>575</v>
      </c>
      <c r="P566" s="16" t="s">
        <v>575</v>
      </c>
      <c r="Q566" s="16" t="s">
        <v>27</v>
      </c>
      <c r="R566" s="16" t="s">
        <v>2372</v>
      </c>
    </row>
    <row r="567" spans="13:18" x14ac:dyDescent="0.2">
      <c r="M567" s="20" t="str">
        <f t="shared" si="33"/>
        <v>CAJAMARCA CAJAMARCA CAJAMARCA</v>
      </c>
      <c r="N567" s="20">
        <f t="shared" si="34"/>
        <v>0</v>
      </c>
      <c r="O567" s="16" t="s">
        <v>575</v>
      </c>
      <c r="P567" s="16" t="s">
        <v>575</v>
      </c>
      <c r="Q567" s="16" t="s">
        <v>575</v>
      </c>
      <c r="R567" s="16" t="s">
        <v>2373</v>
      </c>
    </row>
    <row r="568" spans="13:18" x14ac:dyDescent="0.2">
      <c r="M568" s="20" t="str">
        <f t="shared" si="33"/>
        <v>CAJAMARCA CAJAMARCA CHETILLA</v>
      </c>
      <c r="N568" s="20">
        <f t="shared" si="34"/>
        <v>0</v>
      </c>
      <c r="O568" s="16" t="s">
        <v>575</v>
      </c>
      <c r="P568" s="16" t="s">
        <v>575</v>
      </c>
      <c r="Q568" s="16" t="s">
        <v>580</v>
      </c>
      <c r="R568" s="16" t="s">
        <v>2374</v>
      </c>
    </row>
    <row r="569" spans="13:18" x14ac:dyDescent="0.2">
      <c r="M569" s="20" t="str">
        <f t="shared" si="33"/>
        <v>CAJAMARCA CAJAMARCA COSPAN</v>
      </c>
      <c r="N569" s="20">
        <f t="shared" si="34"/>
        <v>0</v>
      </c>
      <c r="O569" s="16" t="s">
        <v>575</v>
      </c>
      <c r="P569" s="16" t="s">
        <v>575</v>
      </c>
      <c r="Q569" s="16" t="s">
        <v>581</v>
      </c>
      <c r="R569" s="16" t="s">
        <v>2375</v>
      </c>
    </row>
    <row r="570" spans="13:18" x14ac:dyDescent="0.2">
      <c r="M570" s="20" t="str">
        <f t="shared" si="33"/>
        <v>CAJAMARCA CAJAMARCA ENCAÑADA</v>
      </c>
      <c r="N570" s="20">
        <f t="shared" si="34"/>
        <v>0</v>
      </c>
      <c r="O570" s="16" t="s">
        <v>575</v>
      </c>
      <c r="P570" s="16" t="s">
        <v>575</v>
      </c>
      <c r="Q570" s="16" t="s">
        <v>582</v>
      </c>
      <c r="R570" s="16" t="s">
        <v>2376</v>
      </c>
    </row>
    <row r="571" spans="13:18" x14ac:dyDescent="0.2">
      <c r="M571" s="20" t="str">
        <f t="shared" si="33"/>
        <v>CAJAMARCA CAJAMARCA JESUS</v>
      </c>
      <c r="N571" s="20">
        <f t="shared" si="34"/>
        <v>0</v>
      </c>
      <c r="O571" s="16" t="s">
        <v>575</v>
      </c>
      <c r="P571" s="16" t="s">
        <v>575</v>
      </c>
      <c r="Q571" s="16" t="s">
        <v>583</v>
      </c>
      <c r="R571" s="16" t="s">
        <v>2377</v>
      </c>
    </row>
    <row r="572" spans="13:18" x14ac:dyDescent="0.2">
      <c r="M572" s="20" t="str">
        <f t="shared" si="33"/>
        <v>CAJAMARCA CAJAMARCA LLACANORA</v>
      </c>
      <c r="N572" s="20">
        <f t="shared" si="34"/>
        <v>0</v>
      </c>
      <c r="O572" s="16" t="s">
        <v>575</v>
      </c>
      <c r="P572" s="16" t="s">
        <v>575</v>
      </c>
      <c r="Q572" s="16" t="s">
        <v>584</v>
      </c>
      <c r="R572" s="16" t="s">
        <v>2378</v>
      </c>
    </row>
    <row r="573" spans="13:18" x14ac:dyDescent="0.2">
      <c r="M573" s="20" t="str">
        <f t="shared" si="33"/>
        <v>CAJAMARCA CAJAMARCA LOS BAÑOS DEL INCA</v>
      </c>
      <c r="N573" s="20">
        <f t="shared" si="34"/>
        <v>0</v>
      </c>
      <c r="O573" s="16" t="s">
        <v>575</v>
      </c>
      <c r="P573" s="16" t="s">
        <v>575</v>
      </c>
      <c r="Q573" s="16" t="s">
        <v>585</v>
      </c>
      <c r="R573" s="16" t="s">
        <v>2379</v>
      </c>
    </row>
    <row r="574" spans="13:18" x14ac:dyDescent="0.2">
      <c r="M574" s="20" t="str">
        <f t="shared" si="33"/>
        <v>CAJAMARCA CAJAMARCA MAGDALENA</v>
      </c>
      <c r="N574" s="20">
        <f t="shared" si="34"/>
        <v>0</v>
      </c>
      <c r="O574" s="16" t="s">
        <v>575</v>
      </c>
      <c r="P574" s="16" t="s">
        <v>575</v>
      </c>
      <c r="Q574" s="16" t="s">
        <v>37</v>
      </c>
      <c r="R574" s="16" t="s">
        <v>2380</v>
      </c>
    </row>
    <row r="575" spans="13:18" x14ac:dyDescent="0.2">
      <c r="M575" s="20" t="str">
        <f t="shared" si="33"/>
        <v>CAJAMARCA CAJAMARCA MATARA</v>
      </c>
      <c r="N575" s="20">
        <f t="shared" si="34"/>
        <v>0</v>
      </c>
      <c r="O575" s="16" t="s">
        <v>575</v>
      </c>
      <c r="P575" s="16" t="s">
        <v>575</v>
      </c>
      <c r="Q575" s="16" t="s">
        <v>586</v>
      </c>
      <c r="R575" s="16" t="s">
        <v>2381</v>
      </c>
    </row>
    <row r="576" spans="13:18" x14ac:dyDescent="0.2">
      <c r="M576" s="20" t="str">
        <f t="shared" si="33"/>
        <v>CAJAMARCA CAJAMARCA NAMORA</v>
      </c>
      <c r="N576" s="20">
        <f t="shared" si="34"/>
        <v>0</v>
      </c>
      <c r="O576" s="16" t="s">
        <v>575</v>
      </c>
      <c r="P576" s="16" t="s">
        <v>575</v>
      </c>
      <c r="Q576" s="16" t="s">
        <v>587</v>
      </c>
      <c r="R576" s="16" t="s">
        <v>2382</v>
      </c>
    </row>
    <row r="577" spans="13:18" x14ac:dyDescent="0.2">
      <c r="M577" s="20" t="str">
        <f t="shared" si="33"/>
        <v>CAJAMARCA CAJAMARCA SAN JUAN</v>
      </c>
      <c r="N577" s="20">
        <f t="shared" si="34"/>
        <v>0</v>
      </c>
      <c r="O577" s="16" t="s">
        <v>575</v>
      </c>
      <c r="P577" s="16" t="s">
        <v>575</v>
      </c>
      <c r="Q577" s="16" t="s">
        <v>255</v>
      </c>
      <c r="R577" s="16" t="s">
        <v>2383</v>
      </c>
    </row>
    <row r="578" spans="13:18" x14ac:dyDescent="0.2">
      <c r="M578" s="20" t="str">
        <f t="shared" si="33"/>
        <v>CAJAMARCA CELENDIN CELENDIN</v>
      </c>
      <c r="N578" s="20">
        <f t="shared" si="34"/>
        <v>0</v>
      </c>
      <c r="O578" s="16" t="s">
        <v>575</v>
      </c>
      <c r="P578" s="16" t="s">
        <v>588</v>
      </c>
      <c r="Q578" s="16" t="s">
        <v>588</v>
      </c>
      <c r="R578" s="16" t="s">
        <v>2384</v>
      </c>
    </row>
    <row r="579" spans="13:18" x14ac:dyDescent="0.2">
      <c r="M579" s="20" t="str">
        <f t="shared" ref="M579:M642" si="35">O579&amp;" "&amp;P579&amp;" "&amp;Q579</f>
        <v>CAJAMARCA CELENDIN CHUMUCH</v>
      </c>
      <c r="N579" s="20">
        <f t="shared" ref="N579:N642" si="36">IF(AND($D$9=O579,$D$10=P579),N578+1,0)</f>
        <v>0</v>
      </c>
      <c r="O579" s="16" t="s">
        <v>575</v>
      </c>
      <c r="P579" s="16" t="s">
        <v>588</v>
      </c>
      <c r="Q579" s="16" t="s">
        <v>589</v>
      </c>
      <c r="R579" s="16" t="s">
        <v>2385</v>
      </c>
    </row>
    <row r="580" spans="13:18" x14ac:dyDescent="0.2">
      <c r="M580" s="20" t="str">
        <f t="shared" si="35"/>
        <v>CAJAMARCA CELENDIN CORTEGANA</v>
      </c>
      <c r="N580" s="20">
        <f t="shared" si="36"/>
        <v>0</v>
      </c>
      <c r="O580" s="16" t="s">
        <v>575</v>
      </c>
      <c r="P580" s="16" t="s">
        <v>588</v>
      </c>
      <c r="Q580" s="16" t="s">
        <v>590</v>
      </c>
      <c r="R580" s="16" t="s">
        <v>2386</v>
      </c>
    </row>
    <row r="581" spans="13:18" x14ac:dyDescent="0.2">
      <c r="M581" s="20" t="str">
        <f t="shared" si="35"/>
        <v>CAJAMARCA CELENDIN HUASMIN</v>
      </c>
      <c r="N581" s="20">
        <f t="shared" si="36"/>
        <v>0</v>
      </c>
      <c r="O581" s="16" t="s">
        <v>575</v>
      </c>
      <c r="P581" s="16" t="s">
        <v>588</v>
      </c>
      <c r="Q581" s="16" t="s">
        <v>591</v>
      </c>
      <c r="R581" s="16" t="s">
        <v>2387</v>
      </c>
    </row>
    <row r="582" spans="13:18" x14ac:dyDescent="0.2">
      <c r="M582" s="20" t="str">
        <f t="shared" si="35"/>
        <v>CAJAMARCA CELENDIN JORGE CHAVEZ</v>
      </c>
      <c r="N582" s="20">
        <f t="shared" si="36"/>
        <v>0</v>
      </c>
      <c r="O582" s="16" t="s">
        <v>575</v>
      </c>
      <c r="P582" s="16" t="s">
        <v>588</v>
      </c>
      <c r="Q582" s="16" t="s">
        <v>19</v>
      </c>
      <c r="R582" s="16" t="s">
        <v>2388</v>
      </c>
    </row>
    <row r="583" spans="13:18" x14ac:dyDescent="0.2">
      <c r="M583" s="20" t="str">
        <f t="shared" si="35"/>
        <v>CAJAMARCA CELENDIN JOSE GALVEZ</v>
      </c>
      <c r="N583" s="20">
        <f t="shared" si="36"/>
        <v>0</v>
      </c>
      <c r="O583" s="16" t="s">
        <v>575</v>
      </c>
      <c r="P583" s="16" t="s">
        <v>588</v>
      </c>
      <c r="Q583" s="16" t="s">
        <v>592</v>
      </c>
      <c r="R583" s="16" t="s">
        <v>2389</v>
      </c>
    </row>
    <row r="584" spans="13:18" x14ac:dyDescent="0.2">
      <c r="M584" s="20" t="str">
        <f t="shared" si="35"/>
        <v>CAJAMARCA CELENDIN LA LIBERTAD DE PALLAN</v>
      </c>
      <c r="N584" s="20">
        <f t="shared" si="36"/>
        <v>0</v>
      </c>
      <c r="O584" s="16" t="s">
        <v>575</v>
      </c>
      <c r="P584" s="16" t="s">
        <v>588</v>
      </c>
      <c r="Q584" s="16" t="s">
        <v>593</v>
      </c>
      <c r="R584" s="16" t="s">
        <v>2390</v>
      </c>
    </row>
    <row r="585" spans="13:18" x14ac:dyDescent="0.2">
      <c r="M585" s="20" t="str">
        <f t="shared" si="35"/>
        <v>CAJAMARCA CELENDIN MIGUEL IGLESIAS</v>
      </c>
      <c r="N585" s="20">
        <f t="shared" si="36"/>
        <v>0</v>
      </c>
      <c r="O585" s="16" t="s">
        <v>575</v>
      </c>
      <c r="P585" s="16" t="s">
        <v>588</v>
      </c>
      <c r="Q585" s="16" t="s">
        <v>594</v>
      </c>
      <c r="R585" s="16" t="s">
        <v>2391</v>
      </c>
    </row>
    <row r="586" spans="13:18" x14ac:dyDescent="0.2">
      <c r="M586" s="20" t="str">
        <f t="shared" si="35"/>
        <v>CAJAMARCA CELENDIN OXAMARCA</v>
      </c>
      <c r="N586" s="20">
        <f t="shared" si="36"/>
        <v>0</v>
      </c>
      <c r="O586" s="16" t="s">
        <v>575</v>
      </c>
      <c r="P586" s="16" t="s">
        <v>588</v>
      </c>
      <c r="Q586" s="16" t="s">
        <v>595</v>
      </c>
      <c r="R586" s="16" t="s">
        <v>2392</v>
      </c>
    </row>
    <row r="587" spans="13:18" x14ac:dyDescent="0.2">
      <c r="M587" s="20" t="str">
        <f t="shared" si="35"/>
        <v>CAJAMARCA CELENDIN SOROCHUCO</v>
      </c>
      <c r="N587" s="20">
        <f t="shared" si="36"/>
        <v>0</v>
      </c>
      <c r="O587" s="16" t="s">
        <v>575</v>
      </c>
      <c r="P587" s="16" t="s">
        <v>588</v>
      </c>
      <c r="Q587" s="16" t="s">
        <v>596</v>
      </c>
      <c r="R587" s="16" t="s">
        <v>2393</v>
      </c>
    </row>
    <row r="588" spans="13:18" x14ac:dyDescent="0.2">
      <c r="M588" s="20" t="str">
        <f t="shared" si="35"/>
        <v>CAJAMARCA CELENDIN SUCRE</v>
      </c>
      <c r="N588" s="20">
        <f t="shared" si="36"/>
        <v>0</v>
      </c>
      <c r="O588" s="16" t="s">
        <v>575</v>
      </c>
      <c r="P588" s="16" t="s">
        <v>588</v>
      </c>
      <c r="Q588" s="16" t="s">
        <v>542</v>
      </c>
      <c r="R588" s="16" t="s">
        <v>2394</v>
      </c>
    </row>
    <row r="589" spans="13:18" x14ac:dyDescent="0.2">
      <c r="M589" s="20" t="str">
        <f t="shared" si="35"/>
        <v>CAJAMARCA CELENDIN UTCO</v>
      </c>
      <c r="N589" s="20">
        <f t="shared" si="36"/>
        <v>0</v>
      </c>
      <c r="O589" s="16" t="s">
        <v>575</v>
      </c>
      <c r="P589" s="16" t="s">
        <v>588</v>
      </c>
      <c r="Q589" s="16" t="s">
        <v>597</v>
      </c>
      <c r="R589" s="16" t="s">
        <v>2395</v>
      </c>
    </row>
    <row r="590" spans="13:18" x14ac:dyDescent="0.2">
      <c r="M590" s="20" t="str">
        <f t="shared" si="35"/>
        <v>CAJAMARCA CHOTA ANGUIA</v>
      </c>
      <c r="N590" s="20">
        <f t="shared" si="36"/>
        <v>0</v>
      </c>
      <c r="O590" s="16" t="s">
        <v>575</v>
      </c>
      <c r="P590" s="16" t="s">
        <v>598</v>
      </c>
      <c r="Q590" s="16" t="s">
        <v>599</v>
      </c>
      <c r="R590" s="16" t="s">
        <v>2396</v>
      </c>
    </row>
    <row r="591" spans="13:18" x14ac:dyDescent="0.2">
      <c r="M591" s="20" t="str">
        <f t="shared" si="35"/>
        <v>CAJAMARCA CHOTA CHADIN</v>
      </c>
      <c r="N591" s="20">
        <f t="shared" si="36"/>
        <v>0</v>
      </c>
      <c r="O591" s="16" t="s">
        <v>575</v>
      </c>
      <c r="P591" s="16" t="s">
        <v>598</v>
      </c>
      <c r="Q591" s="16" t="s">
        <v>600</v>
      </c>
      <c r="R591" s="16" t="s">
        <v>2397</v>
      </c>
    </row>
    <row r="592" spans="13:18" x14ac:dyDescent="0.2">
      <c r="M592" s="20" t="str">
        <f t="shared" si="35"/>
        <v>CAJAMARCA CHOTA CHALAMARCA</v>
      </c>
      <c r="N592" s="20">
        <f t="shared" si="36"/>
        <v>0</v>
      </c>
      <c r="O592" s="16" t="s">
        <v>575</v>
      </c>
      <c r="P592" s="16" t="s">
        <v>598</v>
      </c>
      <c r="Q592" s="16" t="s">
        <v>601</v>
      </c>
      <c r="R592" s="16" t="s">
        <v>2398</v>
      </c>
    </row>
    <row r="593" spans="13:18" x14ac:dyDescent="0.2">
      <c r="M593" s="20" t="str">
        <f t="shared" si="35"/>
        <v>CAJAMARCA CHOTA CHIGUIRIP</v>
      </c>
      <c r="N593" s="20">
        <f t="shared" si="36"/>
        <v>0</v>
      </c>
      <c r="O593" s="16" t="s">
        <v>575</v>
      </c>
      <c r="P593" s="16" t="s">
        <v>598</v>
      </c>
      <c r="Q593" s="16" t="s">
        <v>602</v>
      </c>
      <c r="R593" s="16" t="s">
        <v>2399</v>
      </c>
    </row>
    <row r="594" spans="13:18" x14ac:dyDescent="0.2">
      <c r="M594" s="20" t="str">
        <f t="shared" si="35"/>
        <v>CAJAMARCA CHOTA CHIMBAN</v>
      </c>
      <c r="N594" s="20">
        <f t="shared" si="36"/>
        <v>0</v>
      </c>
      <c r="O594" s="16" t="s">
        <v>575</v>
      </c>
      <c r="P594" s="16" t="s">
        <v>598</v>
      </c>
      <c r="Q594" s="16" t="s">
        <v>603</v>
      </c>
      <c r="R594" s="16" t="s">
        <v>2400</v>
      </c>
    </row>
    <row r="595" spans="13:18" x14ac:dyDescent="0.2">
      <c r="M595" s="20" t="str">
        <f t="shared" si="35"/>
        <v>CAJAMARCA CHOTA CHOROPAMPA</v>
      </c>
      <c r="N595" s="20">
        <f t="shared" si="36"/>
        <v>0</v>
      </c>
      <c r="O595" s="16" t="s">
        <v>575</v>
      </c>
      <c r="P595" s="16" t="s">
        <v>598</v>
      </c>
      <c r="Q595" s="16" t="s">
        <v>604</v>
      </c>
      <c r="R595" s="16" t="s">
        <v>2401</v>
      </c>
    </row>
    <row r="596" spans="13:18" x14ac:dyDescent="0.2">
      <c r="M596" s="20" t="str">
        <f t="shared" si="35"/>
        <v>CAJAMARCA CHOTA CHOTA</v>
      </c>
      <c r="N596" s="20">
        <f t="shared" si="36"/>
        <v>0</v>
      </c>
      <c r="O596" s="16" t="s">
        <v>575</v>
      </c>
      <c r="P596" s="16" t="s">
        <v>598</v>
      </c>
      <c r="Q596" s="16" t="s">
        <v>598</v>
      </c>
      <c r="R596" s="16" t="s">
        <v>2402</v>
      </c>
    </row>
    <row r="597" spans="13:18" x14ac:dyDescent="0.2">
      <c r="M597" s="20" t="str">
        <f t="shared" si="35"/>
        <v>CAJAMARCA CHOTA COCHABAMBA</v>
      </c>
      <c r="N597" s="20">
        <f t="shared" si="36"/>
        <v>0</v>
      </c>
      <c r="O597" s="16" t="s">
        <v>575</v>
      </c>
      <c r="P597" s="16" t="s">
        <v>598</v>
      </c>
      <c r="Q597" s="16" t="s">
        <v>154</v>
      </c>
      <c r="R597" s="16" t="s">
        <v>2403</v>
      </c>
    </row>
    <row r="598" spans="13:18" x14ac:dyDescent="0.2">
      <c r="M598" s="20" t="str">
        <f t="shared" si="35"/>
        <v>CAJAMARCA CHOTA CONCHAN</v>
      </c>
      <c r="N598" s="20">
        <f t="shared" si="36"/>
        <v>0</v>
      </c>
      <c r="O598" s="16" t="s">
        <v>575</v>
      </c>
      <c r="P598" s="16" t="s">
        <v>598</v>
      </c>
      <c r="Q598" s="16" t="s">
        <v>605</v>
      </c>
      <c r="R598" s="16" t="s">
        <v>2404</v>
      </c>
    </row>
    <row r="599" spans="13:18" x14ac:dyDescent="0.2">
      <c r="M599" s="20" t="str">
        <f t="shared" si="35"/>
        <v>CAJAMARCA CHOTA HUAMBOS</v>
      </c>
      <c r="N599" s="20">
        <f t="shared" si="36"/>
        <v>0</v>
      </c>
      <c r="O599" s="16" t="s">
        <v>575</v>
      </c>
      <c r="P599" s="16" t="s">
        <v>598</v>
      </c>
      <c r="Q599" s="16" t="s">
        <v>606</v>
      </c>
      <c r="R599" s="16" t="s">
        <v>2405</v>
      </c>
    </row>
    <row r="600" spans="13:18" x14ac:dyDescent="0.2">
      <c r="M600" s="20" t="str">
        <f t="shared" si="35"/>
        <v>CAJAMARCA CHOTA LAJAS</v>
      </c>
      <c r="N600" s="20">
        <f t="shared" si="36"/>
        <v>0</v>
      </c>
      <c r="O600" s="16" t="s">
        <v>575</v>
      </c>
      <c r="P600" s="16" t="s">
        <v>598</v>
      </c>
      <c r="Q600" s="16" t="s">
        <v>607</v>
      </c>
      <c r="R600" s="16" t="s">
        <v>2406</v>
      </c>
    </row>
    <row r="601" spans="13:18" x14ac:dyDescent="0.2">
      <c r="M601" s="20" t="str">
        <f t="shared" si="35"/>
        <v>CAJAMARCA CHOTA LLAMA</v>
      </c>
      <c r="N601" s="20">
        <f t="shared" si="36"/>
        <v>0</v>
      </c>
      <c r="O601" s="16" t="s">
        <v>575</v>
      </c>
      <c r="P601" s="16" t="s">
        <v>598</v>
      </c>
      <c r="Q601" s="16" t="s">
        <v>198</v>
      </c>
      <c r="R601" s="16" t="s">
        <v>2407</v>
      </c>
    </row>
    <row r="602" spans="13:18" x14ac:dyDescent="0.2">
      <c r="M602" s="20" t="str">
        <f t="shared" si="35"/>
        <v>CAJAMARCA CHOTA MIRACOSTA</v>
      </c>
      <c r="N602" s="20">
        <f t="shared" si="36"/>
        <v>0</v>
      </c>
      <c r="O602" s="16" t="s">
        <v>575</v>
      </c>
      <c r="P602" s="16" t="s">
        <v>598</v>
      </c>
      <c r="Q602" s="16" t="s">
        <v>609</v>
      </c>
      <c r="R602" s="16" t="s">
        <v>2408</v>
      </c>
    </row>
    <row r="603" spans="13:18" x14ac:dyDescent="0.2">
      <c r="M603" s="20" t="str">
        <f t="shared" si="35"/>
        <v>CAJAMARCA CHOTA PACCHA</v>
      </c>
      <c r="N603" s="20">
        <f t="shared" si="36"/>
        <v>0</v>
      </c>
      <c r="O603" s="16" t="s">
        <v>575</v>
      </c>
      <c r="P603" s="16" t="s">
        <v>598</v>
      </c>
      <c r="Q603" s="16" t="s">
        <v>610</v>
      </c>
      <c r="R603" s="16" t="s">
        <v>2409</v>
      </c>
    </row>
    <row r="604" spans="13:18" x14ac:dyDescent="0.2">
      <c r="M604" s="20" t="str">
        <f t="shared" si="35"/>
        <v>CAJAMARCA CHOTA PION</v>
      </c>
      <c r="N604" s="20">
        <f t="shared" si="36"/>
        <v>0</v>
      </c>
      <c r="O604" s="16" t="s">
        <v>575</v>
      </c>
      <c r="P604" s="16" t="s">
        <v>598</v>
      </c>
      <c r="Q604" s="16" t="s">
        <v>611</v>
      </c>
      <c r="R604" s="16" t="s">
        <v>2410</v>
      </c>
    </row>
    <row r="605" spans="13:18" x14ac:dyDescent="0.2">
      <c r="M605" s="20" t="str">
        <f t="shared" si="35"/>
        <v>CAJAMARCA CHOTA QUEROCOTO</v>
      </c>
      <c r="N605" s="20">
        <f t="shared" si="36"/>
        <v>0</v>
      </c>
      <c r="O605" s="16" t="s">
        <v>575</v>
      </c>
      <c r="P605" s="16" t="s">
        <v>598</v>
      </c>
      <c r="Q605" s="16" t="s">
        <v>612</v>
      </c>
      <c r="R605" s="16" t="s">
        <v>2411</v>
      </c>
    </row>
    <row r="606" spans="13:18" x14ac:dyDescent="0.2">
      <c r="M606" s="20" t="str">
        <f t="shared" si="35"/>
        <v>CAJAMARCA CHOTA SAN JUAN DE LICUPIS</v>
      </c>
      <c r="N606" s="20">
        <f t="shared" si="36"/>
        <v>0</v>
      </c>
      <c r="O606" s="16" t="s">
        <v>575</v>
      </c>
      <c r="P606" s="16" t="s">
        <v>598</v>
      </c>
      <c r="Q606" s="16" t="s">
        <v>613</v>
      </c>
      <c r="R606" s="16" t="s">
        <v>2412</v>
      </c>
    </row>
    <row r="607" spans="13:18" x14ac:dyDescent="0.2">
      <c r="M607" s="20" t="str">
        <f t="shared" si="35"/>
        <v>CAJAMARCA CHOTA TACABAMBA</v>
      </c>
      <c r="N607" s="20">
        <f t="shared" si="36"/>
        <v>0</v>
      </c>
      <c r="O607" s="16" t="s">
        <v>575</v>
      </c>
      <c r="P607" s="16" t="s">
        <v>598</v>
      </c>
      <c r="Q607" s="16" t="s">
        <v>614</v>
      </c>
      <c r="R607" s="16" t="s">
        <v>2413</v>
      </c>
    </row>
    <row r="608" spans="13:18" x14ac:dyDescent="0.2">
      <c r="M608" s="20" t="str">
        <f t="shared" si="35"/>
        <v>CAJAMARCA CHOTA TOCMOCHE</v>
      </c>
      <c r="N608" s="20">
        <f t="shared" si="36"/>
        <v>0</v>
      </c>
      <c r="O608" s="16" t="s">
        <v>575</v>
      </c>
      <c r="P608" s="16" t="s">
        <v>598</v>
      </c>
      <c r="Q608" s="16" t="s">
        <v>615</v>
      </c>
      <c r="R608" s="16" t="s">
        <v>2414</v>
      </c>
    </row>
    <row r="609" spans="13:18" x14ac:dyDescent="0.2">
      <c r="M609" s="20" t="str">
        <f t="shared" si="35"/>
        <v>CAJAMARCA CONTUMAZA CHILETE</v>
      </c>
      <c r="N609" s="20">
        <f t="shared" si="36"/>
        <v>0</v>
      </c>
      <c r="O609" s="16" t="s">
        <v>575</v>
      </c>
      <c r="P609" s="16" t="s">
        <v>616</v>
      </c>
      <c r="Q609" s="16" t="s">
        <v>617</v>
      </c>
      <c r="R609" s="16" t="s">
        <v>2415</v>
      </c>
    </row>
    <row r="610" spans="13:18" x14ac:dyDescent="0.2">
      <c r="M610" s="20" t="str">
        <f t="shared" si="35"/>
        <v>CAJAMARCA CONTUMAZA CONTUMAZA</v>
      </c>
      <c r="N610" s="20">
        <f t="shared" si="36"/>
        <v>0</v>
      </c>
      <c r="O610" s="16" t="s">
        <v>575</v>
      </c>
      <c r="P610" s="16" t="s">
        <v>616</v>
      </c>
      <c r="Q610" s="16" t="s">
        <v>616</v>
      </c>
      <c r="R610" s="16" t="s">
        <v>2416</v>
      </c>
    </row>
    <row r="611" spans="13:18" x14ac:dyDescent="0.2">
      <c r="M611" s="20" t="str">
        <f t="shared" si="35"/>
        <v>CAJAMARCA CONTUMAZA CUPISNIQUE</v>
      </c>
      <c r="N611" s="20">
        <f t="shared" si="36"/>
        <v>0</v>
      </c>
      <c r="O611" s="16" t="s">
        <v>575</v>
      </c>
      <c r="P611" s="16" t="s">
        <v>616</v>
      </c>
      <c r="Q611" s="16" t="s">
        <v>618</v>
      </c>
      <c r="R611" s="16" t="s">
        <v>2417</v>
      </c>
    </row>
    <row r="612" spans="13:18" x14ac:dyDescent="0.2">
      <c r="M612" s="20" t="str">
        <f t="shared" si="35"/>
        <v>CAJAMARCA CONTUMAZA GUZMANGO</v>
      </c>
      <c r="N612" s="20">
        <f t="shared" si="36"/>
        <v>0</v>
      </c>
      <c r="O612" s="16" t="s">
        <v>575</v>
      </c>
      <c r="P612" s="16" t="s">
        <v>616</v>
      </c>
      <c r="Q612" s="16" t="s">
        <v>619</v>
      </c>
      <c r="R612" s="16" t="s">
        <v>2418</v>
      </c>
    </row>
    <row r="613" spans="13:18" x14ac:dyDescent="0.2">
      <c r="M613" s="20" t="str">
        <f t="shared" si="35"/>
        <v>CAJAMARCA CONTUMAZA SAN BENITO</v>
      </c>
      <c r="N613" s="20">
        <f t="shared" si="36"/>
        <v>0</v>
      </c>
      <c r="O613" s="16" t="s">
        <v>575</v>
      </c>
      <c r="P613" s="16" t="s">
        <v>616</v>
      </c>
      <c r="Q613" s="16" t="s">
        <v>40</v>
      </c>
      <c r="R613" s="16" t="s">
        <v>2419</v>
      </c>
    </row>
    <row r="614" spans="13:18" x14ac:dyDescent="0.2">
      <c r="M614" s="20" t="str">
        <f t="shared" si="35"/>
        <v>CAJAMARCA CONTUMAZA SANTA CRUZ DE TOLED</v>
      </c>
      <c r="N614" s="20">
        <f t="shared" si="36"/>
        <v>0</v>
      </c>
      <c r="O614" s="16" t="s">
        <v>575</v>
      </c>
      <c r="P614" s="16" t="s">
        <v>616</v>
      </c>
      <c r="Q614" s="16" t="s">
        <v>620</v>
      </c>
      <c r="R614" s="16" t="s">
        <v>2420</v>
      </c>
    </row>
    <row r="615" spans="13:18" x14ac:dyDescent="0.2">
      <c r="M615" s="20" t="str">
        <f t="shared" si="35"/>
        <v>CAJAMARCA CONTUMAZA TANTARICA</v>
      </c>
      <c r="N615" s="20">
        <f t="shared" si="36"/>
        <v>0</v>
      </c>
      <c r="O615" s="16" t="s">
        <v>575</v>
      </c>
      <c r="P615" s="16" t="s">
        <v>616</v>
      </c>
      <c r="Q615" s="16" t="s">
        <v>621</v>
      </c>
      <c r="R615" s="16" t="s">
        <v>2421</v>
      </c>
    </row>
    <row r="616" spans="13:18" x14ac:dyDescent="0.2">
      <c r="M616" s="20" t="str">
        <f t="shared" si="35"/>
        <v>CAJAMARCA CONTUMAZA YONAN</v>
      </c>
      <c r="N616" s="20">
        <f t="shared" si="36"/>
        <v>0</v>
      </c>
      <c r="O616" s="16" t="s">
        <v>575</v>
      </c>
      <c r="P616" s="16" t="s">
        <v>616</v>
      </c>
      <c r="Q616" s="16" t="s">
        <v>622</v>
      </c>
      <c r="R616" s="16" t="s">
        <v>2422</v>
      </c>
    </row>
    <row r="617" spans="13:18" x14ac:dyDescent="0.2">
      <c r="M617" s="20" t="str">
        <f t="shared" si="35"/>
        <v>CAJAMARCA CUTERVO CALLAYUC</v>
      </c>
      <c r="N617" s="20">
        <f t="shared" si="36"/>
        <v>0</v>
      </c>
      <c r="O617" s="16" t="s">
        <v>575</v>
      </c>
      <c r="P617" s="16" t="s">
        <v>623</v>
      </c>
      <c r="Q617" s="16" t="s">
        <v>624</v>
      </c>
      <c r="R617" s="16" t="s">
        <v>2423</v>
      </c>
    </row>
    <row r="618" spans="13:18" x14ac:dyDescent="0.2">
      <c r="M618" s="20" t="str">
        <f t="shared" si="35"/>
        <v>CAJAMARCA CUTERVO CHOROS</v>
      </c>
      <c r="N618" s="20">
        <f t="shared" si="36"/>
        <v>0</v>
      </c>
      <c r="O618" s="16" t="s">
        <v>575</v>
      </c>
      <c r="P618" s="16" t="s">
        <v>623</v>
      </c>
      <c r="Q618" s="16" t="s">
        <v>625</v>
      </c>
      <c r="R618" s="16" t="s">
        <v>2424</v>
      </c>
    </row>
    <row r="619" spans="13:18" x14ac:dyDescent="0.2">
      <c r="M619" s="20" t="str">
        <f t="shared" si="35"/>
        <v>CAJAMARCA CUTERVO CUJILLO</v>
      </c>
      <c r="N619" s="20">
        <f t="shared" si="36"/>
        <v>0</v>
      </c>
      <c r="O619" s="16" t="s">
        <v>575</v>
      </c>
      <c r="P619" s="16" t="s">
        <v>623</v>
      </c>
      <c r="Q619" s="16" t="s">
        <v>626</v>
      </c>
      <c r="R619" s="16" t="s">
        <v>2425</v>
      </c>
    </row>
    <row r="620" spans="13:18" x14ac:dyDescent="0.2">
      <c r="M620" s="20" t="str">
        <f t="shared" si="35"/>
        <v>CAJAMARCA CUTERVO CUTERVO</v>
      </c>
      <c r="N620" s="20">
        <f t="shared" si="36"/>
        <v>0</v>
      </c>
      <c r="O620" s="16" t="s">
        <v>575</v>
      </c>
      <c r="P620" s="16" t="s">
        <v>623</v>
      </c>
      <c r="Q620" s="16" t="s">
        <v>623</v>
      </c>
      <c r="R620" s="16" t="s">
        <v>2426</v>
      </c>
    </row>
    <row r="621" spans="13:18" x14ac:dyDescent="0.2">
      <c r="M621" s="20" t="str">
        <f t="shared" si="35"/>
        <v>CAJAMARCA CUTERVO LA RAMADA</v>
      </c>
      <c r="N621" s="20">
        <f t="shared" si="36"/>
        <v>0</v>
      </c>
      <c r="O621" s="16" t="s">
        <v>575</v>
      </c>
      <c r="P621" s="16" t="s">
        <v>623</v>
      </c>
      <c r="Q621" s="16" t="s">
        <v>627</v>
      </c>
      <c r="R621" s="16" t="s">
        <v>2427</v>
      </c>
    </row>
    <row r="622" spans="13:18" x14ac:dyDescent="0.2">
      <c r="M622" s="20" t="str">
        <f t="shared" si="35"/>
        <v>CAJAMARCA CUTERVO PIMPINGOS</v>
      </c>
      <c r="N622" s="20">
        <f t="shared" si="36"/>
        <v>0</v>
      </c>
      <c r="O622" s="16" t="s">
        <v>575</v>
      </c>
      <c r="P622" s="16" t="s">
        <v>623</v>
      </c>
      <c r="Q622" s="16" t="s">
        <v>628</v>
      </c>
      <c r="R622" s="16" t="s">
        <v>2428</v>
      </c>
    </row>
    <row r="623" spans="13:18" x14ac:dyDescent="0.2">
      <c r="M623" s="20" t="str">
        <f t="shared" si="35"/>
        <v>CAJAMARCA CUTERVO QUEROCOTILLO</v>
      </c>
      <c r="N623" s="20">
        <f t="shared" si="36"/>
        <v>0</v>
      </c>
      <c r="O623" s="16" t="s">
        <v>575</v>
      </c>
      <c r="P623" s="16" t="s">
        <v>623</v>
      </c>
      <c r="Q623" s="16" t="s">
        <v>629</v>
      </c>
      <c r="R623" s="16" t="s">
        <v>2429</v>
      </c>
    </row>
    <row r="624" spans="13:18" x14ac:dyDescent="0.2">
      <c r="M624" s="20" t="str">
        <f t="shared" si="35"/>
        <v>CAJAMARCA CUTERVO SAN ANDRES DE CUTERVO</v>
      </c>
      <c r="N624" s="20">
        <f t="shared" si="36"/>
        <v>0</v>
      </c>
      <c r="O624" s="16" t="s">
        <v>575</v>
      </c>
      <c r="P624" s="16" t="s">
        <v>623</v>
      </c>
      <c r="Q624" s="16" t="s">
        <v>630</v>
      </c>
      <c r="R624" s="16" t="s">
        <v>2430</v>
      </c>
    </row>
    <row r="625" spans="13:18" x14ac:dyDescent="0.2">
      <c r="M625" s="20" t="str">
        <f t="shared" si="35"/>
        <v>CAJAMARCA CUTERVO SAN JUAN DE CUTERVO</v>
      </c>
      <c r="N625" s="20">
        <f t="shared" si="36"/>
        <v>0</v>
      </c>
      <c r="O625" s="16" t="s">
        <v>575</v>
      </c>
      <c r="P625" s="16" t="s">
        <v>623</v>
      </c>
      <c r="Q625" s="16" t="s">
        <v>631</v>
      </c>
      <c r="R625" s="16" t="s">
        <v>2431</v>
      </c>
    </row>
    <row r="626" spans="13:18" x14ac:dyDescent="0.2">
      <c r="M626" s="20" t="str">
        <f t="shared" si="35"/>
        <v>CAJAMARCA CUTERVO SAN LUIS DE LUCMA</v>
      </c>
      <c r="N626" s="20">
        <f t="shared" si="36"/>
        <v>0</v>
      </c>
      <c r="O626" s="16" t="s">
        <v>575</v>
      </c>
      <c r="P626" s="16" t="s">
        <v>623</v>
      </c>
      <c r="Q626" s="16" t="s">
        <v>632</v>
      </c>
      <c r="R626" s="16" t="s">
        <v>2432</v>
      </c>
    </row>
    <row r="627" spans="13:18" x14ac:dyDescent="0.2">
      <c r="M627" s="20" t="str">
        <f t="shared" si="35"/>
        <v>CAJAMARCA CUTERVO SANTA CRUZ</v>
      </c>
      <c r="N627" s="20">
        <f t="shared" si="36"/>
        <v>0</v>
      </c>
      <c r="O627" s="16" t="s">
        <v>575</v>
      </c>
      <c r="P627" s="16" t="s">
        <v>623</v>
      </c>
      <c r="Q627" s="16" t="s">
        <v>190</v>
      </c>
      <c r="R627" s="16" t="s">
        <v>2433</v>
      </c>
    </row>
    <row r="628" spans="13:18" x14ac:dyDescent="0.2">
      <c r="M628" s="20" t="str">
        <f t="shared" si="35"/>
        <v>CAJAMARCA CUTERVO SANTO DOMINGO DE LA CAPILLA</v>
      </c>
      <c r="N628" s="20">
        <f t="shared" si="36"/>
        <v>0</v>
      </c>
      <c r="O628" s="16" t="s">
        <v>575</v>
      </c>
      <c r="P628" s="16" t="s">
        <v>623</v>
      </c>
      <c r="Q628" s="16" t="s">
        <v>633</v>
      </c>
      <c r="R628" s="16" t="s">
        <v>2434</v>
      </c>
    </row>
    <row r="629" spans="13:18" x14ac:dyDescent="0.2">
      <c r="M629" s="20" t="str">
        <f t="shared" si="35"/>
        <v>CAJAMARCA CUTERVO SANTO TOMAS</v>
      </c>
      <c r="N629" s="20">
        <f t="shared" si="36"/>
        <v>0</v>
      </c>
      <c r="O629" s="16" t="s">
        <v>575</v>
      </c>
      <c r="P629" s="16" t="s">
        <v>623</v>
      </c>
      <c r="Q629" s="16" t="s">
        <v>72</v>
      </c>
      <c r="R629" s="16" t="s">
        <v>2435</v>
      </c>
    </row>
    <row r="630" spans="13:18" x14ac:dyDescent="0.2">
      <c r="M630" s="20" t="str">
        <f t="shared" si="35"/>
        <v>CAJAMARCA CUTERVO SOCOTA</v>
      </c>
      <c r="N630" s="20">
        <f t="shared" si="36"/>
        <v>0</v>
      </c>
      <c r="O630" s="16" t="s">
        <v>575</v>
      </c>
      <c r="P630" s="16" t="s">
        <v>623</v>
      </c>
      <c r="Q630" s="16" t="s">
        <v>634</v>
      </c>
      <c r="R630" s="16" t="s">
        <v>2436</v>
      </c>
    </row>
    <row r="631" spans="13:18" x14ac:dyDescent="0.2">
      <c r="M631" s="20" t="str">
        <f t="shared" si="35"/>
        <v>CAJAMARCA CUTERVO TORIBIO CASANOVA</v>
      </c>
      <c r="N631" s="20">
        <f t="shared" si="36"/>
        <v>0</v>
      </c>
      <c r="O631" s="16" t="s">
        <v>575</v>
      </c>
      <c r="P631" s="16" t="s">
        <v>623</v>
      </c>
      <c r="Q631" s="16" t="s">
        <v>635</v>
      </c>
      <c r="R631" s="16" t="s">
        <v>2437</v>
      </c>
    </row>
    <row r="632" spans="13:18" x14ac:dyDescent="0.2">
      <c r="M632" s="20" t="str">
        <f t="shared" si="35"/>
        <v>CAJAMARCA HUALGAYOC BAMBAMARCA</v>
      </c>
      <c r="N632" s="20">
        <f t="shared" si="36"/>
        <v>0</v>
      </c>
      <c r="O632" s="16" t="s">
        <v>575</v>
      </c>
      <c r="P632" s="16" t="s">
        <v>636</v>
      </c>
      <c r="Q632" s="16" t="s">
        <v>637</v>
      </c>
      <c r="R632" s="16" t="s">
        <v>2438</v>
      </c>
    </row>
    <row r="633" spans="13:18" x14ac:dyDescent="0.2">
      <c r="M633" s="20" t="str">
        <f t="shared" si="35"/>
        <v>CAJAMARCA HUALGAYOC CHUGUR</v>
      </c>
      <c r="N633" s="20">
        <f t="shared" si="36"/>
        <v>0</v>
      </c>
      <c r="O633" s="16" t="s">
        <v>575</v>
      </c>
      <c r="P633" s="16" t="s">
        <v>636</v>
      </c>
      <c r="Q633" s="16" t="s">
        <v>638</v>
      </c>
      <c r="R633" s="16" t="s">
        <v>2439</v>
      </c>
    </row>
    <row r="634" spans="13:18" x14ac:dyDescent="0.2">
      <c r="M634" s="20" t="str">
        <f t="shared" si="35"/>
        <v>CAJAMARCA HUALGAYOC HUALGAYOC</v>
      </c>
      <c r="N634" s="20">
        <f t="shared" si="36"/>
        <v>0</v>
      </c>
      <c r="O634" s="16" t="s">
        <v>575</v>
      </c>
      <c r="P634" s="16" t="s">
        <v>636</v>
      </c>
      <c r="Q634" s="16" t="s">
        <v>636</v>
      </c>
      <c r="R634" s="16" t="s">
        <v>2440</v>
      </c>
    </row>
    <row r="635" spans="13:18" x14ac:dyDescent="0.2">
      <c r="M635" s="20" t="str">
        <f t="shared" si="35"/>
        <v>CAJAMARCA JAEN BELLAVISTA</v>
      </c>
      <c r="N635" s="20">
        <f t="shared" si="36"/>
        <v>0</v>
      </c>
      <c r="O635" s="16" t="s">
        <v>575</v>
      </c>
      <c r="P635" s="16" t="s">
        <v>639</v>
      </c>
      <c r="Q635" s="16" t="s">
        <v>640</v>
      </c>
      <c r="R635" s="16" t="s">
        <v>2441</v>
      </c>
    </row>
    <row r="636" spans="13:18" x14ac:dyDescent="0.2">
      <c r="M636" s="20" t="str">
        <f t="shared" si="35"/>
        <v>CAJAMARCA JAEN CHONTALI</v>
      </c>
      <c r="N636" s="20">
        <f t="shared" si="36"/>
        <v>0</v>
      </c>
      <c r="O636" s="16" t="s">
        <v>575</v>
      </c>
      <c r="P636" s="16" t="s">
        <v>639</v>
      </c>
      <c r="Q636" s="16" t="s">
        <v>641</v>
      </c>
      <c r="R636" s="16" t="s">
        <v>2442</v>
      </c>
    </row>
    <row r="637" spans="13:18" x14ac:dyDescent="0.2">
      <c r="M637" s="20" t="str">
        <f t="shared" si="35"/>
        <v>CAJAMARCA JAEN COLASAY</v>
      </c>
      <c r="N637" s="20">
        <f t="shared" si="36"/>
        <v>0</v>
      </c>
      <c r="O637" s="16" t="s">
        <v>575</v>
      </c>
      <c r="P637" s="16" t="s">
        <v>639</v>
      </c>
      <c r="Q637" s="16" t="s">
        <v>642</v>
      </c>
      <c r="R637" s="16" t="s">
        <v>2443</v>
      </c>
    </row>
    <row r="638" spans="13:18" x14ac:dyDescent="0.2">
      <c r="M638" s="20" t="str">
        <f t="shared" si="35"/>
        <v>CAJAMARCA JAEN HUABAL</v>
      </c>
      <c r="N638" s="20">
        <f t="shared" si="36"/>
        <v>0</v>
      </c>
      <c r="O638" s="16" t="s">
        <v>575</v>
      </c>
      <c r="P638" s="16" t="s">
        <v>639</v>
      </c>
      <c r="Q638" s="16" t="s">
        <v>643</v>
      </c>
      <c r="R638" s="16" t="s">
        <v>2444</v>
      </c>
    </row>
    <row r="639" spans="13:18" x14ac:dyDescent="0.2">
      <c r="M639" s="20" t="str">
        <f t="shared" si="35"/>
        <v>CAJAMARCA JAEN JAEN</v>
      </c>
      <c r="N639" s="20">
        <f t="shared" si="36"/>
        <v>0</v>
      </c>
      <c r="O639" s="16" t="s">
        <v>575</v>
      </c>
      <c r="P639" s="16" t="s">
        <v>639</v>
      </c>
      <c r="Q639" s="16" t="s">
        <v>639</v>
      </c>
      <c r="R639" s="16" t="s">
        <v>2445</v>
      </c>
    </row>
    <row r="640" spans="13:18" x14ac:dyDescent="0.2">
      <c r="M640" s="20" t="str">
        <f t="shared" si="35"/>
        <v>CAJAMARCA JAEN LAS PIRIAS</v>
      </c>
      <c r="N640" s="20">
        <f t="shared" si="36"/>
        <v>0</v>
      </c>
      <c r="O640" s="16" t="s">
        <v>575</v>
      </c>
      <c r="P640" s="16" t="s">
        <v>639</v>
      </c>
      <c r="Q640" s="16" t="s">
        <v>644</v>
      </c>
      <c r="R640" s="16" t="s">
        <v>2446</v>
      </c>
    </row>
    <row r="641" spans="13:18" x14ac:dyDescent="0.2">
      <c r="M641" s="20" t="str">
        <f t="shared" si="35"/>
        <v>CAJAMARCA JAEN POMAHUACA</v>
      </c>
      <c r="N641" s="20">
        <f t="shared" si="36"/>
        <v>0</v>
      </c>
      <c r="O641" s="16" t="s">
        <v>575</v>
      </c>
      <c r="P641" s="16" t="s">
        <v>639</v>
      </c>
      <c r="Q641" s="16" t="s">
        <v>645</v>
      </c>
      <c r="R641" s="16" t="s">
        <v>2447</v>
      </c>
    </row>
    <row r="642" spans="13:18" x14ac:dyDescent="0.2">
      <c r="M642" s="20" t="str">
        <f t="shared" si="35"/>
        <v>CAJAMARCA JAEN PUCARA</v>
      </c>
      <c r="N642" s="20">
        <f t="shared" si="36"/>
        <v>0</v>
      </c>
      <c r="O642" s="16" t="s">
        <v>575</v>
      </c>
      <c r="P642" s="16" t="s">
        <v>639</v>
      </c>
      <c r="Q642" s="16" t="s">
        <v>646</v>
      </c>
      <c r="R642" s="16" t="s">
        <v>2448</v>
      </c>
    </row>
    <row r="643" spans="13:18" x14ac:dyDescent="0.2">
      <c r="M643" s="20" t="str">
        <f t="shared" ref="M643:M706" si="37">O643&amp;" "&amp;P643&amp;" "&amp;Q643</f>
        <v>CAJAMARCA JAEN SALLIQUE</v>
      </c>
      <c r="N643" s="20">
        <f t="shared" ref="N643:N706" si="38">IF(AND($D$9=O643,$D$10=P643),N642+1,0)</f>
        <v>0</v>
      </c>
      <c r="O643" s="16" t="s">
        <v>575</v>
      </c>
      <c r="P643" s="16" t="s">
        <v>639</v>
      </c>
      <c r="Q643" s="16" t="s">
        <v>647</v>
      </c>
      <c r="R643" s="16" t="s">
        <v>2449</v>
      </c>
    </row>
    <row r="644" spans="13:18" x14ac:dyDescent="0.2">
      <c r="M644" s="20" t="str">
        <f t="shared" si="37"/>
        <v>CAJAMARCA JAEN SAN FELIPE</v>
      </c>
      <c r="N644" s="20">
        <f t="shared" si="38"/>
        <v>0</v>
      </c>
      <c r="O644" s="16" t="s">
        <v>575</v>
      </c>
      <c r="P644" s="16" t="s">
        <v>639</v>
      </c>
      <c r="Q644" s="16" t="s">
        <v>648</v>
      </c>
      <c r="R644" s="16" t="s">
        <v>2450</v>
      </c>
    </row>
    <row r="645" spans="13:18" x14ac:dyDescent="0.2">
      <c r="M645" s="20" t="str">
        <f t="shared" si="37"/>
        <v>CAJAMARCA JAEN SAN JOSE DEL ALTO</v>
      </c>
      <c r="N645" s="20">
        <f t="shared" si="38"/>
        <v>0</v>
      </c>
      <c r="O645" s="16" t="s">
        <v>575</v>
      </c>
      <c r="P645" s="16" t="s">
        <v>639</v>
      </c>
      <c r="Q645" s="16" t="s">
        <v>649</v>
      </c>
      <c r="R645" s="16" t="s">
        <v>2451</v>
      </c>
    </row>
    <row r="646" spans="13:18" x14ac:dyDescent="0.2">
      <c r="M646" s="20" t="str">
        <f t="shared" si="37"/>
        <v>CAJAMARCA JAEN SANTA ROSA</v>
      </c>
      <c r="N646" s="20">
        <f t="shared" si="38"/>
        <v>0</v>
      </c>
      <c r="O646" s="16" t="s">
        <v>575</v>
      </c>
      <c r="P646" s="16" t="s">
        <v>639</v>
      </c>
      <c r="Q646" s="16" t="s">
        <v>85</v>
      </c>
      <c r="R646" s="16" t="s">
        <v>2452</v>
      </c>
    </row>
    <row r="647" spans="13:18" x14ac:dyDescent="0.2">
      <c r="M647" s="20" t="str">
        <f t="shared" si="37"/>
        <v>CAJAMARCA SAN IGNACIO CHIRINOS</v>
      </c>
      <c r="N647" s="20">
        <f t="shared" si="38"/>
        <v>0</v>
      </c>
      <c r="O647" s="16" t="s">
        <v>575</v>
      </c>
      <c r="P647" s="16" t="s">
        <v>546</v>
      </c>
      <c r="Q647" s="16" t="s">
        <v>650</v>
      </c>
      <c r="R647" s="16" t="s">
        <v>2453</v>
      </c>
    </row>
    <row r="648" spans="13:18" x14ac:dyDescent="0.2">
      <c r="M648" s="20" t="str">
        <f t="shared" si="37"/>
        <v>CAJAMARCA SAN IGNACIO HUARANGO</v>
      </c>
      <c r="N648" s="20">
        <f t="shared" si="38"/>
        <v>0</v>
      </c>
      <c r="O648" s="16" t="s">
        <v>575</v>
      </c>
      <c r="P648" s="16" t="s">
        <v>546</v>
      </c>
      <c r="Q648" s="16" t="s">
        <v>651</v>
      </c>
      <c r="R648" s="16" t="s">
        <v>2454</v>
      </c>
    </row>
    <row r="649" spans="13:18" x14ac:dyDescent="0.2">
      <c r="M649" s="20" t="str">
        <f t="shared" si="37"/>
        <v>CAJAMARCA SAN IGNACIO LA COIPA</v>
      </c>
      <c r="N649" s="20">
        <f t="shared" si="38"/>
        <v>0</v>
      </c>
      <c r="O649" s="16" t="s">
        <v>575</v>
      </c>
      <c r="P649" s="16" t="s">
        <v>546</v>
      </c>
      <c r="Q649" s="16" t="s">
        <v>652</v>
      </c>
      <c r="R649" s="16" t="s">
        <v>2455</v>
      </c>
    </row>
    <row r="650" spans="13:18" x14ac:dyDescent="0.2">
      <c r="M650" s="20" t="str">
        <f t="shared" si="37"/>
        <v>CAJAMARCA SAN IGNACIO NAMBALLE</v>
      </c>
      <c r="N650" s="20">
        <f t="shared" si="38"/>
        <v>0</v>
      </c>
      <c r="O650" s="16" t="s">
        <v>575</v>
      </c>
      <c r="P650" s="16" t="s">
        <v>546</v>
      </c>
      <c r="Q650" s="16" t="s">
        <v>653</v>
      </c>
      <c r="R650" s="16" t="s">
        <v>2456</v>
      </c>
    </row>
    <row r="651" spans="13:18" x14ac:dyDescent="0.2">
      <c r="M651" s="20" t="str">
        <f t="shared" si="37"/>
        <v>CAJAMARCA SAN IGNACIO SAN IGNACIO</v>
      </c>
      <c r="N651" s="20">
        <f t="shared" si="38"/>
        <v>0</v>
      </c>
      <c r="O651" s="16" t="s">
        <v>575</v>
      </c>
      <c r="P651" s="16" t="s">
        <v>546</v>
      </c>
      <c r="Q651" s="16" t="s">
        <v>546</v>
      </c>
      <c r="R651" s="16" t="s">
        <v>2457</v>
      </c>
    </row>
    <row r="652" spans="13:18" x14ac:dyDescent="0.2">
      <c r="M652" s="20" t="str">
        <f t="shared" si="37"/>
        <v>CAJAMARCA SAN IGNACIO SAN JOSE DE LOURDES</v>
      </c>
      <c r="N652" s="20">
        <f t="shared" si="38"/>
        <v>0</v>
      </c>
      <c r="O652" s="16" t="s">
        <v>575</v>
      </c>
      <c r="P652" s="16" t="s">
        <v>546</v>
      </c>
      <c r="Q652" s="16" t="s">
        <v>654</v>
      </c>
      <c r="R652" s="16" t="s">
        <v>2458</v>
      </c>
    </row>
    <row r="653" spans="13:18" x14ac:dyDescent="0.2">
      <c r="M653" s="20" t="str">
        <f t="shared" si="37"/>
        <v>CAJAMARCA SAN IGNACIO TABACONAS</v>
      </c>
      <c r="N653" s="20">
        <f t="shared" si="38"/>
        <v>0</v>
      </c>
      <c r="O653" s="16" t="s">
        <v>575</v>
      </c>
      <c r="P653" s="16" t="s">
        <v>546</v>
      </c>
      <c r="Q653" s="16" t="s">
        <v>655</v>
      </c>
      <c r="R653" s="16" t="s">
        <v>2459</v>
      </c>
    </row>
    <row r="654" spans="13:18" x14ac:dyDescent="0.2">
      <c r="M654" s="20" t="str">
        <f t="shared" si="37"/>
        <v>CAJAMARCA SAN MARCOS CHANCAY</v>
      </c>
      <c r="N654" s="20">
        <f t="shared" si="38"/>
        <v>0</v>
      </c>
      <c r="O654" s="16" t="s">
        <v>575</v>
      </c>
      <c r="P654" s="16" t="s">
        <v>143</v>
      </c>
      <c r="Q654" s="16" t="s">
        <v>656</v>
      </c>
      <c r="R654" s="16" t="s">
        <v>2460</v>
      </c>
    </row>
    <row r="655" spans="13:18" x14ac:dyDescent="0.2">
      <c r="M655" s="20" t="str">
        <f t="shared" si="37"/>
        <v>CAJAMARCA SAN MARCOS EDUARDO VILLANUEVA</v>
      </c>
      <c r="N655" s="20">
        <f t="shared" si="38"/>
        <v>0</v>
      </c>
      <c r="O655" s="16" t="s">
        <v>575</v>
      </c>
      <c r="P655" s="16" t="s">
        <v>143</v>
      </c>
      <c r="Q655" s="16" t="s">
        <v>657</v>
      </c>
      <c r="R655" s="16" t="s">
        <v>2461</v>
      </c>
    </row>
    <row r="656" spans="13:18" x14ac:dyDescent="0.2">
      <c r="M656" s="20" t="str">
        <f t="shared" si="37"/>
        <v>CAJAMARCA SAN MARCOS GREGORIO PITA</v>
      </c>
      <c r="N656" s="20">
        <f t="shared" si="38"/>
        <v>0</v>
      </c>
      <c r="O656" s="16" t="s">
        <v>575</v>
      </c>
      <c r="P656" s="16" t="s">
        <v>143</v>
      </c>
      <c r="Q656" s="16" t="s">
        <v>658</v>
      </c>
      <c r="R656" s="16" t="s">
        <v>2462</v>
      </c>
    </row>
    <row r="657" spans="13:18" x14ac:dyDescent="0.2">
      <c r="M657" s="20" t="str">
        <f t="shared" si="37"/>
        <v>CAJAMARCA SAN MARCOS ICHOCAN</v>
      </c>
      <c r="N657" s="20">
        <f t="shared" si="38"/>
        <v>0</v>
      </c>
      <c r="O657" s="16" t="s">
        <v>575</v>
      </c>
      <c r="P657" s="16" t="s">
        <v>143</v>
      </c>
      <c r="Q657" s="16" t="s">
        <v>659</v>
      </c>
      <c r="R657" s="16" t="s">
        <v>2463</v>
      </c>
    </row>
    <row r="658" spans="13:18" x14ac:dyDescent="0.2">
      <c r="M658" s="20" t="str">
        <f t="shared" si="37"/>
        <v>CAJAMARCA SAN MARCOS JOSE MANUEL QUIROZ</v>
      </c>
      <c r="N658" s="20">
        <f t="shared" si="38"/>
        <v>0</v>
      </c>
      <c r="O658" s="16" t="s">
        <v>575</v>
      </c>
      <c r="P658" s="16" t="s">
        <v>143</v>
      </c>
      <c r="Q658" s="16" t="s">
        <v>660</v>
      </c>
      <c r="R658" s="16" t="s">
        <v>2464</v>
      </c>
    </row>
    <row r="659" spans="13:18" x14ac:dyDescent="0.2">
      <c r="M659" s="20" t="str">
        <f t="shared" si="37"/>
        <v>CAJAMARCA SAN MARCOS JOSE SABOGAL</v>
      </c>
      <c r="N659" s="20">
        <f t="shared" si="38"/>
        <v>0</v>
      </c>
      <c r="O659" s="16" t="s">
        <v>575</v>
      </c>
      <c r="P659" s="16" t="s">
        <v>143</v>
      </c>
      <c r="Q659" s="16" t="s">
        <v>661</v>
      </c>
      <c r="R659" s="16" t="s">
        <v>2465</v>
      </c>
    </row>
    <row r="660" spans="13:18" x14ac:dyDescent="0.2">
      <c r="M660" s="20" t="str">
        <f t="shared" si="37"/>
        <v>CAJAMARCA SAN MARCOS PEDRO GALVEZ</v>
      </c>
      <c r="N660" s="20">
        <f t="shared" si="38"/>
        <v>0</v>
      </c>
      <c r="O660" s="16" t="s">
        <v>575</v>
      </c>
      <c r="P660" s="16" t="s">
        <v>143</v>
      </c>
      <c r="Q660" s="16" t="s">
        <v>662</v>
      </c>
      <c r="R660" s="16" t="s">
        <v>2466</v>
      </c>
    </row>
    <row r="661" spans="13:18" x14ac:dyDescent="0.2">
      <c r="M661" s="20" t="str">
        <f t="shared" si="37"/>
        <v>CAJAMARCA SAN MIGUEL BOLIVAR</v>
      </c>
      <c r="N661" s="20">
        <f t="shared" si="38"/>
        <v>0</v>
      </c>
      <c r="O661" s="16" t="s">
        <v>575</v>
      </c>
      <c r="P661" s="16" t="s">
        <v>504</v>
      </c>
      <c r="Q661" s="16" t="s">
        <v>663</v>
      </c>
      <c r="R661" s="16" t="s">
        <v>2467</v>
      </c>
    </row>
    <row r="662" spans="13:18" x14ac:dyDescent="0.2">
      <c r="M662" s="20" t="str">
        <f t="shared" si="37"/>
        <v>CAJAMARCA SAN MIGUEL CALQUIS</v>
      </c>
      <c r="N662" s="20">
        <f t="shared" si="38"/>
        <v>0</v>
      </c>
      <c r="O662" s="16" t="s">
        <v>575</v>
      </c>
      <c r="P662" s="16" t="s">
        <v>504</v>
      </c>
      <c r="Q662" s="16" t="s">
        <v>664</v>
      </c>
      <c r="R662" s="16" t="s">
        <v>2468</v>
      </c>
    </row>
    <row r="663" spans="13:18" x14ac:dyDescent="0.2">
      <c r="M663" s="20" t="str">
        <f t="shared" si="37"/>
        <v>CAJAMARCA SAN MIGUEL CATILLUC</v>
      </c>
      <c r="N663" s="20">
        <f t="shared" si="38"/>
        <v>0</v>
      </c>
      <c r="O663" s="16" t="s">
        <v>575</v>
      </c>
      <c r="P663" s="16" t="s">
        <v>504</v>
      </c>
      <c r="Q663" s="16" t="s">
        <v>665</v>
      </c>
      <c r="R663" s="16" t="s">
        <v>2469</v>
      </c>
    </row>
    <row r="664" spans="13:18" x14ac:dyDescent="0.2">
      <c r="M664" s="20" t="str">
        <f t="shared" si="37"/>
        <v>CAJAMARCA SAN MIGUEL EL PRADO</v>
      </c>
      <c r="N664" s="20">
        <f t="shared" si="38"/>
        <v>0</v>
      </c>
      <c r="O664" s="16" t="s">
        <v>575</v>
      </c>
      <c r="P664" s="16" t="s">
        <v>504</v>
      </c>
      <c r="Q664" s="16" t="s">
        <v>666</v>
      </c>
      <c r="R664" s="16" t="s">
        <v>2470</v>
      </c>
    </row>
    <row r="665" spans="13:18" x14ac:dyDescent="0.2">
      <c r="M665" s="20" t="str">
        <f t="shared" si="37"/>
        <v>CAJAMARCA SAN MIGUEL LA FLORIDA</v>
      </c>
      <c r="N665" s="20">
        <f t="shared" si="38"/>
        <v>0</v>
      </c>
      <c r="O665" s="16" t="s">
        <v>575</v>
      </c>
      <c r="P665" s="16" t="s">
        <v>504</v>
      </c>
      <c r="Q665" s="16" t="s">
        <v>667</v>
      </c>
      <c r="R665" s="16" t="s">
        <v>2471</v>
      </c>
    </row>
    <row r="666" spans="13:18" x14ac:dyDescent="0.2">
      <c r="M666" s="20" t="str">
        <f t="shared" si="37"/>
        <v>CAJAMARCA SAN MIGUEL LLAPA</v>
      </c>
      <c r="N666" s="20">
        <f t="shared" si="38"/>
        <v>0</v>
      </c>
      <c r="O666" s="16" t="s">
        <v>575</v>
      </c>
      <c r="P666" s="16" t="s">
        <v>504</v>
      </c>
      <c r="Q666" s="16" t="s">
        <v>668</v>
      </c>
      <c r="R666" s="16" t="s">
        <v>2472</v>
      </c>
    </row>
    <row r="667" spans="13:18" x14ac:dyDescent="0.2">
      <c r="M667" s="20" t="str">
        <f t="shared" si="37"/>
        <v>CAJAMARCA SAN MIGUEL NANCHOC</v>
      </c>
      <c r="N667" s="20">
        <f t="shared" si="38"/>
        <v>0</v>
      </c>
      <c r="O667" s="16" t="s">
        <v>575</v>
      </c>
      <c r="P667" s="16" t="s">
        <v>504</v>
      </c>
      <c r="Q667" s="16" t="s">
        <v>669</v>
      </c>
      <c r="R667" s="16" t="s">
        <v>2473</v>
      </c>
    </row>
    <row r="668" spans="13:18" x14ac:dyDescent="0.2">
      <c r="M668" s="20" t="str">
        <f t="shared" si="37"/>
        <v>CAJAMARCA SAN MIGUEL NIEPOS</v>
      </c>
      <c r="N668" s="20">
        <f t="shared" si="38"/>
        <v>0</v>
      </c>
      <c r="O668" s="16" t="s">
        <v>575</v>
      </c>
      <c r="P668" s="16" t="s">
        <v>504</v>
      </c>
      <c r="Q668" s="16" t="s">
        <v>671</v>
      </c>
      <c r="R668" s="16" t="s">
        <v>2474</v>
      </c>
    </row>
    <row r="669" spans="13:18" x14ac:dyDescent="0.2">
      <c r="M669" s="20" t="str">
        <f t="shared" si="37"/>
        <v>CAJAMARCA SAN MIGUEL SAN GREGORIO</v>
      </c>
      <c r="N669" s="20">
        <f t="shared" si="38"/>
        <v>0</v>
      </c>
      <c r="O669" s="16" t="s">
        <v>575</v>
      </c>
      <c r="P669" s="16" t="s">
        <v>504</v>
      </c>
      <c r="Q669" s="16" t="s">
        <v>672</v>
      </c>
      <c r="R669" s="16" t="s">
        <v>2475</v>
      </c>
    </row>
    <row r="670" spans="13:18" x14ac:dyDescent="0.2">
      <c r="M670" s="20" t="str">
        <f t="shared" si="37"/>
        <v>CAJAMARCA SAN MIGUEL SAN MIGUEL</v>
      </c>
      <c r="N670" s="20">
        <f t="shared" si="38"/>
        <v>0</v>
      </c>
      <c r="O670" s="16" t="s">
        <v>575</v>
      </c>
      <c r="P670" s="16" t="s">
        <v>504</v>
      </c>
      <c r="Q670" s="16" t="s">
        <v>504</v>
      </c>
      <c r="R670" s="16" t="s">
        <v>2476</v>
      </c>
    </row>
    <row r="671" spans="13:18" x14ac:dyDescent="0.2">
      <c r="M671" s="20" t="str">
        <f t="shared" si="37"/>
        <v>CAJAMARCA SAN MIGUEL SAN SILVESTRE DE COCHAN</v>
      </c>
      <c r="N671" s="20">
        <f t="shared" si="38"/>
        <v>0</v>
      </c>
      <c r="O671" s="16" t="s">
        <v>575</v>
      </c>
      <c r="P671" s="16" t="s">
        <v>504</v>
      </c>
      <c r="Q671" s="16" t="s">
        <v>674</v>
      </c>
      <c r="R671" s="16" t="s">
        <v>2477</v>
      </c>
    </row>
    <row r="672" spans="13:18" x14ac:dyDescent="0.2">
      <c r="M672" s="20" t="str">
        <f t="shared" si="37"/>
        <v>CAJAMARCA SAN MIGUEL TONGOD</v>
      </c>
      <c r="N672" s="20">
        <f t="shared" si="38"/>
        <v>0</v>
      </c>
      <c r="O672" s="16" t="s">
        <v>575</v>
      </c>
      <c r="P672" s="16" t="s">
        <v>504</v>
      </c>
      <c r="Q672" s="16" t="s">
        <v>675</v>
      </c>
      <c r="R672" s="16" t="s">
        <v>2478</v>
      </c>
    </row>
    <row r="673" spans="13:18" x14ac:dyDescent="0.2">
      <c r="M673" s="20" t="str">
        <f t="shared" si="37"/>
        <v>CAJAMARCA SAN MIGUEL UNION AGUA BLANCA</v>
      </c>
      <c r="N673" s="20">
        <f t="shared" si="38"/>
        <v>0</v>
      </c>
      <c r="O673" s="16" t="s">
        <v>575</v>
      </c>
      <c r="P673" s="16" t="s">
        <v>504</v>
      </c>
      <c r="Q673" s="16" t="s">
        <v>676</v>
      </c>
      <c r="R673" s="16" t="s">
        <v>2479</v>
      </c>
    </row>
    <row r="674" spans="13:18" x14ac:dyDescent="0.2">
      <c r="M674" s="20" t="str">
        <f t="shared" si="37"/>
        <v>CAJAMARCA SAN PABLO SAN BERNARDINO</v>
      </c>
      <c r="N674" s="20">
        <f t="shared" si="38"/>
        <v>0</v>
      </c>
      <c r="O674" s="16" t="s">
        <v>575</v>
      </c>
      <c r="P674" s="16" t="s">
        <v>677</v>
      </c>
      <c r="Q674" s="16" t="s">
        <v>678</v>
      </c>
      <c r="R674" s="16" t="s">
        <v>2480</v>
      </c>
    </row>
    <row r="675" spans="13:18" x14ac:dyDescent="0.2">
      <c r="M675" s="20" t="str">
        <f t="shared" si="37"/>
        <v>CAJAMARCA SAN PABLO SAN LUIS</v>
      </c>
      <c r="N675" s="20">
        <f t="shared" si="38"/>
        <v>0</v>
      </c>
      <c r="O675" s="16" t="s">
        <v>575</v>
      </c>
      <c r="P675" s="16" t="s">
        <v>677</v>
      </c>
      <c r="Q675" s="16" t="s">
        <v>139</v>
      </c>
      <c r="R675" s="16" t="s">
        <v>2481</v>
      </c>
    </row>
    <row r="676" spans="13:18" x14ac:dyDescent="0.2">
      <c r="M676" s="20" t="str">
        <f t="shared" si="37"/>
        <v>CAJAMARCA SAN PABLO SAN PABLO</v>
      </c>
      <c r="N676" s="20">
        <f t="shared" si="38"/>
        <v>0</v>
      </c>
      <c r="O676" s="16" t="s">
        <v>575</v>
      </c>
      <c r="P676" s="16" t="s">
        <v>677</v>
      </c>
      <c r="Q676" s="16" t="s">
        <v>677</v>
      </c>
      <c r="R676" s="16" t="s">
        <v>2482</v>
      </c>
    </row>
    <row r="677" spans="13:18" x14ac:dyDescent="0.2">
      <c r="M677" s="20" t="str">
        <f t="shared" si="37"/>
        <v>CAJAMARCA SAN PABLO TUMBADEN</v>
      </c>
      <c r="N677" s="20">
        <f t="shared" si="38"/>
        <v>0</v>
      </c>
      <c r="O677" s="16" t="s">
        <v>575</v>
      </c>
      <c r="P677" s="16" t="s">
        <v>677</v>
      </c>
      <c r="Q677" s="16" t="s">
        <v>679</v>
      </c>
      <c r="R677" s="16" t="s">
        <v>2483</v>
      </c>
    </row>
    <row r="678" spans="13:18" x14ac:dyDescent="0.2">
      <c r="M678" s="20" t="str">
        <f t="shared" si="37"/>
        <v>CAJAMARCA SANTA CRUZ ANDABAMBA</v>
      </c>
      <c r="N678" s="20">
        <f t="shared" si="38"/>
        <v>0</v>
      </c>
      <c r="O678" s="16" t="s">
        <v>575</v>
      </c>
      <c r="P678" s="16" t="s">
        <v>190</v>
      </c>
      <c r="Q678" s="16" t="s">
        <v>680</v>
      </c>
      <c r="R678" s="16" t="s">
        <v>2484</v>
      </c>
    </row>
    <row r="679" spans="13:18" x14ac:dyDescent="0.2">
      <c r="M679" s="20" t="str">
        <f t="shared" si="37"/>
        <v>CAJAMARCA SANTA CRUZ CATACHE</v>
      </c>
      <c r="N679" s="20">
        <f t="shared" si="38"/>
        <v>0</v>
      </c>
      <c r="O679" s="16" t="s">
        <v>575</v>
      </c>
      <c r="P679" s="16" t="s">
        <v>190</v>
      </c>
      <c r="Q679" s="16" t="s">
        <v>681</v>
      </c>
      <c r="R679" s="16" t="s">
        <v>2485</v>
      </c>
    </row>
    <row r="680" spans="13:18" x14ac:dyDescent="0.2">
      <c r="M680" s="20" t="str">
        <f t="shared" si="37"/>
        <v>CAJAMARCA SANTA CRUZ CHANCAYBAÑOS</v>
      </c>
      <c r="N680" s="20">
        <f t="shared" si="38"/>
        <v>0</v>
      </c>
      <c r="O680" s="16" t="s">
        <v>575</v>
      </c>
      <c r="P680" s="16" t="s">
        <v>190</v>
      </c>
      <c r="Q680" s="16" t="s">
        <v>682</v>
      </c>
      <c r="R680" s="16" t="s">
        <v>2486</v>
      </c>
    </row>
    <row r="681" spans="13:18" x14ac:dyDescent="0.2">
      <c r="M681" s="20" t="str">
        <f t="shared" si="37"/>
        <v>CAJAMARCA SANTA CRUZ LA ESPERANZA</v>
      </c>
      <c r="N681" s="20">
        <f t="shared" si="38"/>
        <v>0</v>
      </c>
      <c r="O681" s="16" t="s">
        <v>575</v>
      </c>
      <c r="P681" s="16" t="s">
        <v>190</v>
      </c>
      <c r="Q681" s="16" t="s">
        <v>683</v>
      </c>
      <c r="R681" s="16" t="s">
        <v>2487</v>
      </c>
    </row>
    <row r="682" spans="13:18" x14ac:dyDescent="0.2">
      <c r="M682" s="20" t="str">
        <f t="shared" si="37"/>
        <v>CAJAMARCA SANTA CRUZ NINABAMBA</v>
      </c>
      <c r="N682" s="20">
        <f t="shared" si="38"/>
        <v>0</v>
      </c>
      <c r="O682" s="16" t="s">
        <v>575</v>
      </c>
      <c r="P682" s="16" t="s">
        <v>190</v>
      </c>
      <c r="Q682" s="16" t="s">
        <v>684</v>
      </c>
      <c r="R682" s="16" t="s">
        <v>2488</v>
      </c>
    </row>
    <row r="683" spans="13:18" x14ac:dyDescent="0.2">
      <c r="M683" s="20" t="str">
        <f t="shared" si="37"/>
        <v>CAJAMARCA SANTA CRUZ PULAN</v>
      </c>
      <c r="N683" s="20">
        <f t="shared" si="38"/>
        <v>0</v>
      </c>
      <c r="O683" s="16" t="s">
        <v>575</v>
      </c>
      <c r="P683" s="16" t="s">
        <v>190</v>
      </c>
      <c r="Q683" s="16" t="s">
        <v>685</v>
      </c>
      <c r="R683" s="16" t="s">
        <v>2489</v>
      </c>
    </row>
    <row r="684" spans="13:18" x14ac:dyDescent="0.2">
      <c r="M684" s="20" t="str">
        <f t="shared" si="37"/>
        <v>CAJAMARCA SANTA CRUZ SANTA CRUZ</v>
      </c>
      <c r="N684" s="20">
        <f t="shared" si="38"/>
        <v>0</v>
      </c>
      <c r="O684" s="16" t="s">
        <v>575</v>
      </c>
      <c r="P684" s="16" t="s">
        <v>190</v>
      </c>
      <c r="Q684" s="16" t="s">
        <v>190</v>
      </c>
      <c r="R684" s="16" t="s">
        <v>2490</v>
      </c>
    </row>
    <row r="685" spans="13:18" x14ac:dyDescent="0.2">
      <c r="M685" s="20" t="str">
        <f t="shared" si="37"/>
        <v>CAJAMARCA SANTA CRUZ SAUCEPAMPA</v>
      </c>
      <c r="N685" s="20">
        <f t="shared" si="38"/>
        <v>0</v>
      </c>
      <c r="O685" s="16" t="s">
        <v>575</v>
      </c>
      <c r="P685" s="16" t="s">
        <v>190</v>
      </c>
      <c r="Q685" s="16" t="s">
        <v>686</v>
      </c>
      <c r="R685" s="16" t="s">
        <v>2491</v>
      </c>
    </row>
    <row r="686" spans="13:18" x14ac:dyDescent="0.2">
      <c r="M686" s="20" t="str">
        <f t="shared" si="37"/>
        <v>CAJAMARCA SANTA CRUZ SEXI</v>
      </c>
      <c r="N686" s="20">
        <f t="shared" si="38"/>
        <v>0</v>
      </c>
      <c r="O686" s="16" t="s">
        <v>575</v>
      </c>
      <c r="P686" s="16" t="s">
        <v>190</v>
      </c>
      <c r="Q686" s="16" t="s">
        <v>687</v>
      </c>
      <c r="R686" s="16" t="s">
        <v>2492</v>
      </c>
    </row>
    <row r="687" spans="13:18" x14ac:dyDescent="0.2">
      <c r="M687" s="20" t="str">
        <f t="shared" si="37"/>
        <v>CAJAMARCA SANTA CRUZ UTICYACU</v>
      </c>
      <c r="N687" s="20">
        <f t="shared" si="38"/>
        <v>0</v>
      </c>
      <c r="O687" s="16" t="s">
        <v>575</v>
      </c>
      <c r="P687" s="16" t="s">
        <v>190</v>
      </c>
      <c r="Q687" s="16" t="s">
        <v>688</v>
      </c>
      <c r="R687" s="16" t="s">
        <v>2493</v>
      </c>
    </row>
    <row r="688" spans="13:18" x14ac:dyDescent="0.2">
      <c r="M688" s="20" t="str">
        <f t="shared" si="37"/>
        <v>CAJAMARCA SANTA CRUZ YAUYUCAN</v>
      </c>
      <c r="N688" s="20">
        <f t="shared" si="38"/>
        <v>0</v>
      </c>
      <c r="O688" s="16" t="s">
        <v>575</v>
      </c>
      <c r="P688" s="16" t="s">
        <v>190</v>
      </c>
      <c r="Q688" s="16" t="s">
        <v>689</v>
      </c>
      <c r="R688" s="16" t="s">
        <v>2494</v>
      </c>
    </row>
    <row r="689" spans="13:18" x14ac:dyDescent="0.2">
      <c r="M689" s="20" t="str">
        <f t="shared" si="37"/>
        <v>CALLAO CALLAO BELLAVISTA</v>
      </c>
      <c r="N689" s="20">
        <f t="shared" si="38"/>
        <v>0</v>
      </c>
      <c r="O689" s="16" t="s">
        <v>690</v>
      </c>
      <c r="P689" s="16" t="s">
        <v>690</v>
      </c>
      <c r="Q689" s="16" t="s">
        <v>640</v>
      </c>
      <c r="R689" s="16" t="s">
        <v>2495</v>
      </c>
    </row>
    <row r="690" spans="13:18" x14ac:dyDescent="0.2">
      <c r="M690" s="20" t="str">
        <f t="shared" si="37"/>
        <v>CALLAO CALLAO CALLAO</v>
      </c>
      <c r="N690" s="20">
        <f t="shared" si="38"/>
        <v>0</v>
      </c>
      <c r="O690" s="16" t="s">
        <v>690</v>
      </c>
      <c r="P690" s="16" t="s">
        <v>690</v>
      </c>
      <c r="Q690" s="16" t="s">
        <v>690</v>
      </c>
      <c r="R690" s="16" t="s">
        <v>2496</v>
      </c>
    </row>
    <row r="691" spans="13:18" x14ac:dyDescent="0.2">
      <c r="M691" s="20" t="str">
        <f t="shared" si="37"/>
        <v>CALLAO CALLAO CARMEN DE LA LEGUA REYNOSO</v>
      </c>
      <c r="N691" s="20">
        <f t="shared" si="38"/>
        <v>0</v>
      </c>
      <c r="O691" s="16" t="s">
        <v>690</v>
      </c>
      <c r="P691" s="16" t="s">
        <v>690</v>
      </c>
      <c r="Q691" s="16" t="s">
        <v>691</v>
      </c>
      <c r="R691" s="16" t="s">
        <v>2497</v>
      </c>
    </row>
    <row r="692" spans="13:18" x14ac:dyDescent="0.2">
      <c r="M692" s="20" t="str">
        <f t="shared" si="37"/>
        <v>CALLAO CALLAO LA PERLA</v>
      </c>
      <c r="N692" s="20">
        <f t="shared" si="38"/>
        <v>0</v>
      </c>
      <c r="O692" s="16" t="s">
        <v>690</v>
      </c>
      <c r="P692" s="16" t="s">
        <v>690</v>
      </c>
      <c r="Q692" s="16" t="s">
        <v>692</v>
      </c>
      <c r="R692" s="16" t="s">
        <v>2498</v>
      </c>
    </row>
    <row r="693" spans="13:18" x14ac:dyDescent="0.2">
      <c r="M693" s="20" t="str">
        <f t="shared" si="37"/>
        <v>CALLAO CALLAO LA PUNTA</v>
      </c>
      <c r="N693" s="20">
        <f t="shared" si="38"/>
        <v>0</v>
      </c>
      <c r="O693" s="16" t="s">
        <v>690</v>
      </c>
      <c r="P693" s="16" t="s">
        <v>690</v>
      </c>
      <c r="Q693" s="16" t="s">
        <v>693</v>
      </c>
      <c r="R693" s="16" t="s">
        <v>2499</v>
      </c>
    </row>
    <row r="694" spans="13:18" x14ac:dyDescent="0.2">
      <c r="M694" s="20" t="str">
        <f t="shared" si="37"/>
        <v>CALLAO CALLAO MI PERÚ</v>
      </c>
      <c r="N694" s="20">
        <f t="shared" si="38"/>
        <v>0</v>
      </c>
      <c r="O694" s="16" t="s">
        <v>690</v>
      </c>
      <c r="P694" s="16" t="s">
        <v>690</v>
      </c>
      <c r="Q694" s="16" t="s">
        <v>694</v>
      </c>
      <c r="R694" s="16" t="s">
        <v>2500</v>
      </c>
    </row>
    <row r="695" spans="13:18" x14ac:dyDescent="0.2">
      <c r="M695" s="20" t="str">
        <f t="shared" si="37"/>
        <v>CALLAO CALLAO VENTANILLA</v>
      </c>
      <c r="N695" s="20">
        <f t="shared" si="38"/>
        <v>0</v>
      </c>
      <c r="O695" s="16" t="s">
        <v>690</v>
      </c>
      <c r="P695" s="16" t="s">
        <v>690</v>
      </c>
      <c r="Q695" s="16" t="s">
        <v>695</v>
      </c>
      <c r="R695" s="16" t="s">
        <v>2501</v>
      </c>
    </row>
    <row r="696" spans="13:18" x14ac:dyDescent="0.2">
      <c r="M696" s="20" t="str">
        <f t="shared" si="37"/>
        <v>CUSCO ACOMAYO ACOMAYO</v>
      </c>
      <c r="N696" s="20">
        <f t="shared" si="38"/>
        <v>0</v>
      </c>
      <c r="O696" s="16" t="s">
        <v>696</v>
      </c>
      <c r="P696" s="16" t="s">
        <v>697</v>
      </c>
      <c r="Q696" s="16" t="s">
        <v>697</v>
      </c>
      <c r="R696" s="16" t="s">
        <v>2502</v>
      </c>
    </row>
    <row r="697" spans="13:18" x14ac:dyDescent="0.2">
      <c r="M697" s="20" t="str">
        <f t="shared" si="37"/>
        <v>CUSCO ACOMAYO ACOPIA</v>
      </c>
      <c r="N697" s="20">
        <f t="shared" si="38"/>
        <v>0</v>
      </c>
      <c r="O697" s="16" t="s">
        <v>696</v>
      </c>
      <c r="P697" s="16" t="s">
        <v>697</v>
      </c>
      <c r="Q697" s="16" t="s">
        <v>698</v>
      </c>
      <c r="R697" s="16" t="s">
        <v>2503</v>
      </c>
    </row>
    <row r="698" spans="13:18" x14ac:dyDescent="0.2">
      <c r="M698" s="20" t="str">
        <f t="shared" si="37"/>
        <v>CUSCO ACOMAYO ACOS</v>
      </c>
      <c r="N698" s="20">
        <f t="shared" si="38"/>
        <v>0</v>
      </c>
      <c r="O698" s="16" t="s">
        <v>696</v>
      </c>
      <c r="P698" s="16" t="s">
        <v>697</v>
      </c>
      <c r="Q698" s="16" t="s">
        <v>699</v>
      </c>
      <c r="R698" s="16" t="s">
        <v>2504</v>
      </c>
    </row>
    <row r="699" spans="13:18" x14ac:dyDescent="0.2">
      <c r="M699" s="20" t="str">
        <f t="shared" si="37"/>
        <v>CUSCO ACOMAYO MOSOC LLACTA</v>
      </c>
      <c r="N699" s="20">
        <f t="shared" si="38"/>
        <v>0</v>
      </c>
      <c r="O699" s="16" t="s">
        <v>696</v>
      </c>
      <c r="P699" s="16" t="s">
        <v>697</v>
      </c>
      <c r="Q699" s="16" t="s">
        <v>700</v>
      </c>
      <c r="R699" s="16" t="s">
        <v>2505</v>
      </c>
    </row>
    <row r="700" spans="13:18" x14ac:dyDescent="0.2">
      <c r="M700" s="20" t="str">
        <f t="shared" si="37"/>
        <v>CUSCO ACOMAYO POMACANCHI</v>
      </c>
      <c r="N700" s="20">
        <f t="shared" si="38"/>
        <v>0</v>
      </c>
      <c r="O700" s="16" t="s">
        <v>696</v>
      </c>
      <c r="P700" s="16" t="s">
        <v>697</v>
      </c>
      <c r="Q700" s="16" t="s">
        <v>701</v>
      </c>
      <c r="R700" s="16" t="s">
        <v>2506</v>
      </c>
    </row>
    <row r="701" spans="13:18" x14ac:dyDescent="0.2">
      <c r="M701" s="20" t="str">
        <f t="shared" si="37"/>
        <v>CUSCO ACOMAYO RONDOCAN</v>
      </c>
      <c r="N701" s="20">
        <f t="shared" si="38"/>
        <v>0</v>
      </c>
      <c r="O701" s="16" t="s">
        <v>696</v>
      </c>
      <c r="P701" s="16" t="s">
        <v>697</v>
      </c>
      <c r="Q701" s="16" t="s">
        <v>702</v>
      </c>
      <c r="R701" s="16" t="s">
        <v>2507</v>
      </c>
    </row>
    <row r="702" spans="13:18" x14ac:dyDescent="0.2">
      <c r="M702" s="20" t="str">
        <f t="shared" si="37"/>
        <v>CUSCO ACOMAYO SANGARARA</v>
      </c>
      <c r="N702" s="20">
        <f t="shared" si="38"/>
        <v>0</v>
      </c>
      <c r="O702" s="16" t="s">
        <v>696</v>
      </c>
      <c r="P702" s="16" t="s">
        <v>697</v>
      </c>
      <c r="Q702" s="16" t="s">
        <v>703</v>
      </c>
      <c r="R702" s="16" t="s">
        <v>2508</v>
      </c>
    </row>
    <row r="703" spans="13:18" x14ac:dyDescent="0.2">
      <c r="M703" s="20" t="str">
        <f t="shared" si="37"/>
        <v>CUSCO ANTA ANCAHUASI</v>
      </c>
      <c r="N703" s="20">
        <f t="shared" si="38"/>
        <v>0</v>
      </c>
      <c r="O703" s="16" t="s">
        <v>696</v>
      </c>
      <c r="P703" s="16" t="s">
        <v>130</v>
      </c>
      <c r="Q703" s="16" t="s">
        <v>704</v>
      </c>
      <c r="R703" s="16" t="s">
        <v>2509</v>
      </c>
    </row>
    <row r="704" spans="13:18" x14ac:dyDescent="0.2">
      <c r="M704" s="20" t="str">
        <f t="shared" si="37"/>
        <v>CUSCO ANTA ANTA</v>
      </c>
      <c r="N704" s="20">
        <f t="shared" si="38"/>
        <v>0</v>
      </c>
      <c r="O704" s="16" t="s">
        <v>696</v>
      </c>
      <c r="P704" s="16" t="s">
        <v>130</v>
      </c>
      <c r="Q704" s="16" t="s">
        <v>130</v>
      </c>
      <c r="R704" s="16" t="s">
        <v>2510</v>
      </c>
    </row>
    <row r="705" spans="13:18" x14ac:dyDescent="0.2">
      <c r="M705" s="20" t="str">
        <f t="shared" si="37"/>
        <v>CUSCO ANTA CACHIMAYO</v>
      </c>
      <c r="N705" s="20">
        <f t="shared" si="38"/>
        <v>0</v>
      </c>
      <c r="O705" s="16" t="s">
        <v>696</v>
      </c>
      <c r="P705" s="16" t="s">
        <v>130</v>
      </c>
      <c r="Q705" s="16" t="s">
        <v>705</v>
      </c>
      <c r="R705" s="16" t="s">
        <v>2511</v>
      </c>
    </row>
    <row r="706" spans="13:18" x14ac:dyDescent="0.2">
      <c r="M706" s="20" t="str">
        <f t="shared" si="37"/>
        <v>CUSCO ANTA CHINCHAYPUJIO</v>
      </c>
      <c r="N706" s="20">
        <f t="shared" si="38"/>
        <v>0</v>
      </c>
      <c r="O706" s="16" t="s">
        <v>696</v>
      </c>
      <c r="P706" s="16" t="s">
        <v>130</v>
      </c>
      <c r="Q706" s="16" t="s">
        <v>706</v>
      </c>
      <c r="R706" s="16" t="s">
        <v>2512</v>
      </c>
    </row>
    <row r="707" spans="13:18" x14ac:dyDescent="0.2">
      <c r="M707" s="20" t="str">
        <f t="shared" ref="M707:M770" si="39">O707&amp;" "&amp;P707&amp;" "&amp;Q707</f>
        <v>CUSCO ANTA HUAROCONDO</v>
      </c>
      <c r="N707" s="20">
        <f t="shared" ref="N707:N770" si="40">IF(AND($D$9=O707,$D$10=P707),N706+1,0)</f>
        <v>0</v>
      </c>
      <c r="O707" s="16" t="s">
        <v>696</v>
      </c>
      <c r="P707" s="16" t="s">
        <v>130</v>
      </c>
      <c r="Q707" s="16" t="s">
        <v>707</v>
      </c>
      <c r="R707" s="16" t="s">
        <v>2513</v>
      </c>
    </row>
    <row r="708" spans="13:18" x14ac:dyDescent="0.2">
      <c r="M708" s="20" t="str">
        <f t="shared" si="39"/>
        <v>CUSCO ANTA LIMATAMBO</v>
      </c>
      <c r="N708" s="20">
        <f t="shared" si="40"/>
        <v>0</v>
      </c>
      <c r="O708" s="16" t="s">
        <v>696</v>
      </c>
      <c r="P708" s="16" t="s">
        <v>130</v>
      </c>
      <c r="Q708" s="16" t="s">
        <v>708</v>
      </c>
      <c r="R708" s="16" t="s">
        <v>2514</v>
      </c>
    </row>
    <row r="709" spans="13:18" x14ac:dyDescent="0.2">
      <c r="M709" s="20" t="str">
        <f t="shared" si="39"/>
        <v>CUSCO ANTA MOLLEPATA</v>
      </c>
      <c r="N709" s="20">
        <f t="shared" si="40"/>
        <v>0</v>
      </c>
      <c r="O709" s="16" t="s">
        <v>696</v>
      </c>
      <c r="P709" s="16" t="s">
        <v>130</v>
      </c>
      <c r="Q709" s="16" t="s">
        <v>709</v>
      </c>
      <c r="R709" s="16" t="s">
        <v>2515</v>
      </c>
    </row>
    <row r="710" spans="13:18" x14ac:dyDescent="0.2">
      <c r="M710" s="20" t="str">
        <f t="shared" si="39"/>
        <v>CUSCO ANTA PUCYURA</v>
      </c>
      <c r="N710" s="20">
        <f t="shared" si="40"/>
        <v>0</v>
      </c>
      <c r="O710" s="16" t="s">
        <v>696</v>
      </c>
      <c r="P710" s="16" t="s">
        <v>130</v>
      </c>
      <c r="Q710" s="16" t="s">
        <v>710</v>
      </c>
      <c r="R710" s="16" t="s">
        <v>2516</v>
      </c>
    </row>
    <row r="711" spans="13:18" x14ac:dyDescent="0.2">
      <c r="M711" s="20" t="str">
        <f t="shared" si="39"/>
        <v>CUSCO ANTA ZURITE</v>
      </c>
      <c r="N711" s="20">
        <f t="shared" si="40"/>
        <v>0</v>
      </c>
      <c r="O711" s="16" t="s">
        <v>696</v>
      </c>
      <c r="P711" s="16" t="s">
        <v>130</v>
      </c>
      <c r="Q711" s="16" t="s">
        <v>711</v>
      </c>
      <c r="R711" s="16" t="s">
        <v>2517</v>
      </c>
    </row>
    <row r="712" spans="13:18" x14ac:dyDescent="0.2">
      <c r="M712" s="20" t="str">
        <f t="shared" si="39"/>
        <v>CUSCO CALCA CALCA</v>
      </c>
      <c r="N712" s="20">
        <f t="shared" si="40"/>
        <v>0</v>
      </c>
      <c r="O712" s="16" t="s">
        <v>696</v>
      </c>
      <c r="P712" s="16" t="s">
        <v>712</v>
      </c>
      <c r="Q712" s="16" t="s">
        <v>712</v>
      </c>
      <c r="R712" s="16" t="s">
        <v>2518</v>
      </c>
    </row>
    <row r="713" spans="13:18" x14ac:dyDescent="0.2">
      <c r="M713" s="20" t="str">
        <f t="shared" si="39"/>
        <v>CUSCO CALCA COYA</v>
      </c>
      <c r="N713" s="20">
        <f t="shared" si="40"/>
        <v>0</v>
      </c>
      <c r="O713" s="16" t="s">
        <v>696</v>
      </c>
      <c r="P713" s="16" t="s">
        <v>712</v>
      </c>
      <c r="Q713" s="16" t="s">
        <v>713</v>
      </c>
      <c r="R713" s="16" t="s">
        <v>2519</v>
      </c>
    </row>
    <row r="714" spans="13:18" x14ac:dyDescent="0.2">
      <c r="M714" s="20" t="str">
        <f t="shared" si="39"/>
        <v>CUSCO CALCA LAMAY</v>
      </c>
      <c r="N714" s="20">
        <f t="shared" si="40"/>
        <v>0</v>
      </c>
      <c r="O714" s="16" t="s">
        <v>696</v>
      </c>
      <c r="P714" s="16" t="s">
        <v>712</v>
      </c>
      <c r="Q714" s="16" t="s">
        <v>714</v>
      </c>
      <c r="R714" s="16" t="s">
        <v>2520</v>
      </c>
    </row>
    <row r="715" spans="13:18" x14ac:dyDescent="0.2">
      <c r="M715" s="20" t="str">
        <f t="shared" si="39"/>
        <v>CUSCO CALCA LARES</v>
      </c>
      <c r="N715" s="20">
        <f t="shared" si="40"/>
        <v>0</v>
      </c>
      <c r="O715" s="16" t="s">
        <v>696</v>
      </c>
      <c r="P715" s="16" t="s">
        <v>712</v>
      </c>
      <c r="Q715" s="16" t="s">
        <v>715</v>
      </c>
      <c r="R715" s="16" t="s">
        <v>2521</v>
      </c>
    </row>
    <row r="716" spans="13:18" x14ac:dyDescent="0.2">
      <c r="M716" s="20" t="str">
        <f t="shared" si="39"/>
        <v>CUSCO CALCA PISAC</v>
      </c>
      <c r="N716" s="20">
        <f t="shared" si="40"/>
        <v>0</v>
      </c>
      <c r="O716" s="16" t="s">
        <v>696</v>
      </c>
      <c r="P716" s="16" t="s">
        <v>712</v>
      </c>
      <c r="Q716" s="16" t="s">
        <v>716</v>
      </c>
      <c r="R716" s="16" t="s">
        <v>2522</v>
      </c>
    </row>
    <row r="717" spans="13:18" x14ac:dyDescent="0.2">
      <c r="M717" s="20" t="str">
        <f t="shared" si="39"/>
        <v>CUSCO CALCA SAN SALVADOR</v>
      </c>
      <c r="N717" s="20">
        <f t="shared" si="40"/>
        <v>0</v>
      </c>
      <c r="O717" s="16" t="s">
        <v>696</v>
      </c>
      <c r="P717" s="16" t="s">
        <v>712</v>
      </c>
      <c r="Q717" s="16" t="s">
        <v>717</v>
      </c>
      <c r="R717" s="16" t="s">
        <v>2523</v>
      </c>
    </row>
    <row r="718" spans="13:18" x14ac:dyDescent="0.2">
      <c r="M718" s="20" t="str">
        <f t="shared" si="39"/>
        <v>CUSCO CALCA TARAY</v>
      </c>
      <c r="N718" s="20">
        <f t="shared" si="40"/>
        <v>0</v>
      </c>
      <c r="O718" s="16" t="s">
        <v>696</v>
      </c>
      <c r="P718" s="16" t="s">
        <v>712</v>
      </c>
      <c r="Q718" s="16" t="s">
        <v>718</v>
      </c>
      <c r="R718" s="16" t="s">
        <v>2524</v>
      </c>
    </row>
    <row r="719" spans="13:18" x14ac:dyDescent="0.2">
      <c r="M719" s="20" t="str">
        <f t="shared" si="39"/>
        <v>CUSCO CALCA YANATILE</v>
      </c>
      <c r="N719" s="20">
        <f t="shared" si="40"/>
        <v>0</v>
      </c>
      <c r="O719" s="16" t="s">
        <v>696</v>
      </c>
      <c r="P719" s="16" t="s">
        <v>712</v>
      </c>
      <c r="Q719" s="16" t="s">
        <v>719</v>
      </c>
      <c r="R719" s="16" t="s">
        <v>2525</v>
      </c>
    </row>
    <row r="720" spans="13:18" x14ac:dyDescent="0.2">
      <c r="M720" s="20" t="str">
        <f t="shared" si="39"/>
        <v>CUSCO CANAS CHECCA</v>
      </c>
      <c r="N720" s="20">
        <f t="shared" si="40"/>
        <v>0</v>
      </c>
      <c r="O720" s="16" t="s">
        <v>696</v>
      </c>
      <c r="P720" s="16" t="s">
        <v>720</v>
      </c>
      <c r="Q720" s="16" t="s">
        <v>721</v>
      </c>
      <c r="R720" s="16" t="s">
        <v>2526</v>
      </c>
    </row>
    <row r="721" spans="13:18" x14ac:dyDescent="0.2">
      <c r="M721" s="20" t="str">
        <f t="shared" si="39"/>
        <v>CUSCO CANAS KUNTURKANKI</v>
      </c>
      <c r="N721" s="20">
        <f t="shared" si="40"/>
        <v>0</v>
      </c>
      <c r="O721" s="16" t="s">
        <v>696</v>
      </c>
      <c r="P721" s="16" t="s">
        <v>720</v>
      </c>
      <c r="Q721" s="16" t="s">
        <v>722</v>
      </c>
      <c r="R721" s="16" t="s">
        <v>2527</v>
      </c>
    </row>
    <row r="722" spans="13:18" x14ac:dyDescent="0.2">
      <c r="M722" s="20" t="str">
        <f t="shared" si="39"/>
        <v>CUSCO CANAS LANGUI</v>
      </c>
      <c r="N722" s="20">
        <f t="shared" si="40"/>
        <v>0</v>
      </c>
      <c r="O722" s="16" t="s">
        <v>696</v>
      </c>
      <c r="P722" s="16" t="s">
        <v>720</v>
      </c>
      <c r="Q722" s="16" t="s">
        <v>723</v>
      </c>
      <c r="R722" s="16" t="s">
        <v>2528</v>
      </c>
    </row>
    <row r="723" spans="13:18" x14ac:dyDescent="0.2">
      <c r="M723" s="20" t="str">
        <f t="shared" si="39"/>
        <v>CUSCO CANAS LAYO</v>
      </c>
      <c r="N723" s="20">
        <f t="shared" si="40"/>
        <v>0</v>
      </c>
      <c r="O723" s="16" t="s">
        <v>696</v>
      </c>
      <c r="P723" s="16" t="s">
        <v>720</v>
      </c>
      <c r="Q723" s="16" t="s">
        <v>724</v>
      </c>
      <c r="R723" s="16" t="s">
        <v>2529</v>
      </c>
    </row>
    <row r="724" spans="13:18" x14ac:dyDescent="0.2">
      <c r="M724" s="20" t="str">
        <f t="shared" si="39"/>
        <v>CUSCO CANAS PAMPAMARCA</v>
      </c>
      <c r="N724" s="20">
        <f t="shared" si="40"/>
        <v>0</v>
      </c>
      <c r="O724" s="16" t="s">
        <v>696</v>
      </c>
      <c r="P724" s="16" t="s">
        <v>720</v>
      </c>
      <c r="Q724" s="16" t="s">
        <v>452</v>
      </c>
      <c r="R724" s="16" t="s">
        <v>2530</v>
      </c>
    </row>
    <row r="725" spans="13:18" x14ac:dyDescent="0.2">
      <c r="M725" s="20" t="str">
        <f t="shared" si="39"/>
        <v>CUSCO CANAS QUEHUE</v>
      </c>
      <c r="N725" s="20">
        <f t="shared" si="40"/>
        <v>0</v>
      </c>
      <c r="O725" s="16" t="s">
        <v>696</v>
      </c>
      <c r="P725" s="16" t="s">
        <v>720</v>
      </c>
      <c r="Q725" s="16" t="s">
        <v>725</v>
      </c>
      <c r="R725" s="16" t="s">
        <v>2531</v>
      </c>
    </row>
    <row r="726" spans="13:18" x14ac:dyDescent="0.2">
      <c r="M726" s="20" t="str">
        <f t="shared" si="39"/>
        <v>CUSCO CANAS TUPAC AMARU</v>
      </c>
      <c r="N726" s="20">
        <f t="shared" si="40"/>
        <v>0</v>
      </c>
      <c r="O726" s="16" t="s">
        <v>696</v>
      </c>
      <c r="P726" s="16" t="s">
        <v>720</v>
      </c>
      <c r="Q726" s="16" t="s">
        <v>726</v>
      </c>
      <c r="R726" s="16" t="s">
        <v>2532</v>
      </c>
    </row>
    <row r="727" spans="13:18" x14ac:dyDescent="0.2">
      <c r="M727" s="20" t="str">
        <f t="shared" si="39"/>
        <v>CUSCO CANAS YANAOCA</v>
      </c>
      <c r="N727" s="20">
        <f t="shared" si="40"/>
        <v>0</v>
      </c>
      <c r="O727" s="16" t="s">
        <v>696</v>
      </c>
      <c r="P727" s="16" t="s">
        <v>720</v>
      </c>
      <c r="Q727" s="16" t="s">
        <v>727</v>
      </c>
      <c r="R727" s="16" t="s">
        <v>2533</v>
      </c>
    </row>
    <row r="728" spans="13:18" x14ac:dyDescent="0.2">
      <c r="M728" s="20" t="str">
        <f t="shared" si="39"/>
        <v>CUSCO CANCHIS CHECACUPE</v>
      </c>
      <c r="N728" s="20">
        <f t="shared" si="40"/>
        <v>0</v>
      </c>
      <c r="O728" s="16" t="s">
        <v>696</v>
      </c>
      <c r="P728" s="16" t="s">
        <v>728</v>
      </c>
      <c r="Q728" s="16" t="s">
        <v>729</v>
      </c>
      <c r="R728" s="16" t="s">
        <v>2534</v>
      </c>
    </row>
    <row r="729" spans="13:18" x14ac:dyDescent="0.2">
      <c r="M729" s="20" t="str">
        <f t="shared" si="39"/>
        <v>CUSCO CANCHIS COMBAPATA</v>
      </c>
      <c r="N729" s="20">
        <f t="shared" si="40"/>
        <v>0</v>
      </c>
      <c r="O729" s="16" t="s">
        <v>696</v>
      </c>
      <c r="P729" s="16" t="s">
        <v>728</v>
      </c>
      <c r="Q729" s="16" t="s">
        <v>730</v>
      </c>
      <c r="R729" s="16" t="s">
        <v>2535</v>
      </c>
    </row>
    <row r="730" spans="13:18" x14ac:dyDescent="0.2">
      <c r="M730" s="20" t="str">
        <f t="shared" si="39"/>
        <v>CUSCO CANCHIS MARANGANI</v>
      </c>
      <c r="N730" s="20">
        <f t="shared" si="40"/>
        <v>0</v>
      </c>
      <c r="O730" s="16" t="s">
        <v>696</v>
      </c>
      <c r="P730" s="16" t="s">
        <v>728</v>
      </c>
      <c r="Q730" s="16" t="s">
        <v>731</v>
      </c>
      <c r="R730" s="16" t="s">
        <v>2536</v>
      </c>
    </row>
    <row r="731" spans="13:18" x14ac:dyDescent="0.2">
      <c r="M731" s="20" t="str">
        <f t="shared" si="39"/>
        <v>CUSCO CANCHIS PITUMARCA</v>
      </c>
      <c r="N731" s="20">
        <f t="shared" si="40"/>
        <v>0</v>
      </c>
      <c r="O731" s="16" t="s">
        <v>696</v>
      </c>
      <c r="P731" s="16" t="s">
        <v>728</v>
      </c>
      <c r="Q731" s="16" t="s">
        <v>732</v>
      </c>
      <c r="R731" s="16" t="s">
        <v>2537</v>
      </c>
    </row>
    <row r="732" spans="13:18" x14ac:dyDescent="0.2">
      <c r="M732" s="20" t="str">
        <f t="shared" si="39"/>
        <v>CUSCO CANCHIS SAN PABLO</v>
      </c>
      <c r="N732" s="20">
        <f t="shared" si="40"/>
        <v>0</v>
      </c>
      <c r="O732" s="16" t="s">
        <v>696</v>
      </c>
      <c r="P732" s="16" t="s">
        <v>728</v>
      </c>
      <c r="Q732" s="16" t="s">
        <v>677</v>
      </c>
      <c r="R732" s="16" t="s">
        <v>2538</v>
      </c>
    </row>
    <row r="733" spans="13:18" x14ac:dyDescent="0.2">
      <c r="M733" s="20" t="str">
        <f t="shared" si="39"/>
        <v>CUSCO CANCHIS SAN PEDRO</v>
      </c>
      <c r="N733" s="20">
        <f t="shared" si="40"/>
        <v>0</v>
      </c>
      <c r="O733" s="16" t="s">
        <v>696</v>
      </c>
      <c r="P733" s="16" t="s">
        <v>728</v>
      </c>
      <c r="Q733" s="16" t="s">
        <v>116</v>
      </c>
      <c r="R733" s="16" t="s">
        <v>2539</v>
      </c>
    </row>
    <row r="734" spans="13:18" x14ac:dyDescent="0.2">
      <c r="M734" s="20" t="str">
        <f t="shared" si="39"/>
        <v>CUSCO CANCHIS SICUANI</v>
      </c>
      <c r="N734" s="20">
        <f t="shared" si="40"/>
        <v>0</v>
      </c>
      <c r="O734" s="16" t="s">
        <v>696</v>
      </c>
      <c r="P734" s="16" t="s">
        <v>728</v>
      </c>
      <c r="Q734" s="16" t="s">
        <v>733</v>
      </c>
      <c r="R734" s="16" t="s">
        <v>2540</v>
      </c>
    </row>
    <row r="735" spans="13:18" x14ac:dyDescent="0.2">
      <c r="M735" s="20" t="str">
        <f t="shared" si="39"/>
        <v>CUSCO CANCHIS TINTA</v>
      </c>
      <c r="N735" s="20">
        <f t="shared" si="40"/>
        <v>0</v>
      </c>
      <c r="O735" s="16" t="s">
        <v>696</v>
      </c>
      <c r="P735" s="16" t="s">
        <v>728</v>
      </c>
      <c r="Q735" s="16" t="s">
        <v>734</v>
      </c>
      <c r="R735" s="16" t="s">
        <v>2541</v>
      </c>
    </row>
    <row r="736" spans="13:18" x14ac:dyDescent="0.2">
      <c r="M736" s="20" t="str">
        <f t="shared" si="39"/>
        <v>CUSCO CHUMBIVILCAS CAPACMARCA</v>
      </c>
      <c r="N736" s="20">
        <f t="shared" si="40"/>
        <v>0</v>
      </c>
      <c r="O736" s="16" t="s">
        <v>696</v>
      </c>
      <c r="P736" s="16" t="s">
        <v>735</v>
      </c>
      <c r="Q736" s="16" t="s">
        <v>736</v>
      </c>
      <c r="R736" s="16" t="s">
        <v>2542</v>
      </c>
    </row>
    <row r="737" spans="13:18" x14ac:dyDescent="0.2">
      <c r="M737" s="20" t="str">
        <f t="shared" si="39"/>
        <v>CUSCO CHUMBIVILCAS CHAMACA</v>
      </c>
      <c r="N737" s="20">
        <f t="shared" si="40"/>
        <v>0</v>
      </c>
      <c r="O737" s="16" t="s">
        <v>696</v>
      </c>
      <c r="P737" s="16" t="s">
        <v>735</v>
      </c>
      <c r="Q737" s="16" t="s">
        <v>737</v>
      </c>
      <c r="R737" s="16" t="s">
        <v>2543</v>
      </c>
    </row>
    <row r="738" spans="13:18" x14ac:dyDescent="0.2">
      <c r="M738" s="20" t="str">
        <f t="shared" si="39"/>
        <v>CUSCO CHUMBIVILCAS COLQUEMARCA</v>
      </c>
      <c r="N738" s="20">
        <f t="shared" si="40"/>
        <v>0</v>
      </c>
      <c r="O738" s="16" t="s">
        <v>696</v>
      </c>
      <c r="P738" s="16" t="s">
        <v>735</v>
      </c>
      <c r="Q738" s="16" t="s">
        <v>738</v>
      </c>
      <c r="R738" s="16" t="s">
        <v>2544</v>
      </c>
    </row>
    <row r="739" spans="13:18" x14ac:dyDescent="0.2">
      <c r="M739" s="20" t="str">
        <f t="shared" si="39"/>
        <v>CUSCO CHUMBIVILCAS LIVITACA</v>
      </c>
      <c r="N739" s="20">
        <f t="shared" si="40"/>
        <v>0</v>
      </c>
      <c r="O739" s="16" t="s">
        <v>696</v>
      </c>
      <c r="P739" s="16" t="s">
        <v>735</v>
      </c>
      <c r="Q739" s="16" t="s">
        <v>739</v>
      </c>
      <c r="R739" s="16" t="s">
        <v>2545</v>
      </c>
    </row>
    <row r="740" spans="13:18" x14ac:dyDescent="0.2">
      <c r="M740" s="20" t="str">
        <f t="shared" si="39"/>
        <v>CUSCO CHUMBIVILCAS LLUSCO</v>
      </c>
      <c r="N740" s="20">
        <f t="shared" si="40"/>
        <v>0</v>
      </c>
      <c r="O740" s="16" t="s">
        <v>696</v>
      </c>
      <c r="P740" s="16" t="s">
        <v>735</v>
      </c>
      <c r="Q740" s="16" t="s">
        <v>740</v>
      </c>
      <c r="R740" s="16" t="s">
        <v>2546</v>
      </c>
    </row>
    <row r="741" spans="13:18" x14ac:dyDescent="0.2">
      <c r="M741" s="20" t="str">
        <f t="shared" si="39"/>
        <v>CUSCO CHUMBIVILCAS QUIÑOTA</v>
      </c>
      <c r="N741" s="20">
        <f t="shared" si="40"/>
        <v>0</v>
      </c>
      <c r="O741" s="16" t="s">
        <v>696</v>
      </c>
      <c r="P741" s="16" t="s">
        <v>735</v>
      </c>
      <c r="Q741" s="16" t="s">
        <v>741</v>
      </c>
      <c r="R741" s="16" t="s">
        <v>2547</v>
      </c>
    </row>
    <row r="742" spans="13:18" x14ac:dyDescent="0.2">
      <c r="M742" s="20" t="str">
        <f t="shared" si="39"/>
        <v>CUSCO CHUMBIVILCAS SANTO TOMAS</v>
      </c>
      <c r="N742" s="20">
        <f t="shared" si="40"/>
        <v>0</v>
      </c>
      <c r="O742" s="16" t="s">
        <v>696</v>
      </c>
      <c r="P742" s="16" t="s">
        <v>735</v>
      </c>
      <c r="Q742" s="16" t="s">
        <v>72</v>
      </c>
      <c r="R742" s="16" t="s">
        <v>2548</v>
      </c>
    </row>
    <row r="743" spans="13:18" x14ac:dyDescent="0.2">
      <c r="M743" s="20" t="str">
        <f t="shared" si="39"/>
        <v>CUSCO CHUMBIVILCAS VELILLE</v>
      </c>
      <c r="N743" s="20">
        <f t="shared" si="40"/>
        <v>0</v>
      </c>
      <c r="O743" s="16" t="s">
        <v>696</v>
      </c>
      <c r="P743" s="16" t="s">
        <v>735</v>
      </c>
      <c r="Q743" s="16" t="s">
        <v>742</v>
      </c>
      <c r="R743" s="16" t="s">
        <v>2549</v>
      </c>
    </row>
    <row r="744" spans="13:18" x14ac:dyDescent="0.2">
      <c r="M744" s="20" t="str">
        <f t="shared" si="39"/>
        <v>CUSCO CUSCO CCORCA</v>
      </c>
      <c r="N744" s="20">
        <f t="shared" si="40"/>
        <v>0</v>
      </c>
      <c r="O744" s="16" t="s">
        <v>696</v>
      </c>
      <c r="P744" s="16" t="s">
        <v>696</v>
      </c>
      <c r="Q744" s="16" t="s">
        <v>743</v>
      </c>
      <c r="R744" s="16" t="s">
        <v>2550</v>
      </c>
    </row>
    <row r="745" spans="13:18" x14ac:dyDescent="0.2">
      <c r="M745" s="20" t="str">
        <f t="shared" si="39"/>
        <v>CUSCO CUSCO CUSCO</v>
      </c>
      <c r="N745" s="20">
        <f t="shared" si="40"/>
        <v>0</v>
      </c>
      <c r="O745" s="16" t="s">
        <v>696</v>
      </c>
      <c r="P745" s="16" t="s">
        <v>696</v>
      </c>
      <c r="Q745" s="16" t="s">
        <v>696</v>
      </c>
      <c r="R745" s="16" t="s">
        <v>2551</v>
      </c>
    </row>
    <row r="746" spans="13:18" x14ac:dyDescent="0.2">
      <c r="M746" s="20" t="str">
        <f t="shared" si="39"/>
        <v>CUSCO CUSCO POROY</v>
      </c>
      <c r="N746" s="20">
        <f t="shared" si="40"/>
        <v>0</v>
      </c>
      <c r="O746" s="16" t="s">
        <v>696</v>
      </c>
      <c r="P746" s="16" t="s">
        <v>696</v>
      </c>
      <c r="Q746" s="16" t="s">
        <v>744</v>
      </c>
      <c r="R746" s="16" t="s">
        <v>2552</v>
      </c>
    </row>
    <row r="747" spans="13:18" x14ac:dyDescent="0.2">
      <c r="M747" s="20" t="str">
        <f t="shared" si="39"/>
        <v>CUSCO CUSCO SAN JERONIMO</v>
      </c>
      <c r="N747" s="20">
        <f t="shared" si="40"/>
        <v>0</v>
      </c>
      <c r="O747" s="16" t="s">
        <v>696</v>
      </c>
      <c r="P747" s="16" t="s">
        <v>696</v>
      </c>
      <c r="Q747" s="16" t="s">
        <v>69</v>
      </c>
      <c r="R747" s="16" t="s">
        <v>2553</v>
      </c>
    </row>
    <row r="748" spans="13:18" x14ac:dyDescent="0.2">
      <c r="M748" s="20" t="str">
        <f t="shared" si="39"/>
        <v>CUSCO CUSCO SAN SEBASTIAN</v>
      </c>
      <c r="N748" s="20">
        <f t="shared" si="40"/>
        <v>0</v>
      </c>
      <c r="O748" s="16" t="s">
        <v>696</v>
      </c>
      <c r="P748" s="16" t="s">
        <v>696</v>
      </c>
      <c r="Q748" s="16" t="s">
        <v>192</v>
      </c>
      <c r="R748" s="16" t="s">
        <v>2554</v>
      </c>
    </row>
    <row r="749" spans="13:18" x14ac:dyDescent="0.2">
      <c r="M749" s="20" t="str">
        <f t="shared" si="39"/>
        <v>CUSCO CUSCO SANTIAGO</v>
      </c>
      <c r="N749" s="20">
        <f t="shared" si="40"/>
        <v>0</v>
      </c>
      <c r="O749" s="16" t="s">
        <v>696</v>
      </c>
      <c r="P749" s="16" t="s">
        <v>696</v>
      </c>
      <c r="Q749" s="16" t="s">
        <v>745</v>
      </c>
      <c r="R749" s="16" t="s">
        <v>2555</v>
      </c>
    </row>
    <row r="750" spans="13:18" x14ac:dyDescent="0.2">
      <c r="M750" s="20" t="str">
        <f t="shared" si="39"/>
        <v>CUSCO CUSCO SAYLLA</v>
      </c>
      <c r="N750" s="20">
        <f t="shared" si="40"/>
        <v>0</v>
      </c>
      <c r="O750" s="16" t="s">
        <v>696</v>
      </c>
      <c r="P750" s="16" t="s">
        <v>696</v>
      </c>
      <c r="Q750" s="16" t="s">
        <v>746</v>
      </c>
      <c r="R750" s="16" t="s">
        <v>2556</v>
      </c>
    </row>
    <row r="751" spans="13:18" x14ac:dyDescent="0.2">
      <c r="M751" s="20" t="str">
        <f t="shared" si="39"/>
        <v>CUSCO CUSCO WANCHAQ</v>
      </c>
      <c r="N751" s="20">
        <f t="shared" si="40"/>
        <v>0</v>
      </c>
      <c r="O751" s="16" t="s">
        <v>696</v>
      </c>
      <c r="P751" s="16" t="s">
        <v>696</v>
      </c>
      <c r="Q751" s="16" t="s">
        <v>747</v>
      </c>
      <c r="R751" s="16" t="s">
        <v>2557</v>
      </c>
    </row>
    <row r="752" spans="13:18" x14ac:dyDescent="0.2">
      <c r="M752" s="20" t="str">
        <f t="shared" si="39"/>
        <v>CUSCO ESPINAR ALTO PICHIGUA</v>
      </c>
      <c r="N752" s="20">
        <f t="shared" si="40"/>
        <v>0</v>
      </c>
      <c r="O752" s="16" t="s">
        <v>696</v>
      </c>
      <c r="P752" s="16" t="s">
        <v>748</v>
      </c>
      <c r="Q752" s="16" t="s">
        <v>749</v>
      </c>
      <c r="R752" s="16" t="s">
        <v>2558</v>
      </c>
    </row>
    <row r="753" spans="13:18" x14ac:dyDescent="0.2">
      <c r="M753" s="20" t="str">
        <f t="shared" si="39"/>
        <v>CUSCO ESPINAR CONDOROMA</v>
      </c>
      <c r="N753" s="20">
        <f t="shared" si="40"/>
        <v>0</v>
      </c>
      <c r="O753" s="16" t="s">
        <v>696</v>
      </c>
      <c r="P753" s="16" t="s">
        <v>748</v>
      </c>
      <c r="Q753" s="16" t="s">
        <v>750</v>
      </c>
      <c r="R753" s="16" t="s">
        <v>2559</v>
      </c>
    </row>
    <row r="754" spans="13:18" x14ac:dyDescent="0.2">
      <c r="M754" s="20" t="str">
        <f t="shared" si="39"/>
        <v>CUSCO ESPINAR COPORAQUE</v>
      </c>
      <c r="N754" s="20">
        <f t="shared" si="40"/>
        <v>0</v>
      </c>
      <c r="O754" s="16" t="s">
        <v>696</v>
      </c>
      <c r="P754" s="16" t="s">
        <v>748</v>
      </c>
      <c r="Q754" s="16" t="s">
        <v>419</v>
      </c>
      <c r="R754" s="16" t="s">
        <v>2560</v>
      </c>
    </row>
    <row r="755" spans="13:18" x14ac:dyDescent="0.2">
      <c r="M755" s="20" t="str">
        <f t="shared" si="39"/>
        <v>CUSCO ESPINAR ESPINAR</v>
      </c>
      <c r="N755" s="20">
        <f t="shared" si="40"/>
        <v>0</v>
      </c>
      <c r="O755" s="16" t="s">
        <v>696</v>
      </c>
      <c r="P755" s="16" t="s">
        <v>748</v>
      </c>
      <c r="Q755" s="16" t="s">
        <v>748</v>
      </c>
      <c r="R755" s="16" t="s">
        <v>2561</v>
      </c>
    </row>
    <row r="756" spans="13:18" x14ac:dyDescent="0.2">
      <c r="M756" s="20" t="str">
        <f t="shared" si="39"/>
        <v>CUSCO ESPINAR OCORURO</v>
      </c>
      <c r="N756" s="20">
        <f t="shared" si="40"/>
        <v>0</v>
      </c>
      <c r="O756" s="16" t="s">
        <v>696</v>
      </c>
      <c r="P756" s="16" t="s">
        <v>748</v>
      </c>
      <c r="Q756" s="16" t="s">
        <v>751</v>
      </c>
      <c r="R756" s="16" t="s">
        <v>2562</v>
      </c>
    </row>
    <row r="757" spans="13:18" x14ac:dyDescent="0.2">
      <c r="M757" s="20" t="str">
        <f t="shared" si="39"/>
        <v>CUSCO ESPINAR PALLPATA</v>
      </c>
      <c r="N757" s="20">
        <f t="shared" si="40"/>
        <v>0</v>
      </c>
      <c r="O757" s="16" t="s">
        <v>696</v>
      </c>
      <c r="P757" s="16" t="s">
        <v>748</v>
      </c>
      <c r="Q757" s="16" t="s">
        <v>752</v>
      </c>
      <c r="R757" s="16" t="s">
        <v>2563</v>
      </c>
    </row>
    <row r="758" spans="13:18" x14ac:dyDescent="0.2">
      <c r="M758" s="20" t="str">
        <f t="shared" si="39"/>
        <v>CUSCO ESPINAR PICHIGUA</v>
      </c>
      <c r="N758" s="20">
        <f t="shared" si="40"/>
        <v>0</v>
      </c>
      <c r="O758" s="16" t="s">
        <v>696</v>
      </c>
      <c r="P758" s="16" t="s">
        <v>748</v>
      </c>
      <c r="Q758" s="16" t="s">
        <v>753</v>
      </c>
      <c r="R758" s="16" t="s">
        <v>2564</v>
      </c>
    </row>
    <row r="759" spans="13:18" x14ac:dyDescent="0.2">
      <c r="M759" s="20" t="str">
        <f t="shared" si="39"/>
        <v>CUSCO ESPINAR SUYCKUTAMBO</v>
      </c>
      <c r="N759" s="20">
        <f t="shared" si="40"/>
        <v>0</v>
      </c>
      <c r="O759" s="16" t="s">
        <v>696</v>
      </c>
      <c r="P759" s="16" t="s">
        <v>748</v>
      </c>
      <c r="Q759" s="16" t="s">
        <v>754</v>
      </c>
      <c r="R759" s="16" t="s">
        <v>2565</v>
      </c>
    </row>
    <row r="760" spans="13:18" x14ac:dyDescent="0.2">
      <c r="M760" s="20" t="str">
        <f t="shared" si="39"/>
        <v>CUSCO LA CONVENCION ECHARATE</v>
      </c>
      <c r="N760" s="20">
        <f t="shared" si="40"/>
        <v>0</v>
      </c>
      <c r="O760" s="16" t="s">
        <v>696</v>
      </c>
      <c r="P760" s="16" t="s">
        <v>755</v>
      </c>
      <c r="Q760" s="16" t="s">
        <v>756</v>
      </c>
      <c r="R760" s="16" t="s">
        <v>2566</v>
      </c>
    </row>
    <row r="761" spans="13:18" x14ac:dyDescent="0.2">
      <c r="M761" s="20" t="str">
        <f t="shared" si="39"/>
        <v>CUSCO LA CONVENCION HUAYOPATA</v>
      </c>
      <c r="N761" s="20">
        <f t="shared" si="40"/>
        <v>0</v>
      </c>
      <c r="O761" s="16" t="s">
        <v>696</v>
      </c>
      <c r="P761" s="16" t="s">
        <v>755</v>
      </c>
      <c r="Q761" s="16" t="s">
        <v>757</v>
      </c>
      <c r="R761" s="16" t="s">
        <v>2567</v>
      </c>
    </row>
    <row r="762" spans="13:18" x14ac:dyDescent="0.2">
      <c r="M762" s="20" t="str">
        <f t="shared" si="39"/>
        <v>CUSCO LA CONVENCION INKAWASI</v>
      </c>
      <c r="N762" s="20">
        <f t="shared" si="40"/>
        <v>0</v>
      </c>
      <c r="O762" s="16" t="s">
        <v>696</v>
      </c>
      <c r="P762" s="16" t="s">
        <v>755</v>
      </c>
      <c r="Q762" s="16" t="s">
        <v>758</v>
      </c>
      <c r="R762" s="16" t="s">
        <v>2568</v>
      </c>
    </row>
    <row r="763" spans="13:18" x14ac:dyDescent="0.2">
      <c r="M763" s="20" t="str">
        <f t="shared" si="39"/>
        <v>CUSCO LA CONVENCION KIMBIRI</v>
      </c>
      <c r="N763" s="20">
        <f t="shared" si="40"/>
        <v>0</v>
      </c>
      <c r="O763" s="16" t="s">
        <v>696</v>
      </c>
      <c r="P763" s="16" t="s">
        <v>755</v>
      </c>
      <c r="Q763" s="16" t="s">
        <v>759</v>
      </c>
      <c r="R763" s="16" t="s">
        <v>2569</v>
      </c>
    </row>
    <row r="764" spans="13:18" x14ac:dyDescent="0.2">
      <c r="M764" s="20" t="str">
        <f t="shared" si="39"/>
        <v>CUSCO LA CONVENCION MARANURA</v>
      </c>
      <c r="N764" s="20">
        <f t="shared" si="40"/>
        <v>0</v>
      </c>
      <c r="O764" s="16" t="s">
        <v>696</v>
      </c>
      <c r="P764" s="16" t="s">
        <v>755</v>
      </c>
      <c r="Q764" s="16" t="s">
        <v>760</v>
      </c>
      <c r="R764" s="16" t="s">
        <v>2570</v>
      </c>
    </row>
    <row r="765" spans="13:18" x14ac:dyDescent="0.2">
      <c r="M765" s="20" t="str">
        <f t="shared" si="39"/>
        <v>CUSCO LA CONVENCION OCOBAMBA</v>
      </c>
      <c r="N765" s="20">
        <f t="shared" si="40"/>
        <v>0</v>
      </c>
      <c r="O765" s="16" t="s">
        <v>696</v>
      </c>
      <c r="P765" s="16" t="s">
        <v>755</v>
      </c>
      <c r="Q765" s="16" t="s">
        <v>324</v>
      </c>
      <c r="R765" s="16" t="s">
        <v>2571</v>
      </c>
    </row>
    <row r="766" spans="13:18" x14ac:dyDescent="0.2">
      <c r="M766" s="20" t="str">
        <f t="shared" si="39"/>
        <v>CUSCO LA CONVENCION PICHARI</v>
      </c>
      <c r="N766" s="20">
        <f t="shared" si="40"/>
        <v>0</v>
      </c>
      <c r="O766" s="16" t="s">
        <v>696</v>
      </c>
      <c r="P766" s="16" t="s">
        <v>755</v>
      </c>
      <c r="Q766" s="16" t="s">
        <v>761</v>
      </c>
      <c r="R766" s="16" t="s">
        <v>2572</v>
      </c>
    </row>
    <row r="767" spans="13:18" x14ac:dyDescent="0.2">
      <c r="M767" s="20" t="str">
        <f t="shared" si="39"/>
        <v>CUSCO LA CONVENCION QUELLOUNO</v>
      </c>
      <c r="N767" s="20">
        <f t="shared" si="40"/>
        <v>0</v>
      </c>
      <c r="O767" s="16" t="s">
        <v>696</v>
      </c>
      <c r="P767" s="16" t="s">
        <v>755</v>
      </c>
      <c r="Q767" s="16" t="s">
        <v>762</v>
      </c>
      <c r="R767" s="16" t="s">
        <v>2573</v>
      </c>
    </row>
    <row r="768" spans="13:18" x14ac:dyDescent="0.2">
      <c r="M768" s="20" t="str">
        <f t="shared" si="39"/>
        <v>CUSCO LA CONVENCION SANTA ANA</v>
      </c>
      <c r="N768" s="20">
        <f t="shared" si="40"/>
        <v>0</v>
      </c>
      <c r="O768" s="16" t="s">
        <v>696</v>
      </c>
      <c r="P768" s="16" t="s">
        <v>755</v>
      </c>
      <c r="Q768" s="16" t="s">
        <v>763</v>
      </c>
      <c r="R768" s="16" t="s">
        <v>2574</v>
      </c>
    </row>
    <row r="769" spans="13:18" x14ac:dyDescent="0.2">
      <c r="M769" s="20" t="str">
        <f t="shared" si="39"/>
        <v>CUSCO LA CONVENCION SANTA TERESA</v>
      </c>
      <c r="N769" s="20">
        <f t="shared" si="40"/>
        <v>0</v>
      </c>
      <c r="O769" s="16" t="s">
        <v>696</v>
      </c>
      <c r="P769" s="16" t="s">
        <v>755</v>
      </c>
      <c r="Q769" s="16" t="s">
        <v>764</v>
      </c>
      <c r="R769" s="16" t="s">
        <v>2575</v>
      </c>
    </row>
    <row r="770" spans="13:18" x14ac:dyDescent="0.2">
      <c r="M770" s="20" t="str">
        <f t="shared" si="39"/>
        <v>CUSCO LA CONVENCION VILCABAMBA</v>
      </c>
      <c r="N770" s="20">
        <f t="shared" si="40"/>
        <v>0</v>
      </c>
      <c r="O770" s="16" t="s">
        <v>696</v>
      </c>
      <c r="P770" s="16" t="s">
        <v>755</v>
      </c>
      <c r="Q770" s="16" t="s">
        <v>347</v>
      </c>
      <c r="R770" s="16" t="s">
        <v>2576</v>
      </c>
    </row>
    <row r="771" spans="13:18" x14ac:dyDescent="0.2">
      <c r="M771" s="20" t="str">
        <f t="shared" ref="M771:M834" si="41">O771&amp;" "&amp;P771&amp;" "&amp;Q771</f>
        <v>CUSCO LA CONVENCION VILLA VIRGEN</v>
      </c>
      <c r="N771" s="20">
        <f t="shared" ref="N771:N834" si="42">IF(AND($D$9=O771,$D$10=P771),N770+1,0)</f>
        <v>0</v>
      </c>
      <c r="O771" s="16" t="s">
        <v>696</v>
      </c>
      <c r="P771" s="16" t="s">
        <v>755</v>
      </c>
      <c r="Q771" s="16" t="s">
        <v>765</v>
      </c>
      <c r="R771" s="16" t="s">
        <v>2577</v>
      </c>
    </row>
    <row r="772" spans="13:18" x14ac:dyDescent="0.2">
      <c r="M772" s="20" t="str">
        <f t="shared" si="41"/>
        <v>CUSCO PARURO ACCHA</v>
      </c>
      <c r="N772" s="20">
        <f t="shared" si="42"/>
        <v>0</v>
      </c>
      <c r="O772" s="16" t="s">
        <v>696</v>
      </c>
      <c r="P772" s="16" t="s">
        <v>766</v>
      </c>
      <c r="Q772" s="16" t="s">
        <v>767</v>
      </c>
      <c r="R772" s="16" t="s">
        <v>2578</v>
      </c>
    </row>
    <row r="773" spans="13:18" x14ac:dyDescent="0.2">
      <c r="M773" s="20" t="str">
        <f t="shared" si="41"/>
        <v>CUSCO PARURO CCAPI</v>
      </c>
      <c r="N773" s="20">
        <f t="shared" si="42"/>
        <v>0</v>
      </c>
      <c r="O773" s="16" t="s">
        <v>696</v>
      </c>
      <c r="P773" s="16" t="s">
        <v>766</v>
      </c>
      <c r="Q773" s="16" t="s">
        <v>768</v>
      </c>
      <c r="R773" s="16" t="s">
        <v>2579</v>
      </c>
    </row>
    <row r="774" spans="13:18" x14ac:dyDescent="0.2">
      <c r="M774" s="20" t="str">
        <f t="shared" si="41"/>
        <v>CUSCO PARURO COLCHA</v>
      </c>
      <c r="N774" s="20">
        <f t="shared" si="42"/>
        <v>0</v>
      </c>
      <c r="O774" s="16" t="s">
        <v>696</v>
      </c>
      <c r="P774" s="16" t="s">
        <v>766</v>
      </c>
      <c r="Q774" s="16" t="s">
        <v>769</v>
      </c>
      <c r="R774" s="16" t="s">
        <v>2580</v>
      </c>
    </row>
    <row r="775" spans="13:18" x14ac:dyDescent="0.2">
      <c r="M775" s="20" t="str">
        <f t="shared" si="41"/>
        <v>CUSCO PARURO HUANOQUITE</v>
      </c>
      <c r="N775" s="20">
        <f t="shared" si="42"/>
        <v>0</v>
      </c>
      <c r="O775" s="16" t="s">
        <v>696</v>
      </c>
      <c r="P775" s="16" t="s">
        <v>766</v>
      </c>
      <c r="Q775" s="16" t="s">
        <v>770</v>
      </c>
      <c r="R775" s="16" t="s">
        <v>2581</v>
      </c>
    </row>
    <row r="776" spans="13:18" x14ac:dyDescent="0.2">
      <c r="M776" s="20" t="str">
        <f t="shared" si="41"/>
        <v>CUSCO PARURO OMACHA</v>
      </c>
      <c r="N776" s="20">
        <f t="shared" si="42"/>
        <v>0</v>
      </c>
      <c r="O776" s="16" t="s">
        <v>696</v>
      </c>
      <c r="P776" s="16" t="s">
        <v>766</v>
      </c>
      <c r="Q776" s="16" t="s">
        <v>771</v>
      </c>
      <c r="R776" s="16" t="s">
        <v>2582</v>
      </c>
    </row>
    <row r="777" spans="13:18" x14ac:dyDescent="0.2">
      <c r="M777" s="20" t="str">
        <f t="shared" si="41"/>
        <v>CUSCO PARURO PACCARITAMBO</v>
      </c>
      <c r="N777" s="20">
        <f t="shared" si="42"/>
        <v>0</v>
      </c>
      <c r="O777" s="16" t="s">
        <v>696</v>
      </c>
      <c r="P777" s="16" t="s">
        <v>766</v>
      </c>
      <c r="Q777" s="16" t="s">
        <v>772</v>
      </c>
      <c r="R777" s="16" t="s">
        <v>2583</v>
      </c>
    </row>
    <row r="778" spans="13:18" x14ac:dyDescent="0.2">
      <c r="M778" s="20" t="str">
        <f t="shared" si="41"/>
        <v>CUSCO PARURO PARURO</v>
      </c>
      <c r="N778" s="20">
        <f t="shared" si="42"/>
        <v>0</v>
      </c>
      <c r="O778" s="16" t="s">
        <v>696</v>
      </c>
      <c r="P778" s="16" t="s">
        <v>766</v>
      </c>
      <c r="Q778" s="16" t="s">
        <v>766</v>
      </c>
      <c r="R778" s="16" t="s">
        <v>2584</v>
      </c>
    </row>
    <row r="779" spans="13:18" x14ac:dyDescent="0.2">
      <c r="M779" s="20" t="str">
        <f t="shared" si="41"/>
        <v>CUSCO PARURO PILLPINTO</v>
      </c>
      <c r="N779" s="20">
        <f t="shared" si="42"/>
        <v>0</v>
      </c>
      <c r="O779" s="16" t="s">
        <v>696</v>
      </c>
      <c r="P779" s="16" t="s">
        <v>766</v>
      </c>
      <c r="Q779" s="16" t="s">
        <v>773</v>
      </c>
      <c r="R779" s="16" t="s">
        <v>2585</v>
      </c>
    </row>
    <row r="780" spans="13:18" x14ac:dyDescent="0.2">
      <c r="M780" s="20" t="str">
        <f t="shared" si="41"/>
        <v>CUSCO PARURO YAURISQUE</v>
      </c>
      <c r="N780" s="20">
        <f t="shared" si="42"/>
        <v>0</v>
      </c>
      <c r="O780" s="16" t="s">
        <v>696</v>
      </c>
      <c r="P780" s="16" t="s">
        <v>766</v>
      </c>
      <c r="Q780" s="16" t="s">
        <v>774</v>
      </c>
      <c r="R780" s="16" t="s">
        <v>2586</v>
      </c>
    </row>
    <row r="781" spans="13:18" x14ac:dyDescent="0.2">
      <c r="M781" s="20" t="str">
        <f t="shared" si="41"/>
        <v>CUSCO PAUCARTAMBO CAICAY</v>
      </c>
      <c r="N781" s="20">
        <f t="shared" si="42"/>
        <v>0</v>
      </c>
      <c r="O781" s="16" t="s">
        <v>696</v>
      </c>
      <c r="P781" s="16" t="s">
        <v>775</v>
      </c>
      <c r="Q781" s="16" t="s">
        <v>776</v>
      </c>
      <c r="R781" s="16" t="s">
        <v>2587</v>
      </c>
    </row>
    <row r="782" spans="13:18" x14ac:dyDescent="0.2">
      <c r="M782" s="20" t="str">
        <f t="shared" si="41"/>
        <v>CUSCO PAUCARTAMBO CHALLABAMBA</v>
      </c>
      <c r="N782" s="20">
        <f t="shared" si="42"/>
        <v>0</v>
      </c>
      <c r="O782" s="16" t="s">
        <v>696</v>
      </c>
      <c r="P782" s="16" t="s">
        <v>775</v>
      </c>
      <c r="Q782" s="16" t="s">
        <v>777</v>
      </c>
      <c r="R782" s="16" t="s">
        <v>2588</v>
      </c>
    </row>
    <row r="783" spans="13:18" x14ac:dyDescent="0.2">
      <c r="M783" s="20" t="str">
        <f t="shared" si="41"/>
        <v>CUSCO PAUCARTAMBO COLQUEPATA</v>
      </c>
      <c r="N783" s="20">
        <f t="shared" si="42"/>
        <v>0</v>
      </c>
      <c r="O783" s="16" t="s">
        <v>696</v>
      </c>
      <c r="P783" s="16" t="s">
        <v>775</v>
      </c>
      <c r="Q783" s="16" t="s">
        <v>778</v>
      </c>
      <c r="R783" s="16" t="s">
        <v>2589</v>
      </c>
    </row>
    <row r="784" spans="13:18" x14ac:dyDescent="0.2">
      <c r="M784" s="20" t="str">
        <f t="shared" si="41"/>
        <v>CUSCO PAUCARTAMBO HUANCARANI</v>
      </c>
      <c r="N784" s="20">
        <f t="shared" si="42"/>
        <v>0</v>
      </c>
      <c r="O784" s="16" t="s">
        <v>696</v>
      </c>
      <c r="P784" s="16" t="s">
        <v>775</v>
      </c>
      <c r="Q784" s="16" t="s">
        <v>779</v>
      </c>
      <c r="R784" s="16" t="s">
        <v>2590</v>
      </c>
    </row>
    <row r="785" spans="13:18" x14ac:dyDescent="0.2">
      <c r="M785" s="20" t="str">
        <f t="shared" si="41"/>
        <v>CUSCO PAUCARTAMBO KOSÑIPATA</v>
      </c>
      <c r="N785" s="20">
        <f t="shared" si="42"/>
        <v>0</v>
      </c>
      <c r="O785" s="16" t="s">
        <v>696</v>
      </c>
      <c r="P785" s="16" t="s">
        <v>775</v>
      </c>
      <c r="Q785" s="16" t="s">
        <v>780</v>
      </c>
      <c r="R785" s="16" t="s">
        <v>2591</v>
      </c>
    </row>
    <row r="786" spans="13:18" x14ac:dyDescent="0.2">
      <c r="M786" s="20" t="str">
        <f t="shared" si="41"/>
        <v>CUSCO PAUCARTAMBO PAUCARTAMBO</v>
      </c>
      <c r="N786" s="20">
        <f t="shared" si="42"/>
        <v>0</v>
      </c>
      <c r="O786" s="16" t="s">
        <v>696</v>
      </c>
      <c r="P786" s="16" t="s">
        <v>775</v>
      </c>
      <c r="Q786" s="16" t="s">
        <v>775</v>
      </c>
      <c r="R786" s="16" t="s">
        <v>2592</v>
      </c>
    </row>
    <row r="787" spans="13:18" x14ac:dyDescent="0.2">
      <c r="M787" s="20" t="str">
        <f t="shared" si="41"/>
        <v>CUSCO QUISPICANCHI ANDAHUAYLILLAS</v>
      </c>
      <c r="N787" s="20">
        <f t="shared" si="42"/>
        <v>0</v>
      </c>
      <c r="O787" s="16" t="s">
        <v>696</v>
      </c>
      <c r="P787" s="16" t="s">
        <v>781</v>
      </c>
      <c r="Q787" s="16" t="s">
        <v>782</v>
      </c>
      <c r="R787" s="16" t="s">
        <v>2593</v>
      </c>
    </row>
    <row r="788" spans="13:18" x14ac:dyDescent="0.2">
      <c r="M788" s="20" t="str">
        <f t="shared" si="41"/>
        <v>CUSCO QUISPICANCHI CAMANTI</v>
      </c>
      <c r="N788" s="20">
        <f t="shared" si="42"/>
        <v>0</v>
      </c>
      <c r="O788" s="16" t="s">
        <v>696</v>
      </c>
      <c r="P788" s="16" t="s">
        <v>781</v>
      </c>
      <c r="Q788" s="16" t="s">
        <v>783</v>
      </c>
      <c r="R788" s="16" t="s">
        <v>2594</v>
      </c>
    </row>
    <row r="789" spans="13:18" x14ac:dyDescent="0.2">
      <c r="M789" s="20" t="str">
        <f t="shared" si="41"/>
        <v>CUSCO QUISPICANCHI CCARHUAYO</v>
      </c>
      <c r="N789" s="20">
        <f t="shared" si="42"/>
        <v>0</v>
      </c>
      <c r="O789" s="16" t="s">
        <v>696</v>
      </c>
      <c r="P789" s="16" t="s">
        <v>781</v>
      </c>
      <c r="Q789" s="16" t="s">
        <v>784</v>
      </c>
      <c r="R789" s="16" t="s">
        <v>2595</v>
      </c>
    </row>
    <row r="790" spans="13:18" x14ac:dyDescent="0.2">
      <c r="M790" s="20" t="str">
        <f t="shared" si="41"/>
        <v>CUSCO QUISPICANCHI CCATCA</v>
      </c>
      <c r="N790" s="20">
        <f t="shared" si="42"/>
        <v>0</v>
      </c>
      <c r="O790" s="16" t="s">
        <v>696</v>
      </c>
      <c r="P790" s="16" t="s">
        <v>781</v>
      </c>
      <c r="Q790" s="16" t="s">
        <v>785</v>
      </c>
      <c r="R790" s="16" t="s">
        <v>2596</v>
      </c>
    </row>
    <row r="791" spans="13:18" x14ac:dyDescent="0.2">
      <c r="M791" s="20" t="str">
        <f t="shared" si="41"/>
        <v>CUSCO QUISPICANCHI CUSIPATA</v>
      </c>
      <c r="N791" s="20">
        <f t="shared" si="42"/>
        <v>0</v>
      </c>
      <c r="O791" s="16" t="s">
        <v>696</v>
      </c>
      <c r="P791" s="16" t="s">
        <v>781</v>
      </c>
      <c r="Q791" s="16" t="s">
        <v>786</v>
      </c>
      <c r="R791" s="16" t="s">
        <v>2597</v>
      </c>
    </row>
    <row r="792" spans="13:18" x14ac:dyDescent="0.2">
      <c r="M792" s="20" t="str">
        <f t="shared" si="41"/>
        <v>CUSCO QUISPICANCHI HUARO</v>
      </c>
      <c r="N792" s="20">
        <f t="shared" si="42"/>
        <v>0</v>
      </c>
      <c r="O792" s="16" t="s">
        <v>696</v>
      </c>
      <c r="P792" s="16" t="s">
        <v>781</v>
      </c>
      <c r="Q792" s="16" t="s">
        <v>787</v>
      </c>
      <c r="R792" s="16" t="s">
        <v>2598</v>
      </c>
    </row>
    <row r="793" spans="13:18" x14ac:dyDescent="0.2">
      <c r="M793" s="20" t="str">
        <f t="shared" si="41"/>
        <v>CUSCO QUISPICANCHI LUCRE</v>
      </c>
      <c r="N793" s="20">
        <f t="shared" si="42"/>
        <v>0</v>
      </c>
      <c r="O793" s="16" t="s">
        <v>696</v>
      </c>
      <c r="P793" s="16" t="s">
        <v>781</v>
      </c>
      <c r="Q793" s="16" t="s">
        <v>310</v>
      </c>
      <c r="R793" s="16" t="s">
        <v>2599</v>
      </c>
    </row>
    <row r="794" spans="13:18" x14ac:dyDescent="0.2">
      <c r="M794" s="20" t="str">
        <f t="shared" si="41"/>
        <v>CUSCO QUISPICANCHI MARCAPATA</v>
      </c>
      <c r="N794" s="20">
        <f t="shared" si="42"/>
        <v>0</v>
      </c>
      <c r="O794" s="16" t="s">
        <v>696</v>
      </c>
      <c r="P794" s="16" t="s">
        <v>781</v>
      </c>
      <c r="Q794" s="16" t="s">
        <v>788</v>
      </c>
      <c r="R794" s="16" t="s">
        <v>2600</v>
      </c>
    </row>
    <row r="795" spans="13:18" x14ac:dyDescent="0.2">
      <c r="M795" s="20" t="str">
        <f t="shared" si="41"/>
        <v>CUSCO QUISPICANCHI OCONGATE</v>
      </c>
      <c r="N795" s="20">
        <f t="shared" si="42"/>
        <v>0</v>
      </c>
      <c r="O795" s="16" t="s">
        <v>696</v>
      </c>
      <c r="P795" s="16" t="s">
        <v>781</v>
      </c>
      <c r="Q795" s="16" t="s">
        <v>789</v>
      </c>
      <c r="R795" s="16" t="s">
        <v>2601</v>
      </c>
    </row>
    <row r="796" spans="13:18" x14ac:dyDescent="0.2">
      <c r="M796" s="20" t="str">
        <f t="shared" si="41"/>
        <v>CUSCO QUISPICANCHI OROPESA</v>
      </c>
      <c r="N796" s="20">
        <f t="shared" si="42"/>
        <v>0</v>
      </c>
      <c r="O796" s="16" t="s">
        <v>696</v>
      </c>
      <c r="P796" s="16" t="s">
        <v>781</v>
      </c>
      <c r="Q796" s="16" t="s">
        <v>299</v>
      </c>
      <c r="R796" s="16" t="s">
        <v>2602</v>
      </c>
    </row>
    <row r="797" spans="13:18" x14ac:dyDescent="0.2">
      <c r="M797" s="20" t="str">
        <f t="shared" si="41"/>
        <v>CUSCO QUISPICANCHI QUIQUIJANA</v>
      </c>
      <c r="N797" s="20">
        <f t="shared" si="42"/>
        <v>0</v>
      </c>
      <c r="O797" s="16" t="s">
        <v>696</v>
      </c>
      <c r="P797" s="16" t="s">
        <v>781</v>
      </c>
      <c r="Q797" s="16" t="s">
        <v>790</v>
      </c>
      <c r="R797" s="16" t="s">
        <v>2603</v>
      </c>
    </row>
    <row r="798" spans="13:18" x14ac:dyDescent="0.2">
      <c r="M798" s="20" t="str">
        <f t="shared" si="41"/>
        <v>CUSCO QUISPICANCHI URCOS</v>
      </c>
      <c r="N798" s="20">
        <f t="shared" si="42"/>
        <v>0</v>
      </c>
      <c r="O798" s="16" t="s">
        <v>696</v>
      </c>
      <c r="P798" s="16" t="s">
        <v>781</v>
      </c>
      <c r="Q798" s="16" t="s">
        <v>791</v>
      </c>
      <c r="R798" s="16" t="s">
        <v>2604</v>
      </c>
    </row>
    <row r="799" spans="13:18" x14ac:dyDescent="0.2">
      <c r="M799" s="20" t="str">
        <f t="shared" si="41"/>
        <v>CUSCO URUBAMBA CHINCHERO</v>
      </c>
      <c r="N799" s="20">
        <f t="shared" si="42"/>
        <v>0</v>
      </c>
      <c r="O799" s="16" t="s">
        <v>696</v>
      </c>
      <c r="P799" s="16" t="s">
        <v>792</v>
      </c>
      <c r="Q799" s="16" t="s">
        <v>793</v>
      </c>
      <c r="R799" s="16" t="s">
        <v>2605</v>
      </c>
    </row>
    <row r="800" spans="13:18" x14ac:dyDescent="0.2">
      <c r="M800" s="20" t="str">
        <f t="shared" si="41"/>
        <v>CUSCO URUBAMBA HUAYLLABAMBA</v>
      </c>
      <c r="N800" s="20">
        <f t="shared" si="42"/>
        <v>0</v>
      </c>
      <c r="O800" s="16" t="s">
        <v>696</v>
      </c>
      <c r="P800" s="16" t="s">
        <v>792</v>
      </c>
      <c r="Q800" s="16" t="s">
        <v>251</v>
      </c>
      <c r="R800" s="16" t="s">
        <v>2606</v>
      </c>
    </row>
    <row r="801" spans="13:18" x14ac:dyDescent="0.2">
      <c r="M801" s="20" t="str">
        <f t="shared" si="41"/>
        <v>CUSCO URUBAMBA MACHUPICCHU</v>
      </c>
      <c r="N801" s="20">
        <f t="shared" si="42"/>
        <v>0</v>
      </c>
      <c r="O801" s="16" t="s">
        <v>696</v>
      </c>
      <c r="P801" s="16" t="s">
        <v>792</v>
      </c>
      <c r="Q801" s="16" t="s">
        <v>794</v>
      </c>
      <c r="R801" s="16" t="s">
        <v>2607</v>
      </c>
    </row>
    <row r="802" spans="13:18" x14ac:dyDescent="0.2">
      <c r="M802" s="20" t="str">
        <f t="shared" si="41"/>
        <v>CUSCO URUBAMBA MARAS</v>
      </c>
      <c r="N802" s="20">
        <f t="shared" si="42"/>
        <v>0</v>
      </c>
      <c r="O802" s="16" t="s">
        <v>696</v>
      </c>
      <c r="P802" s="16" t="s">
        <v>792</v>
      </c>
      <c r="Q802" s="16" t="s">
        <v>796</v>
      </c>
      <c r="R802" s="16" t="s">
        <v>2608</v>
      </c>
    </row>
    <row r="803" spans="13:18" x14ac:dyDescent="0.2">
      <c r="M803" s="20" t="str">
        <f t="shared" si="41"/>
        <v>CUSCO URUBAMBA OLLANTAYTAMBO</v>
      </c>
      <c r="N803" s="20">
        <f t="shared" si="42"/>
        <v>0</v>
      </c>
      <c r="O803" s="16" t="s">
        <v>696</v>
      </c>
      <c r="P803" s="16" t="s">
        <v>792</v>
      </c>
      <c r="Q803" s="16" t="s">
        <v>797</v>
      </c>
      <c r="R803" s="16" t="s">
        <v>2609</v>
      </c>
    </row>
    <row r="804" spans="13:18" x14ac:dyDescent="0.2">
      <c r="M804" s="20" t="str">
        <f t="shared" si="41"/>
        <v>CUSCO URUBAMBA URUBAMBA</v>
      </c>
      <c r="N804" s="20">
        <f t="shared" si="42"/>
        <v>0</v>
      </c>
      <c r="O804" s="16" t="s">
        <v>696</v>
      </c>
      <c r="P804" s="16" t="s">
        <v>792</v>
      </c>
      <c r="Q804" s="16" t="s">
        <v>792</v>
      </c>
      <c r="R804" s="16" t="s">
        <v>2610</v>
      </c>
    </row>
    <row r="805" spans="13:18" x14ac:dyDescent="0.2">
      <c r="M805" s="20" t="str">
        <f t="shared" si="41"/>
        <v>CUSCO URUBAMBA YUCAY</v>
      </c>
      <c r="N805" s="20">
        <f t="shared" si="42"/>
        <v>0</v>
      </c>
      <c r="O805" s="16" t="s">
        <v>696</v>
      </c>
      <c r="P805" s="16" t="s">
        <v>792</v>
      </c>
      <c r="Q805" s="16" t="s">
        <v>798</v>
      </c>
      <c r="R805" s="16" t="s">
        <v>2611</v>
      </c>
    </row>
    <row r="806" spans="13:18" x14ac:dyDescent="0.2">
      <c r="M806" s="20" t="str">
        <f t="shared" si="41"/>
        <v>HUANCAVELICA ACOBAMBA ACOBAMBA</v>
      </c>
      <c r="N806" s="20">
        <f t="shared" si="42"/>
        <v>0</v>
      </c>
      <c r="O806" s="16" t="s">
        <v>799</v>
      </c>
      <c r="P806" s="16" t="s">
        <v>247</v>
      </c>
      <c r="Q806" s="16" t="s">
        <v>247</v>
      </c>
      <c r="R806" s="16" t="s">
        <v>2612</v>
      </c>
    </row>
    <row r="807" spans="13:18" x14ac:dyDescent="0.2">
      <c r="M807" s="20" t="str">
        <f t="shared" si="41"/>
        <v>HUANCAVELICA ACOBAMBA ANDABAMBA</v>
      </c>
      <c r="N807" s="20">
        <f t="shared" si="42"/>
        <v>0</v>
      </c>
      <c r="O807" s="16" t="s">
        <v>799</v>
      </c>
      <c r="P807" s="16" t="s">
        <v>247</v>
      </c>
      <c r="Q807" s="16" t="s">
        <v>680</v>
      </c>
      <c r="R807" s="16" t="s">
        <v>2613</v>
      </c>
    </row>
    <row r="808" spans="13:18" x14ac:dyDescent="0.2">
      <c r="M808" s="20" t="str">
        <f t="shared" si="41"/>
        <v>HUANCAVELICA ACOBAMBA ANTA</v>
      </c>
      <c r="N808" s="20">
        <f t="shared" si="42"/>
        <v>0</v>
      </c>
      <c r="O808" s="16" t="s">
        <v>799</v>
      </c>
      <c r="P808" s="16" t="s">
        <v>247</v>
      </c>
      <c r="Q808" s="16" t="s">
        <v>130</v>
      </c>
      <c r="R808" s="16" t="s">
        <v>2614</v>
      </c>
    </row>
    <row r="809" spans="13:18" x14ac:dyDescent="0.2">
      <c r="M809" s="20" t="str">
        <f t="shared" si="41"/>
        <v>HUANCAVELICA ACOBAMBA CAJA</v>
      </c>
      <c r="N809" s="20">
        <f t="shared" si="42"/>
        <v>0</v>
      </c>
      <c r="O809" s="16" t="s">
        <v>799</v>
      </c>
      <c r="P809" s="16" t="s">
        <v>247</v>
      </c>
      <c r="Q809" s="16" t="s">
        <v>800</v>
      </c>
      <c r="R809" s="16" t="s">
        <v>2615</v>
      </c>
    </row>
    <row r="810" spans="13:18" x14ac:dyDescent="0.2">
      <c r="M810" s="20" t="str">
        <f t="shared" si="41"/>
        <v>HUANCAVELICA ACOBAMBA MARCAS</v>
      </c>
      <c r="N810" s="20">
        <f t="shared" si="42"/>
        <v>0</v>
      </c>
      <c r="O810" s="16" t="s">
        <v>799</v>
      </c>
      <c r="P810" s="16" t="s">
        <v>247</v>
      </c>
      <c r="Q810" s="16" t="s">
        <v>801</v>
      </c>
      <c r="R810" s="16" t="s">
        <v>2616</v>
      </c>
    </row>
    <row r="811" spans="13:18" x14ac:dyDescent="0.2">
      <c r="M811" s="20" t="str">
        <f t="shared" si="41"/>
        <v>HUANCAVELICA ACOBAMBA PAUCARA</v>
      </c>
      <c r="N811" s="20">
        <f t="shared" si="42"/>
        <v>0</v>
      </c>
      <c r="O811" s="16" t="s">
        <v>799</v>
      </c>
      <c r="P811" s="16" t="s">
        <v>247</v>
      </c>
      <c r="Q811" s="16" t="s">
        <v>802</v>
      </c>
      <c r="R811" s="16" t="s">
        <v>2617</v>
      </c>
    </row>
    <row r="812" spans="13:18" x14ac:dyDescent="0.2">
      <c r="M812" s="20" t="str">
        <f t="shared" si="41"/>
        <v>HUANCAVELICA ACOBAMBA POMACOCHA</v>
      </c>
      <c r="N812" s="20">
        <f t="shared" si="42"/>
        <v>0</v>
      </c>
      <c r="O812" s="16" t="s">
        <v>799</v>
      </c>
      <c r="P812" s="16" t="s">
        <v>247</v>
      </c>
      <c r="Q812" s="16" t="s">
        <v>289</v>
      </c>
      <c r="R812" s="16" t="s">
        <v>2618</v>
      </c>
    </row>
    <row r="813" spans="13:18" x14ac:dyDescent="0.2">
      <c r="M813" s="20" t="str">
        <f t="shared" si="41"/>
        <v>HUANCAVELICA ACOBAMBA ROSARIO</v>
      </c>
      <c r="N813" s="20">
        <f t="shared" si="42"/>
        <v>0</v>
      </c>
      <c r="O813" s="16" t="s">
        <v>799</v>
      </c>
      <c r="P813" s="16" t="s">
        <v>247</v>
      </c>
      <c r="Q813" s="16" t="s">
        <v>803</v>
      </c>
      <c r="R813" s="16" t="s">
        <v>2619</v>
      </c>
    </row>
    <row r="814" spans="13:18" x14ac:dyDescent="0.2">
      <c r="M814" s="20" t="str">
        <f t="shared" si="41"/>
        <v>HUANCAVELICA ANGARAES ANCHONGA</v>
      </c>
      <c r="N814" s="20">
        <f t="shared" si="42"/>
        <v>0</v>
      </c>
      <c r="O814" s="16" t="s">
        <v>799</v>
      </c>
      <c r="P814" s="16" t="s">
        <v>804</v>
      </c>
      <c r="Q814" s="16" t="s">
        <v>805</v>
      </c>
      <c r="R814" s="16" t="s">
        <v>2620</v>
      </c>
    </row>
    <row r="815" spans="13:18" x14ac:dyDescent="0.2">
      <c r="M815" s="20" t="str">
        <f t="shared" si="41"/>
        <v>HUANCAVELICA ANGARAES CALLANMARCA</v>
      </c>
      <c r="N815" s="20">
        <f t="shared" si="42"/>
        <v>0</v>
      </c>
      <c r="O815" s="16" t="s">
        <v>799</v>
      </c>
      <c r="P815" s="16" t="s">
        <v>804</v>
      </c>
      <c r="Q815" s="16" t="s">
        <v>806</v>
      </c>
      <c r="R815" s="16" t="s">
        <v>2621</v>
      </c>
    </row>
    <row r="816" spans="13:18" x14ac:dyDescent="0.2">
      <c r="M816" s="20" t="str">
        <f t="shared" si="41"/>
        <v>HUANCAVELICA ANGARAES CCOCHACCASA</v>
      </c>
      <c r="N816" s="20">
        <f t="shared" si="42"/>
        <v>0</v>
      </c>
      <c r="O816" s="16" t="s">
        <v>799</v>
      </c>
      <c r="P816" s="16" t="s">
        <v>804</v>
      </c>
      <c r="Q816" s="16" t="s">
        <v>807</v>
      </c>
      <c r="R816" s="16" t="s">
        <v>2622</v>
      </c>
    </row>
    <row r="817" spans="13:18" x14ac:dyDescent="0.2">
      <c r="M817" s="20" t="str">
        <f t="shared" si="41"/>
        <v>HUANCAVELICA ANGARAES CHINCHO</v>
      </c>
      <c r="N817" s="20">
        <f t="shared" si="42"/>
        <v>0</v>
      </c>
      <c r="O817" s="16" t="s">
        <v>799</v>
      </c>
      <c r="P817" s="16" t="s">
        <v>804</v>
      </c>
      <c r="Q817" s="16" t="s">
        <v>808</v>
      </c>
      <c r="R817" s="16" t="s">
        <v>2623</v>
      </c>
    </row>
    <row r="818" spans="13:18" x14ac:dyDescent="0.2">
      <c r="M818" s="20" t="str">
        <f t="shared" si="41"/>
        <v>HUANCAVELICA ANGARAES CONGALLA</v>
      </c>
      <c r="N818" s="20">
        <f t="shared" si="42"/>
        <v>0</v>
      </c>
      <c r="O818" s="16" t="s">
        <v>799</v>
      </c>
      <c r="P818" s="16" t="s">
        <v>804</v>
      </c>
      <c r="Q818" s="16" t="s">
        <v>809</v>
      </c>
      <c r="R818" s="16" t="s">
        <v>2624</v>
      </c>
    </row>
    <row r="819" spans="13:18" x14ac:dyDescent="0.2">
      <c r="M819" s="20" t="str">
        <f t="shared" si="41"/>
        <v>HUANCAVELICA ANGARAES HUANCA-HUANCA</v>
      </c>
      <c r="N819" s="20">
        <f t="shared" si="42"/>
        <v>0</v>
      </c>
      <c r="O819" s="16" t="s">
        <v>799</v>
      </c>
      <c r="P819" s="16" t="s">
        <v>804</v>
      </c>
      <c r="Q819" s="16" t="s">
        <v>810</v>
      </c>
      <c r="R819" s="16" t="s">
        <v>2625</v>
      </c>
    </row>
    <row r="820" spans="13:18" x14ac:dyDescent="0.2">
      <c r="M820" s="20" t="str">
        <f t="shared" si="41"/>
        <v>HUANCAVELICA ANGARAES HUAYLLAY GRANDE</v>
      </c>
      <c r="N820" s="20">
        <f t="shared" si="42"/>
        <v>0</v>
      </c>
      <c r="O820" s="16" t="s">
        <v>799</v>
      </c>
      <c r="P820" s="16" t="s">
        <v>804</v>
      </c>
      <c r="Q820" s="16" t="s">
        <v>811</v>
      </c>
      <c r="R820" s="16" t="s">
        <v>2626</v>
      </c>
    </row>
    <row r="821" spans="13:18" x14ac:dyDescent="0.2">
      <c r="M821" s="20" t="str">
        <f t="shared" si="41"/>
        <v>HUANCAVELICA ANGARAES JULCAMARCA</v>
      </c>
      <c r="N821" s="20">
        <f t="shared" si="42"/>
        <v>0</v>
      </c>
      <c r="O821" s="16" t="s">
        <v>799</v>
      </c>
      <c r="P821" s="16" t="s">
        <v>804</v>
      </c>
      <c r="Q821" s="16" t="s">
        <v>812</v>
      </c>
      <c r="R821" s="16" t="s">
        <v>2627</v>
      </c>
    </row>
    <row r="822" spans="13:18" x14ac:dyDescent="0.2">
      <c r="M822" s="20" t="str">
        <f t="shared" si="41"/>
        <v>HUANCAVELICA ANGARAES LIRCAY</v>
      </c>
      <c r="N822" s="20">
        <f t="shared" si="42"/>
        <v>0</v>
      </c>
      <c r="O822" s="16" t="s">
        <v>799</v>
      </c>
      <c r="P822" s="16" t="s">
        <v>804</v>
      </c>
      <c r="Q822" s="16" t="s">
        <v>813</v>
      </c>
      <c r="R822" s="16" t="s">
        <v>2628</v>
      </c>
    </row>
    <row r="823" spans="13:18" x14ac:dyDescent="0.2">
      <c r="M823" s="20" t="str">
        <f t="shared" si="41"/>
        <v>HUANCAVELICA ANGARAES SAN ANTONIO DE ANTAPARCO</v>
      </c>
      <c r="N823" s="20">
        <f t="shared" si="42"/>
        <v>0</v>
      </c>
      <c r="O823" s="16" t="s">
        <v>799</v>
      </c>
      <c r="P823" s="16" t="s">
        <v>804</v>
      </c>
      <c r="Q823" s="16" t="s">
        <v>814</v>
      </c>
      <c r="R823" s="16" t="s">
        <v>2629</v>
      </c>
    </row>
    <row r="824" spans="13:18" x14ac:dyDescent="0.2">
      <c r="M824" s="20" t="str">
        <f t="shared" si="41"/>
        <v>HUANCAVELICA ANGARAES SANTO TOMAS DE PATA</v>
      </c>
      <c r="N824" s="20">
        <f t="shared" si="42"/>
        <v>0</v>
      </c>
      <c r="O824" s="16" t="s">
        <v>799</v>
      </c>
      <c r="P824" s="16" t="s">
        <v>804</v>
      </c>
      <c r="Q824" s="16" t="s">
        <v>815</v>
      </c>
      <c r="R824" s="16" t="s">
        <v>2630</v>
      </c>
    </row>
    <row r="825" spans="13:18" x14ac:dyDescent="0.2">
      <c r="M825" s="20" t="str">
        <f t="shared" si="41"/>
        <v>HUANCAVELICA ANGARAES SECCLLA</v>
      </c>
      <c r="N825" s="20">
        <f t="shared" si="42"/>
        <v>0</v>
      </c>
      <c r="O825" s="16" t="s">
        <v>799</v>
      </c>
      <c r="P825" s="16" t="s">
        <v>804</v>
      </c>
      <c r="Q825" s="16" t="s">
        <v>816</v>
      </c>
      <c r="R825" s="16" t="s">
        <v>2631</v>
      </c>
    </row>
    <row r="826" spans="13:18" x14ac:dyDescent="0.2">
      <c r="M826" s="20" t="str">
        <f t="shared" si="41"/>
        <v>HUANCAVELICA CASTROVIRREYNA ARMA</v>
      </c>
      <c r="N826" s="20">
        <f t="shared" si="42"/>
        <v>0</v>
      </c>
      <c r="O826" s="16" t="s">
        <v>799</v>
      </c>
      <c r="P826" s="16" t="s">
        <v>817</v>
      </c>
      <c r="Q826" s="16" t="s">
        <v>818</v>
      </c>
      <c r="R826" s="16" t="s">
        <v>2632</v>
      </c>
    </row>
    <row r="827" spans="13:18" x14ac:dyDescent="0.2">
      <c r="M827" s="20" t="str">
        <f t="shared" si="41"/>
        <v>HUANCAVELICA CASTROVIRREYNA AURAHUA</v>
      </c>
      <c r="N827" s="20">
        <f t="shared" si="42"/>
        <v>0</v>
      </c>
      <c r="O827" s="16" t="s">
        <v>799</v>
      </c>
      <c r="P827" s="16" t="s">
        <v>817</v>
      </c>
      <c r="Q827" s="16" t="s">
        <v>819</v>
      </c>
      <c r="R827" s="16" t="s">
        <v>2633</v>
      </c>
    </row>
    <row r="828" spans="13:18" x14ac:dyDescent="0.2">
      <c r="M828" s="20" t="str">
        <f t="shared" si="41"/>
        <v>HUANCAVELICA CASTROVIRREYNA CAPILLAS</v>
      </c>
      <c r="N828" s="20">
        <f t="shared" si="42"/>
        <v>0</v>
      </c>
      <c r="O828" s="16" t="s">
        <v>799</v>
      </c>
      <c r="P828" s="16" t="s">
        <v>817</v>
      </c>
      <c r="Q828" s="16" t="s">
        <v>820</v>
      </c>
      <c r="R828" s="16" t="s">
        <v>2634</v>
      </c>
    </row>
    <row r="829" spans="13:18" x14ac:dyDescent="0.2">
      <c r="M829" s="20" t="str">
        <f t="shared" si="41"/>
        <v>HUANCAVELICA CASTROVIRREYNA CASTROVIRREYNA</v>
      </c>
      <c r="N829" s="20">
        <f t="shared" si="42"/>
        <v>0</v>
      </c>
      <c r="O829" s="16" t="s">
        <v>799</v>
      </c>
      <c r="P829" s="16" t="s">
        <v>817</v>
      </c>
      <c r="Q829" s="16" t="s">
        <v>817</v>
      </c>
      <c r="R829" s="16" t="s">
        <v>2635</v>
      </c>
    </row>
    <row r="830" spans="13:18" x14ac:dyDescent="0.2">
      <c r="M830" s="20" t="str">
        <f t="shared" si="41"/>
        <v>HUANCAVELICA CASTROVIRREYNA CHUPAMARCA</v>
      </c>
      <c r="N830" s="20">
        <f t="shared" si="42"/>
        <v>0</v>
      </c>
      <c r="O830" s="16" t="s">
        <v>799</v>
      </c>
      <c r="P830" s="16" t="s">
        <v>817</v>
      </c>
      <c r="Q830" s="16" t="s">
        <v>821</v>
      </c>
      <c r="R830" s="16" t="s">
        <v>2636</v>
      </c>
    </row>
    <row r="831" spans="13:18" x14ac:dyDescent="0.2">
      <c r="M831" s="20" t="str">
        <f t="shared" si="41"/>
        <v>HUANCAVELICA CASTROVIRREYNA COCAS</v>
      </c>
      <c r="N831" s="20">
        <f t="shared" si="42"/>
        <v>0</v>
      </c>
      <c r="O831" s="16" t="s">
        <v>799</v>
      </c>
      <c r="P831" s="16" t="s">
        <v>817</v>
      </c>
      <c r="Q831" s="16" t="s">
        <v>822</v>
      </c>
      <c r="R831" s="16" t="s">
        <v>2637</v>
      </c>
    </row>
    <row r="832" spans="13:18" x14ac:dyDescent="0.2">
      <c r="M832" s="20" t="str">
        <f t="shared" si="41"/>
        <v>HUANCAVELICA CASTROVIRREYNA HUACHOS</v>
      </c>
      <c r="N832" s="20">
        <f t="shared" si="42"/>
        <v>0</v>
      </c>
      <c r="O832" s="16" t="s">
        <v>799</v>
      </c>
      <c r="P832" s="16" t="s">
        <v>817</v>
      </c>
      <c r="Q832" s="16" t="s">
        <v>823</v>
      </c>
      <c r="R832" s="16" t="s">
        <v>2638</v>
      </c>
    </row>
    <row r="833" spans="13:18" x14ac:dyDescent="0.2">
      <c r="M833" s="20" t="str">
        <f t="shared" si="41"/>
        <v>HUANCAVELICA CASTROVIRREYNA HUAMATAMBO</v>
      </c>
      <c r="N833" s="20">
        <f t="shared" si="42"/>
        <v>0</v>
      </c>
      <c r="O833" s="16" t="s">
        <v>799</v>
      </c>
      <c r="P833" s="16" t="s">
        <v>817</v>
      </c>
      <c r="Q833" s="16" t="s">
        <v>824</v>
      </c>
      <c r="R833" s="16" t="s">
        <v>2639</v>
      </c>
    </row>
    <row r="834" spans="13:18" x14ac:dyDescent="0.2">
      <c r="M834" s="20" t="str">
        <f t="shared" si="41"/>
        <v>HUANCAVELICA CASTROVIRREYNA MOLLEPAMPA</v>
      </c>
      <c r="N834" s="20">
        <f t="shared" si="42"/>
        <v>0</v>
      </c>
      <c r="O834" s="16" t="s">
        <v>799</v>
      </c>
      <c r="P834" s="16" t="s">
        <v>817</v>
      </c>
      <c r="Q834" s="16" t="s">
        <v>825</v>
      </c>
      <c r="R834" s="16" t="s">
        <v>2640</v>
      </c>
    </row>
    <row r="835" spans="13:18" x14ac:dyDescent="0.2">
      <c r="M835" s="20" t="str">
        <f t="shared" ref="M835:M898" si="43">O835&amp;" "&amp;P835&amp;" "&amp;Q835</f>
        <v>HUANCAVELICA CASTROVIRREYNA SAN JUAN</v>
      </c>
      <c r="N835" s="20">
        <f t="shared" ref="N835:N898" si="44">IF(AND($D$9=O835,$D$10=P835),N834+1,0)</f>
        <v>0</v>
      </c>
      <c r="O835" s="16" t="s">
        <v>799</v>
      </c>
      <c r="P835" s="16" t="s">
        <v>817</v>
      </c>
      <c r="Q835" s="16" t="s">
        <v>255</v>
      </c>
      <c r="R835" s="16" t="s">
        <v>2641</v>
      </c>
    </row>
    <row r="836" spans="13:18" x14ac:dyDescent="0.2">
      <c r="M836" s="20" t="str">
        <f t="shared" si="43"/>
        <v>HUANCAVELICA CASTROVIRREYNA SANTA ANA</v>
      </c>
      <c r="N836" s="20">
        <f t="shared" si="44"/>
        <v>0</v>
      </c>
      <c r="O836" s="16" t="s">
        <v>799</v>
      </c>
      <c r="P836" s="16" t="s">
        <v>817</v>
      </c>
      <c r="Q836" s="16" t="s">
        <v>763</v>
      </c>
      <c r="R836" s="16" t="s">
        <v>2642</v>
      </c>
    </row>
    <row r="837" spans="13:18" x14ac:dyDescent="0.2">
      <c r="M837" s="20" t="str">
        <f t="shared" si="43"/>
        <v>HUANCAVELICA CASTROVIRREYNA TANTARA</v>
      </c>
      <c r="N837" s="20">
        <f t="shared" si="44"/>
        <v>0</v>
      </c>
      <c r="O837" s="16" t="s">
        <v>799</v>
      </c>
      <c r="P837" s="16" t="s">
        <v>817</v>
      </c>
      <c r="Q837" s="16" t="s">
        <v>826</v>
      </c>
      <c r="R837" s="16" t="s">
        <v>2643</v>
      </c>
    </row>
    <row r="838" spans="13:18" x14ac:dyDescent="0.2">
      <c r="M838" s="20" t="str">
        <f t="shared" si="43"/>
        <v>HUANCAVELICA CASTROVIRREYNA TICRAPO</v>
      </c>
      <c r="N838" s="20">
        <f t="shared" si="44"/>
        <v>0</v>
      </c>
      <c r="O838" s="16" t="s">
        <v>799</v>
      </c>
      <c r="P838" s="16" t="s">
        <v>817</v>
      </c>
      <c r="Q838" s="16" t="s">
        <v>827</v>
      </c>
      <c r="R838" s="16" t="s">
        <v>2644</v>
      </c>
    </row>
    <row r="839" spans="13:18" x14ac:dyDescent="0.2">
      <c r="M839" s="20" t="str">
        <f t="shared" si="43"/>
        <v>HUANCAVELICA CHURCAMPA ANCO</v>
      </c>
      <c r="N839" s="20">
        <f t="shared" si="44"/>
        <v>0</v>
      </c>
      <c r="O839" s="16" t="s">
        <v>799</v>
      </c>
      <c r="P839" s="16" t="s">
        <v>828</v>
      </c>
      <c r="Q839" s="16" t="s">
        <v>498</v>
      </c>
      <c r="R839" s="16" t="s">
        <v>2645</v>
      </c>
    </row>
    <row r="840" spans="13:18" x14ac:dyDescent="0.2">
      <c r="M840" s="20" t="str">
        <f t="shared" si="43"/>
        <v>HUANCAVELICA CHURCAMPA CHINCHIHUASI</v>
      </c>
      <c r="N840" s="20">
        <f t="shared" si="44"/>
        <v>0</v>
      </c>
      <c r="O840" s="16" t="s">
        <v>799</v>
      </c>
      <c r="P840" s="16" t="s">
        <v>828</v>
      </c>
      <c r="Q840" s="16" t="s">
        <v>829</v>
      </c>
      <c r="R840" s="16" t="s">
        <v>2646</v>
      </c>
    </row>
    <row r="841" spans="13:18" x14ac:dyDescent="0.2">
      <c r="M841" s="20" t="str">
        <f t="shared" si="43"/>
        <v>HUANCAVELICA CHURCAMPA CHURCAMPA</v>
      </c>
      <c r="N841" s="20">
        <f t="shared" si="44"/>
        <v>0</v>
      </c>
      <c r="O841" s="16" t="s">
        <v>799</v>
      </c>
      <c r="P841" s="16" t="s">
        <v>828</v>
      </c>
      <c r="Q841" s="16" t="s">
        <v>828</v>
      </c>
      <c r="R841" s="16" t="s">
        <v>2647</v>
      </c>
    </row>
    <row r="842" spans="13:18" x14ac:dyDescent="0.2">
      <c r="M842" s="20" t="str">
        <f t="shared" si="43"/>
        <v>HUANCAVELICA CHURCAMPA COSME</v>
      </c>
      <c r="N842" s="20">
        <f t="shared" si="44"/>
        <v>0</v>
      </c>
      <c r="O842" s="16" t="s">
        <v>799</v>
      </c>
      <c r="P842" s="16" t="s">
        <v>828</v>
      </c>
      <c r="Q842" s="16" t="s">
        <v>830</v>
      </c>
      <c r="R842" s="16" t="s">
        <v>2648</v>
      </c>
    </row>
    <row r="843" spans="13:18" x14ac:dyDescent="0.2">
      <c r="M843" s="20" t="str">
        <f t="shared" si="43"/>
        <v>HUANCAVELICA CHURCAMPA EL CARMEN</v>
      </c>
      <c r="N843" s="20">
        <f t="shared" si="44"/>
        <v>0</v>
      </c>
      <c r="O843" s="16" t="s">
        <v>799</v>
      </c>
      <c r="P843" s="16" t="s">
        <v>828</v>
      </c>
      <c r="Q843" s="16" t="s">
        <v>831</v>
      </c>
      <c r="R843" s="16" t="s">
        <v>2649</v>
      </c>
    </row>
    <row r="844" spans="13:18" x14ac:dyDescent="0.2">
      <c r="M844" s="20" t="str">
        <f t="shared" si="43"/>
        <v>HUANCAVELICA CHURCAMPA LA MERCED</v>
      </c>
      <c r="N844" s="20">
        <f t="shared" si="44"/>
        <v>0</v>
      </c>
      <c r="O844" s="16" t="s">
        <v>799</v>
      </c>
      <c r="P844" s="16" t="s">
        <v>828</v>
      </c>
      <c r="Q844" s="16" t="s">
        <v>100</v>
      </c>
      <c r="R844" s="16" t="s">
        <v>2650</v>
      </c>
    </row>
    <row r="845" spans="13:18" x14ac:dyDescent="0.2">
      <c r="M845" s="20" t="str">
        <f t="shared" si="43"/>
        <v>HUANCAVELICA CHURCAMPA LOCROJA</v>
      </c>
      <c r="N845" s="20">
        <f t="shared" si="44"/>
        <v>0</v>
      </c>
      <c r="O845" s="16" t="s">
        <v>799</v>
      </c>
      <c r="P845" s="16" t="s">
        <v>828</v>
      </c>
      <c r="Q845" s="16" t="s">
        <v>832</v>
      </c>
      <c r="R845" s="16" t="s">
        <v>2651</v>
      </c>
    </row>
    <row r="846" spans="13:18" x14ac:dyDescent="0.2">
      <c r="M846" s="20" t="str">
        <f t="shared" si="43"/>
        <v>HUANCAVELICA CHURCAMPA PACHAMARCA</v>
      </c>
      <c r="N846" s="20">
        <f t="shared" si="44"/>
        <v>0</v>
      </c>
      <c r="O846" s="16" t="s">
        <v>799</v>
      </c>
      <c r="P846" s="16" t="s">
        <v>828</v>
      </c>
      <c r="Q846" s="16" t="s">
        <v>833</v>
      </c>
      <c r="R846" s="16" t="s">
        <v>2652</v>
      </c>
    </row>
    <row r="847" spans="13:18" x14ac:dyDescent="0.2">
      <c r="M847" s="20" t="str">
        <f t="shared" si="43"/>
        <v>HUANCAVELICA CHURCAMPA PAUCARBAMBA</v>
      </c>
      <c r="N847" s="20">
        <f t="shared" si="44"/>
        <v>0</v>
      </c>
      <c r="O847" s="16" t="s">
        <v>799</v>
      </c>
      <c r="P847" s="16" t="s">
        <v>828</v>
      </c>
      <c r="Q847" s="16" t="s">
        <v>834</v>
      </c>
      <c r="R847" s="16" t="s">
        <v>2653</v>
      </c>
    </row>
    <row r="848" spans="13:18" x14ac:dyDescent="0.2">
      <c r="M848" s="20" t="str">
        <f t="shared" si="43"/>
        <v>HUANCAVELICA CHURCAMPA SAN MIGUEL DE MAYOCC</v>
      </c>
      <c r="N848" s="20">
        <f t="shared" si="44"/>
        <v>0</v>
      </c>
      <c r="O848" s="16" t="s">
        <v>799</v>
      </c>
      <c r="P848" s="16" t="s">
        <v>828</v>
      </c>
      <c r="Q848" s="16" t="s">
        <v>835</v>
      </c>
      <c r="R848" s="16" t="s">
        <v>2654</v>
      </c>
    </row>
    <row r="849" spans="13:18" x14ac:dyDescent="0.2">
      <c r="M849" s="20" t="str">
        <f t="shared" si="43"/>
        <v>HUANCAVELICA CHURCAMPA SAN PEDRO DE CORIS</v>
      </c>
      <c r="N849" s="20">
        <f t="shared" si="44"/>
        <v>0</v>
      </c>
      <c r="O849" s="16" t="s">
        <v>799</v>
      </c>
      <c r="P849" s="16" t="s">
        <v>828</v>
      </c>
      <c r="Q849" s="16" t="s">
        <v>836</v>
      </c>
      <c r="R849" s="16" t="s">
        <v>2655</v>
      </c>
    </row>
    <row r="850" spans="13:18" x14ac:dyDescent="0.2">
      <c r="M850" s="20" t="str">
        <f t="shared" si="43"/>
        <v>HUANCAVELICA HUANCAVELICA ACOBAMBILLA</v>
      </c>
      <c r="N850" s="20">
        <f t="shared" si="44"/>
        <v>0</v>
      </c>
      <c r="O850" s="16" t="s">
        <v>799</v>
      </c>
      <c r="P850" s="16" t="s">
        <v>799</v>
      </c>
      <c r="Q850" s="16" t="s">
        <v>837</v>
      </c>
      <c r="R850" s="16" t="s">
        <v>2656</v>
      </c>
    </row>
    <row r="851" spans="13:18" x14ac:dyDescent="0.2">
      <c r="M851" s="20" t="str">
        <f t="shared" si="43"/>
        <v>HUANCAVELICA HUANCAVELICA ACORIA</v>
      </c>
      <c r="N851" s="20">
        <f t="shared" si="44"/>
        <v>0</v>
      </c>
      <c r="O851" s="16" t="s">
        <v>799</v>
      </c>
      <c r="P851" s="16" t="s">
        <v>799</v>
      </c>
      <c r="Q851" s="16" t="s">
        <v>838</v>
      </c>
      <c r="R851" s="16" t="s">
        <v>2657</v>
      </c>
    </row>
    <row r="852" spans="13:18" x14ac:dyDescent="0.2">
      <c r="M852" s="20" t="str">
        <f t="shared" si="43"/>
        <v>HUANCAVELICA HUANCAVELICA ASCENSION</v>
      </c>
      <c r="N852" s="20">
        <f t="shared" si="44"/>
        <v>0</v>
      </c>
      <c r="O852" s="16" t="s">
        <v>799</v>
      </c>
      <c r="P852" s="16" t="s">
        <v>799</v>
      </c>
      <c r="Q852" s="16" t="s">
        <v>839</v>
      </c>
      <c r="R852" s="16" t="s">
        <v>2658</v>
      </c>
    </row>
    <row r="853" spans="13:18" x14ac:dyDescent="0.2">
      <c r="M853" s="20" t="str">
        <f t="shared" si="43"/>
        <v>HUANCAVELICA HUANCAVELICA CONAYCA</v>
      </c>
      <c r="N853" s="20">
        <f t="shared" si="44"/>
        <v>0</v>
      </c>
      <c r="O853" s="16" t="s">
        <v>799</v>
      </c>
      <c r="P853" s="16" t="s">
        <v>799</v>
      </c>
      <c r="Q853" s="16" t="s">
        <v>840</v>
      </c>
      <c r="R853" s="16" t="s">
        <v>2659</v>
      </c>
    </row>
    <row r="854" spans="13:18" x14ac:dyDescent="0.2">
      <c r="M854" s="20" t="str">
        <f t="shared" si="43"/>
        <v>HUANCAVELICA HUANCAVELICA CUENCA</v>
      </c>
      <c r="N854" s="20">
        <f t="shared" si="44"/>
        <v>0</v>
      </c>
      <c r="O854" s="16" t="s">
        <v>799</v>
      </c>
      <c r="P854" s="16" t="s">
        <v>799</v>
      </c>
      <c r="Q854" s="16" t="s">
        <v>841</v>
      </c>
      <c r="R854" s="16" t="s">
        <v>2660</v>
      </c>
    </row>
    <row r="855" spans="13:18" x14ac:dyDescent="0.2">
      <c r="M855" s="20" t="str">
        <f t="shared" si="43"/>
        <v>HUANCAVELICA HUANCAVELICA HUACHOCOLPA</v>
      </c>
      <c r="N855" s="20">
        <f t="shared" si="44"/>
        <v>0</v>
      </c>
      <c r="O855" s="16" t="s">
        <v>799</v>
      </c>
      <c r="P855" s="16" t="s">
        <v>799</v>
      </c>
      <c r="Q855" s="16" t="s">
        <v>842</v>
      </c>
      <c r="R855" s="16" t="s">
        <v>2661</v>
      </c>
    </row>
    <row r="856" spans="13:18" x14ac:dyDescent="0.2">
      <c r="M856" s="20" t="str">
        <f t="shared" si="43"/>
        <v>HUANCAVELICA HUANCAVELICA HUANCAVELICA</v>
      </c>
      <c r="N856" s="20">
        <f t="shared" si="44"/>
        <v>0</v>
      </c>
      <c r="O856" s="16" t="s">
        <v>799</v>
      </c>
      <c r="P856" s="16" t="s">
        <v>799</v>
      </c>
      <c r="Q856" s="16" t="s">
        <v>799</v>
      </c>
      <c r="R856" s="16" t="s">
        <v>2662</v>
      </c>
    </row>
    <row r="857" spans="13:18" x14ac:dyDescent="0.2">
      <c r="M857" s="20" t="str">
        <f t="shared" si="43"/>
        <v>HUANCAVELICA HUANCAVELICA HUANDO</v>
      </c>
      <c r="N857" s="20">
        <f t="shared" si="44"/>
        <v>0</v>
      </c>
      <c r="O857" s="16" t="s">
        <v>799</v>
      </c>
      <c r="P857" s="16" t="s">
        <v>799</v>
      </c>
      <c r="Q857" s="16" t="s">
        <v>843</v>
      </c>
      <c r="R857" s="16" t="s">
        <v>2663</v>
      </c>
    </row>
    <row r="858" spans="13:18" x14ac:dyDescent="0.2">
      <c r="M858" s="20" t="str">
        <f t="shared" si="43"/>
        <v>HUANCAVELICA HUANCAVELICA HUAYLLAHUARA</v>
      </c>
      <c r="N858" s="20">
        <f t="shared" si="44"/>
        <v>0</v>
      </c>
      <c r="O858" s="16" t="s">
        <v>799</v>
      </c>
      <c r="P858" s="16" t="s">
        <v>799</v>
      </c>
      <c r="Q858" s="16" t="s">
        <v>844</v>
      </c>
      <c r="R858" s="16" t="s">
        <v>2664</v>
      </c>
    </row>
    <row r="859" spans="13:18" x14ac:dyDescent="0.2">
      <c r="M859" s="20" t="str">
        <f t="shared" si="43"/>
        <v>HUANCAVELICA HUANCAVELICA IZCUCHACA</v>
      </c>
      <c r="N859" s="20">
        <f t="shared" si="44"/>
        <v>0</v>
      </c>
      <c r="O859" s="16" t="s">
        <v>799</v>
      </c>
      <c r="P859" s="16" t="s">
        <v>799</v>
      </c>
      <c r="Q859" s="16" t="s">
        <v>845</v>
      </c>
      <c r="R859" s="16" t="s">
        <v>2665</v>
      </c>
    </row>
    <row r="860" spans="13:18" x14ac:dyDescent="0.2">
      <c r="M860" s="20" t="str">
        <f t="shared" si="43"/>
        <v>HUANCAVELICA HUANCAVELICA LARIA</v>
      </c>
      <c r="N860" s="20">
        <f t="shared" si="44"/>
        <v>0</v>
      </c>
      <c r="O860" s="16" t="s">
        <v>799</v>
      </c>
      <c r="P860" s="16" t="s">
        <v>799</v>
      </c>
      <c r="Q860" s="16" t="s">
        <v>846</v>
      </c>
      <c r="R860" s="16" t="s">
        <v>2666</v>
      </c>
    </row>
    <row r="861" spans="13:18" x14ac:dyDescent="0.2">
      <c r="M861" s="20" t="str">
        <f t="shared" si="43"/>
        <v>HUANCAVELICA HUANCAVELICA MANTA</v>
      </c>
      <c r="N861" s="20">
        <f t="shared" si="44"/>
        <v>0</v>
      </c>
      <c r="O861" s="16" t="s">
        <v>799</v>
      </c>
      <c r="P861" s="16" t="s">
        <v>799</v>
      </c>
      <c r="Q861" s="16" t="s">
        <v>847</v>
      </c>
      <c r="R861" s="16" t="s">
        <v>2667</v>
      </c>
    </row>
    <row r="862" spans="13:18" x14ac:dyDescent="0.2">
      <c r="M862" s="20" t="str">
        <f t="shared" si="43"/>
        <v>HUANCAVELICA HUANCAVELICA MARISCAL CACERES</v>
      </c>
      <c r="N862" s="20">
        <f t="shared" si="44"/>
        <v>0</v>
      </c>
      <c r="O862" s="16" t="s">
        <v>799</v>
      </c>
      <c r="P862" s="16" t="s">
        <v>799</v>
      </c>
      <c r="Q862" s="16" t="s">
        <v>381</v>
      </c>
      <c r="R862" s="16" t="s">
        <v>2668</v>
      </c>
    </row>
    <row r="863" spans="13:18" x14ac:dyDescent="0.2">
      <c r="M863" s="20" t="str">
        <f t="shared" si="43"/>
        <v>HUANCAVELICA HUANCAVELICA MOYA</v>
      </c>
      <c r="N863" s="20">
        <f t="shared" si="44"/>
        <v>0</v>
      </c>
      <c r="O863" s="16" t="s">
        <v>799</v>
      </c>
      <c r="P863" s="16" t="s">
        <v>799</v>
      </c>
      <c r="Q863" s="16" t="s">
        <v>848</v>
      </c>
      <c r="R863" s="16" t="s">
        <v>2669</v>
      </c>
    </row>
    <row r="864" spans="13:18" x14ac:dyDescent="0.2">
      <c r="M864" s="20" t="str">
        <f t="shared" si="43"/>
        <v>HUANCAVELICA HUANCAVELICA NUEVO OCCORO</v>
      </c>
      <c r="N864" s="20">
        <f t="shared" si="44"/>
        <v>0</v>
      </c>
      <c r="O864" s="16" t="s">
        <v>799</v>
      </c>
      <c r="P864" s="16" t="s">
        <v>799</v>
      </c>
      <c r="Q864" s="16" t="s">
        <v>849</v>
      </c>
      <c r="R864" s="16" t="s">
        <v>2670</v>
      </c>
    </row>
    <row r="865" spans="13:18" x14ac:dyDescent="0.2">
      <c r="M865" s="20" t="str">
        <f t="shared" si="43"/>
        <v>HUANCAVELICA HUANCAVELICA PALCA</v>
      </c>
      <c r="N865" s="20">
        <f t="shared" si="44"/>
        <v>0</v>
      </c>
      <c r="O865" s="16" t="s">
        <v>799</v>
      </c>
      <c r="P865" s="16" t="s">
        <v>799</v>
      </c>
      <c r="Q865" s="16" t="s">
        <v>850</v>
      </c>
      <c r="R865" s="16" t="s">
        <v>2671</v>
      </c>
    </row>
    <row r="866" spans="13:18" x14ac:dyDescent="0.2">
      <c r="M866" s="20" t="str">
        <f t="shared" si="43"/>
        <v>HUANCAVELICA HUANCAVELICA PILCHACA</v>
      </c>
      <c r="N866" s="20">
        <f t="shared" si="44"/>
        <v>0</v>
      </c>
      <c r="O866" s="16" t="s">
        <v>799</v>
      </c>
      <c r="P866" s="16" t="s">
        <v>799</v>
      </c>
      <c r="Q866" s="16" t="s">
        <v>851</v>
      </c>
      <c r="R866" s="16" t="s">
        <v>2672</v>
      </c>
    </row>
    <row r="867" spans="13:18" x14ac:dyDescent="0.2">
      <c r="M867" s="20" t="str">
        <f t="shared" si="43"/>
        <v>HUANCAVELICA HUANCAVELICA VILCA</v>
      </c>
      <c r="N867" s="20">
        <f t="shared" si="44"/>
        <v>0</v>
      </c>
      <c r="O867" s="16" t="s">
        <v>799</v>
      </c>
      <c r="P867" s="16" t="s">
        <v>799</v>
      </c>
      <c r="Q867" s="16" t="s">
        <v>852</v>
      </c>
      <c r="R867" s="16" t="s">
        <v>2673</v>
      </c>
    </row>
    <row r="868" spans="13:18" x14ac:dyDescent="0.2">
      <c r="M868" s="20" t="str">
        <f t="shared" si="43"/>
        <v>HUANCAVELICA HUANCAVELICA YAULI</v>
      </c>
      <c r="N868" s="20">
        <f t="shared" si="44"/>
        <v>0</v>
      </c>
      <c r="O868" s="16" t="s">
        <v>799</v>
      </c>
      <c r="P868" s="16" t="s">
        <v>799</v>
      </c>
      <c r="Q868" s="16" t="s">
        <v>853</v>
      </c>
      <c r="R868" s="16" t="s">
        <v>2674</v>
      </c>
    </row>
    <row r="869" spans="13:18" x14ac:dyDescent="0.2">
      <c r="M869" s="20" t="str">
        <f t="shared" si="43"/>
        <v>HUANCAVELICA HUAYTARA AYAVI</v>
      </c>
      <c r="N869" s="20">
        <f t="shared" si="44"/>
        <v>0</v>
      </c>
      <c r="O869" s="16" t="s">
        <v>799</v>
      </c>
      <c r="P869" s="16" t="s">
        <v>854</v>
      </c>
      <c r="Q869" s="16" t="s">
        <v>855</v>
      </c>
      <c r="R869" s="16" t="s">
        <v>2675</v>
      </c>
    </row>
    <row r="870" spans="13:18" x14ac:dyDescent="0.2">
      <c r="M870" s="20" t="str">
        <f t="shared" si="43"/>
        <v>HUANCAVELICA HUAYTARA CORDOVA</v>
      </c>
      <c r="N870" s="20">
        <f t="shared" si="44"/>
        <v>0</v>
      </c>
      <c r="O870" s="16" t="s">
        <v>799</v>
      </c>
      <c r="P870" s="16" t="s">
        <v>854</v>
      </c>
      <c r="Q870" s="16" t="s">
        <v>856</v>
      </c>
      <c r="R870" s="16" t="s">
        <v>2676</v>
      </c>
    </row>
    <row r="871" spans="13:18" x14ac:dyDescent="0.2">
      <c r="M871" s="20" t="str">
        <f t="shared" si="43"/>
        <v>HUANCAVELICA HUAYTARA HUAYACUNDO ARMA</v>
      </c>
      <c r="N871" s="20">
        <f t="shared" si="44"/>
        <v>0</v>
      </c>
      <c r="O871" s="16" t="s">
        <v>799</v>
      </c>
      <c r="P871" s="16" t="s">
        <v>854</v>
      </c>
      <c r="Q871" s="16" t="s">
        <v>857</v>
      </c>
      <c r="R871" s="16" t="s">
        <v>2677</v>
      </c>
    </row>
    <row r="872" spans="13:18" x14ac:dyDescent="0.2">
      <c r="M872" s="20" t="str">
        <f t="shared" si="43"/>
        <v>HUANCAVELICA HUAYTARA HUAYTARA</v>
      </c>
      <c r="N872" s="20">
        <f t="shared" si="44"/>
        <v>0</v>
      </c>
      <c r="O872" s="16" t="s">
        <v>799</v>
      </c>
      <c r="P872" s="16" t="s">
        <v>854</v>
      </c>
      <c r="Q872" s="16" t="s">
        <v>854</v>
      </c>
      <c r="R872" s="16" t="s">
        <v>2678</v>
      </c>
    </row>
    <row r="873" spans="13:18" x14ac:dyDescent="0.2">
      <c r="M873" s="20" t="str">
        <f t="shared" si="43"/>
        <v>HUANCAVELICA HUAYTARA LARAMARCA</v>
      </c>
      <c r="N873" s="20">
        <f t="shared" si="44"/>
        <v>0</v>
      </c>
      <c r="O873" s="16" t="s">
        <v>799</v>
      </c>
      <c r="P873" s="16" t="s">
        <v>854</v>
      </c>
      <c r="Q873" s="16" t="s">
        <v>858</v>
      </c>
      <c r="R873" s="16" t="s">
        <v>2679</v>
      </c>
    </row>
    <row r="874" spans="13:18" x14ac:dyDescent="0.2">
      <c r="M874" s="20" t="str">
        <f t="shared" si="43"/>
        <v>HUANCAVELICA HUAYTARA OCOYO</v>
      </c>
      <c r="N874" s="20">
        <f t="shared" si="44"/>
        <v>0</v>
      </c>
      <c r="O874" s="16" t="s">
        <v>799</v>
      </c>
      <c r="P874" s="16" t="s">
        <v>854</v>
      </c>
      <c r="Q874" s="16" t="s">
        <v>859</v>
      </c>
      <c r="R874" s="16" t="s">
        <v>2680</v>
      </c>
    </row>
    <row r="875" spans="13:18" x14ac:dyDescent="0.2">
      <c r="M875" s="20" t="str">
        <f t="shared" si="43"/>
        <v>HUANCAVELICA HUAYTARA PILPICHACA</v>
      </c>
      <c r="N875" s="20">
        <f t="shared" si="44"/>
        <v>0</v>
      </c>
      <c r="O875" s="16" t="s">
        <v>799</v>
      </c>
      <c r="P875" s="16" t="s">
        <v>854</v>
      </c>
      <c r="Q875" s="16" t="s">
        <v>860</v>
      </c>
      <c r="R875" s="16" t="s">
        <v>2681</v>
      </c>
    </row>
    <row r="876" spans="13:18" x14ac:dyDescent="0.2">
      <c r="M876" s="20" t="str">
        <f t="shared" si="43"/>
        <v>HUANCAVELICA HUAYTARA QUERCO</v>
      </c>
      <c r="N876" s="20">
        <f t="shared" si="44"/>
        <v>0</v>
      </c>
      <c r="O876" s="16" t="s">
        <v>799</v>
      </c>
      <c r="P876" s="16" t="s">
        <v>854</v>
      </c>
      <c r="Q876" s="16" t="s">
        <v>861</v>
      </c>
      <c r="R876" s="16" t="s">
        <v>2682</v>
      </c>
    </row>
    <row r="877" spans="13:18" x14ac:dyDescent="0.2">
      <c r="M877" s="20" t="str">
        <f t="shared" si="43"/>
        <v>HUANCAVELICA HUAYTARA QUITO-ARMA</v>
      </c>
      <c r="N877" s="20">
        <f t="shared" si="44"/>
        <v>0</v>
      </c>
      <c r="O877" s="16" t="s">
        <v>799</v>
      </c>
      <c r="P877" s="16" t="s">
        <v>854</v>
      </c>
      <c r="Q877" s="16" t="s">
        <v>862</v>
      </c>
      <c r="R877" s="16" t="s">
        <v>2683</v>
      </c>
    </row>
    <row r="878" spans="13:18" x14ac:dyDescent="0.2">
      <c r="M878" s="20" t="str">
        <f t="shared" si="43"/>
        <v>HUANCAVELICA HUAYTARA SAN ANTONIO DE CUSICANCHA</v>
      </c>
      <c r="N878" s="20">
        <f t="shared" si="44"/>
        <v>0</v>
      </c>
      <c r="O878" s="16" t="s">
        <v>799</v>
      </c>
      <c r="P878" s="16" t="s">
        <v>854</v>
      </c>
      <c r="Q878" s="16" t="s">
        <v>863</v>
      </c>
      <c r="R878" s="16" t="s">
        <v>2684</v>
      </c>
    </row>
    <row r="879" spans="13:18" x14ac:dyDescent="0.2">
      <c r="M879" s="20" t="str">
        <f t="shared" si="43"/>
        <v>HUANCAVELICA HUAYTARA SAN FRANCISCO DE SANGAYAICO</v>
      </c>
      <c r="N879" s="20">
        <f t="shared" si="44"/>
        <v>0</v>
      </c>
      <c r="O879" s="16" t="s">
        <v>799</v>
      </c>
      <c r="P879" s="16" t="s">
        <v>854</v>
      </c>
      <c r="Q879" s="16" t="s">
        <v>864</v>
      </c>
      <c r="R879" s="16" t="s">
        <v>2685</v>
      </c>
    </row>
    <row r="880" spans="13:18" x14ac:dyDescent="0.2">
      <c r="M880" s="20" t="str">
        <f t="shared" si="43"/>
        <v>HUANCAVELICA HUAYTARA SAN ISIDRO</v>
      </c>
      <c r="N880" s="20">
        <f t="shared" si="44"/>
        <v>0</v>
      </c>
      <c r="O880" s="16" t="s">
        <v>799</v>
      </c>
      <c r="P880" s="16" t="s">
        <v>854</v>
      </c>
      <c r="Q880" s="16" t="s">
        <v>865</v>
      </c>
      <c r="R880" s="16" t="s">
        <v>2686</v>
      </c>
    </row>
    <row r="881" spans="13:18" x14ac:dyDescent="0.2">
      <c r="M881" s="20" t="str">
        <f t="shared" si="43"/>
        <v>HUANCAVELICA HUAYTARA SANTIAGO DE CHOCORVOS</v>
      </c>
      <c r="N881" s="20">
        <f t="shared" si="44"/>
        <v>0</v>
      </c>
      <c r="O881" s="16" t="s">
        <v>799</v>
      </c>
      <c r="P881" s="16" t="s">
        <v>854</v>
      </c>
      <c r="Q881" s="16" t="s">
        <v>866</v>
      </c>
      <c r="R881" s="16" t="s">
        <v>2687</v>
      </c>
    </row>
    <row r="882" spans="13:18" x14ac:dyDescent="0.2">
      <c r="M882" s="20" t="str">
        <f t="shared" si="43"/>
        <v>HUANCAVELICA HUAYTARA SANTIAGO DE QUIRAHUARA</v>
      </c>
      <c r="N882" s="20">
        <f t="shared" si="44"/>
        <v>0</v>
      </c>
      <c r="O882" s="16" t="s">
        <v>799</v>
      </c>
      <c r="P882" s="16" t="s">
        <v>854</v>
      </c>
      <c r="Q882" s="16" t="s">
        <v>867</v>
      </c>
      <c r="R882" s="16" t="s">
        <v>2688</v>
      </c>
    </row>
    <row r="883" spans="13:18" x14ac:dyDescent="0.2">
      <c r="M883" s="20" t="str">
        <f t="shared" si="43"/>
        <v>HUANCAVELICA HUAYTARA SANTO DOMINGO DE CAPILLAS</v>
      </c>
      <c r="N883" s="20">
        <f t="shared" si="44"/>
        <v>0</v>
      </c>
      <c r="O883" s="16" t="s">
        <v>799</v>
      </c>
      <c r="P883" s="16" t="s">
        <v>854</v>
      </c>
      <c r="Q883" s="16" t="s">
        <v>868</v>
      </c>
      <c r="R883" s="16" t="s">
        <v>2689</v>
      </c>
    </row>
    <row r="884" spans="13:18" x14ac:dyDescent="0.2">
      <c r="M884" s="20" t="str">
        <f t="shared" si="43"/>
        <v>HUANCAVELICA HUAYTARA TAMBO</v>
      </c>
      <c r="N884" s="20">
        <f t="shared" si="44"/>
        <v>0</v>
      </c>
      <c r="O884" s="16" t="s">
        <v>799</v>
      </c>
      <c r="P884" s="16" t="s">
        <v>854</v>
      </c>
      <c r="Q884" s="16" t="s">
        <v>505</v>
      </c>
      <c r="R884" s="16" t="s">
        <v>2690</v>
      </c>
    </row>
    <row r="885" spans="13:18" x14ac:dyDescent="0.2">
      <c r="M885" s="20" t="str">
        <f t="shared" si="43"/>
        <v>HUANCAVELICA TAYACAJA ACOSTAMBO</v>
      </c>
      <c r="N885" s="20">
        <f t="shared" si="44"/>
        <v>0</v>
      </c>
      <c r="O885" s="16" t="s">
        <v>799</v>
      </c>
      <c r="P885" s="16" t="s">
        <v>869</v>
      </c>
      <c r="Q885" s="16" t="s">
        <v>870</v>
      </c>
      <c r="R885" s="16" t="s">
        <v>2691</v>
      </c>
    </row>
    <row r="886" spans="13:18" x14ac:dyDescent="0.2">
      <c r="M886" s="20" t="str">
        <f t="shared" si="43"/>
        <v>HUANCAVELICA TAYACAJA ACRAQUIA</v>
      </c>
      <c r="N886" s="20">
        <f t="shared" si="44"/>
        <v>0</v>
      </c>
      <c r="O886" s="16" t="s">
        <v>799</v>
      </c>
      <c r="P886" s="16" t="s">
        <v>869</v>
      </c>
      <c r="Q886" s="16" t="s">
        <v>871</v>
      </c>
      <c r="R886" s="16" t="s">
        <v>2692</v>
      </c>
    </row>
    <row r="887" spans="13:18" x14ac:dyDescent="0.2">
      <c r="M887" s="20" t="str">
        <f t="shared" si="43"/>
        <v>HUANCAVELICA TAYACAJA AHUAYCHA</v>
      </c>
      <c r="N887" s="20">
        <f t="shared" si="44"/>
        <v>0</v>
      </c>
      <c r="O887" s="16" t="s">
        <v>799</v>
      </c>
      <c r="P887" s="16" t="s">
        <v>869</v>
      </c>
      <c r="Q887" s="16" t="s">
        <v>872</v>
      </c>
      <c r="R887" s="16" t="s">
        <v>2693</v>
      </c>
    </row>
    <row r="888" spans="13:18" x14ac:dyDescent="0.2">
      <c r="M888" s="20" t="str">
        <f t="shared" si="43"/>
        <v>HUANCAVELICA TAYACAJA ANDAYMARCA</v>
      </c>
      <c r="N888" s="20">
        <f t="shared" si="44"/>
        <v>0</v>
      </c>
      <c r="O888" s="16" t="s">
        <v>799</v>
      </c>
      <c r="P888" s="16" t="s">
        <v>869</v>
      </c>
      <c r="Q888" s="16" t="s">
        <v>873</v>
      </c>
      <c r="R888" s="16" t="s">
        <v>2694</v>
      </c>
    </row>
    <row r="889" spans="13:18" x14ac:dyDescent="0.2">
      <c r="M889" s="20" t="str">
        <f t="shared" si="43"/>
        <v>HUANCAVELICA TAYACAJA COLCABAMBA</v>
      </c>
      <c r="N889" s="20">
        <f t="shared" si="44"/>
        <v>0</v>
      </c>
      <c r="O889" s="16" t="s">
        <v>799</v>
      </c>
      <c r="P889" s="16" t="s">
        <v>869</v>
      </c>
      <c r="Q889" s="16" t="s">
        <v>155</v>
      </c>
      <c r="R889" s="16" t="s">
        <v>2695</v>
      </c>
    </row>
    <row r="890" spans="13:18" x14ac:dyDescent="0.2">
      <c r="M890" s="20" t="str">
        <f t="shared" si="43"/>
        <v>HUANCAVELICA TAYACAJA DANIEL HERNANDEZ</v>
      </c>
      <c r="N890" s="20">
        <f t="shared" si="44"/>
        <v>0</v>
      </c>
      <c r="O890" s="16" t="s">
        <v>799</v>
      </c>
      <c r="P890" s="16" t="s">
        <v>869</v>
      </c>
      <c r="Q890" s="16" t="s">
        <v>874</v>
      </c>
      <c r="R890" s="16" t="s">
        <v>2695</v>
      </c>
    </row>
    <row r="891" spans="13:18" x14ac:dyDescent="0.2">
      <c r="M891" s="20" t="str">
        <f t="shared" si="43"/>
        <v>HUANCAVELICA TAYACAJA HUACHOCOLPA</v>
      </c>
      <c r="N891" s="20">
        <f t="shared" si="44"/>
        <v>0</v>
      </c>
      <c r="O891" s="16" t="s">
        <v>799</v>
      </c>
      <c r="P891" s="16" t="s">
        <v>869</v>
      </c>
      <c r="Q891" s="16" t="s">
        <v>842</v>
      </c>
      <c r="R891" s="16" t="s">
        <v>2696</v>
      </c>
    </row>
    <row r="892" spans="13:18" x14ac:dyDescent="0.2">
      <c r="M892" s="20" t="str">
        <f t="shared" si="43"/>
        <v>HUANCAVELICA TAYACAJA HUARIBAMBA</v>
      </c>
      <c r="N892" s="20">
        <f t="shared" si="44"/>
        <v>0</v>
      </c>
      <c r="O892" s="16" t="s">
        <v>799</v>
      </c>
      <c r="P892" s="16" t="s">
        <v>869</v>
      </c>
      <c r="Q892" s="16" t="s">
        <v>875</v>
      </c>
      <c r="R892" s="16" t="s">
        <v>2697</v>
      </c>
    </row>
    <row r="893" spans="13:18" x14ac:dyDescent="0.2">
      <c r="M893" s="20" t="str">
        <f t="shared" si="43"/>
        <v>HUANCAVELICA TAYACAJA ÑAHUIMPUQUIO</v>
      </c>
      <c r="N893" s="20">
        <f t="shared" si="44"/>
        <v>0</v>
      </c>
      <c r="O893" s="16" t="s">
        <v>799</v>
      </c>
      <c r="P893" s="16" t="s">
        <v>869</v>
      </c>
      <c r="Q893" s="16" t="s">
        <v>876</v>
      </c>
      <c r="R893" s="16" t="s">
        <v>2697</v>
      </c>
    </row>
    <row r="894" spans="13:18" x14ac:dyDescent="0.2">
      <c r="M894" s="20" t="str">
        <f t="shared" si="43"/>
        <v>HUANCAVELICA TAYACAJA PAMPAS</v>
      </c>
      <c r="N894" s="20">
        <f t="shared" si="44"/>
        <v>0</v>
      </c>
      <c r="O894" s="16" t="s">
        <v>799</v>
      </c>
      <c r="P894" s="16" t="s">
        <v>869</v>
      </c>
      <c r="Q894" s="16" t="s">
        <v>221</v>
      </c>
      <c r="R894" s="16" t="s">
        <v>2698</v>
      </c>
    </row>
    <row r="895" spans="13:18" x14ac:dyDescent="0.2">
      <c r="M895" s="20" t="str">
        <f t="shared" si="43"/>
        <v>HUANCAVELICA TAYACAJA PAZOS</v>
      </c>
      <c r="N895" s="20">
        <f t="shared" si="44"/>
        <v>0</v>
      </c>
      <c r="O895" s="16" t="s">
        <v>799</v>
      </c>
      <c r="P895" s="16" t="s">
        <v>869</v>
      </c>
      <c r="Q895" s="16" t="s">
        <v>877</v>
      </c>
      <c r="R895" s="16" t="s">
        <v>2699</v>
      </c>
    </row>
    <row r="896" spans="13:18" x14ac:dyDescent="0.2">
      <c r="M896" s="20" t="str">
        <f t="shared" si="43"/>
        <v>HUANCAVELICA TAYACAJA QUICHUAS</v>
      </c>
      <c r="N896" s="20">
        <f t="shared" si="44"/>
        <v>0</v>
      </c>
      <c r="O896" s="16" t="s">
        <v>799</v>
      </c>
      <c r="P896" s="16" t="s">
        <v>869</v>
      </c>
      <c r="Q896" s="16" t="s">
        <v>878</v>
      </c>
      <c r="R896" s="16" t="s">
        <v>2700</v>
      </c>
    </row>
    <row r="897" spans="13:18" x14ac:dyDescent="0.2">
      <c r="M897" s="20" t="str">
        <f t="shared" si="43"/>
        <v>HUANCAVELICA TAYACAJA QUISHUAR</v>
      </c>
      <c r="N897" s="20">
        <f t="shared" si="44"/>
        <v>0</v>
      </c>
      <c r="O897" s="16" t="s">
        <v>799</v>
      </c>
      <c r="P897" s="16" t="s">
        <v>869</v>
      </c>
      <c r="Q897" s="16" t="s">
        <v>879</v>
      </c>
      <c r="R897" s="16" t="s">
        <v>2701</v>
      </c>
    </row>
    <row r="898" spans="13:18" x14ac:dyDescent="0.2">
      <c r="M898" s="20" t="str">
        <f t="shared" si="43"/>
        <v>HUANCAVELICA TAYACAJA SALCABAMBA</v>
      </c>
      <c r="N898" s="20">
        <f t="shared" si="44"/>
        <v>0</v>
      </c>
      <c r="O898" s="16" t="s">
        <v>799</v>
      </c>
      <c r="P898" s="16" t="s">
        <v>869</v>
      </c>
      <c r="Q898" s="16" t="s">
        <v>880</v>
      </c>
      <c r="R898" s="16" t="s">
        <v>2702</v>
      </c>
    </row>
    <row r="899" spans="13:18" x14ac:dyDescent="0.2">
      <c r="M899" s="20" t="str">
        <f t="shared" ref="M899:M962" si="45">O899&amp;" "&amp;P899&amp;" "&amp;Q899</f>
        <v>HUANCAVELICA TAYACAJA SALCAHUASI</v>
      </c>
      <c r="N899" s="20">
        <f t="shared" ref="N899:N962" si="46">IF(AND($D$9=O899,$D$10=P899),N898+1,0)</f>
        <v>0</v>
      </c>
      <c r="O899" s="16" t="s">
        <v>799</v>
      </c>
      <c r="P899" s="16" t="s">
        <v>869</v>
      </c>
      <c r="Q899" s="16" t="s">
        <v>881</v>
      </c>
      <c r="R899" s="16" t="s">
        <v>2703</v>
      </c>
    </row>
    <row r="900" spans="13:18" x14ac:dyDescent="0.2">
      <c r="M900" s="20" t="str">
        <f t="shared" si="45"/>
        <v>HUANCAVELICA TAYACAJA SAN MARCOS DE ROCCHAC</v>
      </c>
      <c r="N900" s="20">
        <f t="shared" si="46"/>
        <v>0</v>
      </c>
      <c r="O900" s="16" t="s">
        <v>799</v>
      </c>
      <c r="P900" s="16" t="s">
        <v>869</v>
      </c>
      <c r="Q900" s="16" t="s">
        <v>882</v>
      </c>
      <c r="R900" s="16" t="s">
        <v>2704</v>
      </c>
    </row>
    <row r="901" spans="13:18" x14ac:dyDescent="0.2">
      <c r="M901" s="20" t="str">
        <f t="shared" si="45"/>
        <v>HUANCAVELICA TAYACAJA SURCUBAMBA</v>
      </c>
      <c r="N901" s="20">
        <f t="shared" si="46"/>
        <v>0</v>
      </c>
      <c r="O901" s="16" t="s">
        <v>799</v>
      </c>
      <c r="P901" s="16" t="s">
        <v>869</v>
      </c>
      <c r="Q901" s="16" t="s">
        <v>883</v>
      </c>
      <c r="R901" s="16" t="s">
        <v>2705</v>
      </c>
    </row>
    <row r="902" spans="13:18" x14ac:dyDescent="0.2">
      <c r="M902" s="20" t="str">
        <f t="shared" si="45"/>
        <v>HUANCAVELICA TAYACAJA TINTAY PUNCU</v>
      </c>
      <c r="N902" s="20">
        <f t="shared" si="46"/>
        <v>0</v>
      </c>
      <c r="O902" s="16" t="s">
        <v>799</v>
      </c>
      <c r="P902" s="16" t="s">
        <v>869</v>
      </c>
      <c r="Q902" s="16" t="s">
        <v>884</v>
      </c>
      <c r="R902" s="16" t="s">
        <v>2706</v>
      </c>
    </row>
    <row r="903" spans="13:18" x14ac:dyDescent="0.2">
      <c r="M903" s="20" t="str">
        <f t="shared" si="45"/>
        <v>HUANUCO AMBO AMBO</v>
      </c>
      <c r="N903" s="20">
        <f t="shared" si="46"/>
        <v>0</v>
      </c>
      <c r="O903" s="16" t="s">
        <v>885</v>
      </c>
      <c r="P903" s="16" t="s">
        <v>886</v>
      </c>
      <c r="Q903" s="16" t="s">
        <v>886</v>
      </c>
      <c r="R903" s="16" t="s">
        <v>2707</v>
      </c>
    </row>
    <row r="904" spans="13:18" x14ac:dyDescent="0.2">
      <c r="M904" s="20" t="str">
        <f t="shared" si="45"/>
        <v>HUANUCO AMBO CAYNA</v>
      </c>
      <c r="N904" s="20">
        <f t="shared" si="46"/>
        <v>0</v>
      </c>
      <c r="O904" s="16" t="s">
        <v>885</v>
      </c>
      <c r="P904" s="16" t="s">
        <v>886</v>
      </c>
      <c r="Q904" s="16" t="s">
        <v>887</v>
      </c>
      <c r="R904" s="16" t="s">
        <v>2708</v>
      </c>
    </row>
    <row r="905" spans="13:18" x14ac:dyDescent="0.2">
      <c r="M905" s="20" t="str">
        <f t="shared" si="45"/>
        <v>HUANUCO AMBO COLPAS</v>
      </c>
      <c r="N905" s="20">
        <f t="shared" si="46"/>
        <v>0</v>
      </c>
      <c r="O905" s="16" t="s">
        <v>885</v>
      </c>
      <c r="P905" s="16" t="s">
        <v>886</v>
      </c>
      <c r="Q905" s="16" t="s">
        <v>888</v>
      </c>
      <c r="R905" s="16" t="s">
        <v>2709</v>
      </c>
    </row>
    <row r="906" spans="13:18" x14ac:dyDescent="0.2">
      <c r="M906" s="20" t="str">
        <f t="shared" si="45"/>
        <v>HUANUCO AMBO CONCHAMARCA</v>
      </c>
      <c r="N906" s="20">
        <f t="shared" si="46"/>
        <v>0</v>
      </c>
      <c r="O906" s="16" t="s">
        <v>885</v>
      </c>
      <c r="P906" s="16" t="s">
        <v>886</v>
      </c>
      <c r="Q906" s="16" t="s">
        <v>889</v>
      </c>
      <c r="R906" s="16" t="s">
        <v>2710</v>
      </c>
    </row>
    <row r="907" spans="13:18" x14ac:dyDescent="0.2">
      <c r="M907" s="20" t="str">
        <f t="shared" si="45"/>
        <v>HUANUCO AMBO HUACAR</v>
      </c>
      <c r="N907" s="20">
        <f t="shared" si="46"/>
        <v>0</v>
      </c>
      <c r="O907" s="16" t="s">
        <v>885</v>
      </c>
      <c r="P907" s="16" t="s">
        <v>886</v>
      </c>
      <c r="Q907" s="16" t="s">
        <v>890</v>
      </c>
      <c r="R907" s="16" t="s">
        <v>2711</v>
      </c>
    </row>
    <row r="908" spans="13:18" x14ac:dyDescent="0.2">
      <c r="M908" s="20" t="str">
        <f t="shared" si="45"/>
        <v>HUANUCO AMBO SAN FRANCISCO</v>
      </c>
      <c r="N908" s="20">
        <f t="shared" si="46"/>
        <v>0</v>
      </c>
      <c r="O908" s="16" t="s">
        <v>885</v>
      </c>
      <c r="P908" s="16" t="s">
        <v>886</v>
      </c>
      <c r="Q908" s="16" t="s">
        <v>795</v>
      </c>
      <c r="R908" s="16" t="s">
        <v>2712</v>
      </c>
    </row>
    <row r="909" spans="13:18" x14ac:dyDescent="0.2">
      <c r="M909" s="20" t="str">
        <f t="shared" si="45"/>
        <v>HUANUCO AMBO SAN RAFAEL</v>
      </c>
      <c r="N909" s="20">
        <f t="shared" si="46"/>
        <v>0</v>
      </c>
      <c r="O909" s="16" t="s">
        <v>885</v>
      </c>
      <c r="P909" s="16" t="s">
        <v>886</v>
      </c>
      <c r="Q909" s="16" t="s">
        <v>252</v>
      </c>
      <c r="R909" s="16" t="s">
        <v>2713</v>
      </c>
    </row>
    <row r="910" spans="13:18" x14ac:dyDescent="0.2">
      <c r="M910" s="20" t="str">
        <f t="shared" si="45"/>
        <v>HUANUCO AMBO TOMAY KICHWA</v>
      </c>
      <c r="N910" s="20">
        <f t="shared" si="46"/>
        <v>0</v>
      </c>
      <c r="O910" s="16" t="s">
        <v>885</v>
      </c>
      <c r="P910" s="16" t="s">
        <v>886</v>
      </c>
      <c r="Q910" s="16" t="s">
        <v>891</v>
      </c>
      <c r="R910" s="16" t="s">
        <v>2714</v>
      </c>
    </row>
    <row r="911" spans="13:18" x14ac:dyDescent="0.2">
      <c r="M911" s="20" t="str">
        <f t="shared" si="45"/>
        <v>HUANUCO DOS DE MAYO CHUQUIS</v>
      </c>
      <c r="N911" s="20">
        <f t="shared" si="46"/>
        <v>0</v>
      </c>
      <c r="O911" s="16" t="s">
        <v>885</v>
      </c>
      <c r="P911" s="16" t="s">
        <v>892</v>
      </c>
      <c r="Q911" s="16" t="s">
        <v>893</v>
      </c>
      <c r="R911" s="16" t="s">
        <v>2715</v>
      </c>
    </row>
    <row r="912" spans="13:18" x14ac:dyDescent="0.2">
      <c r="M912" s="20" t="str">
        <f t="shared" si="45"/>
        <v>HUANUCO DOS DE MAYO LA UNION</v>
      </c>
      <c r="N912" s="20">
        <f t="shared" si="46"/>
        <v>0</v>
      </c>
      <c r="O912" s="16" t="s">
        <v>885</v>
      </c>
      <c r="P912" s="16" t="s">
        <v>892</v>
      </c>
      <c r="Q912" s="16" t="s">
        <v>447</v>
      </c>
      <c r="R912" s="16" t="s">
        <v>2716</v>
      </c>
    </row>
    <row r="913" spans="13:18" x14ac:dyDescent="0.2">
      <c r="M913" s="20" t="str">
        <f t="shared" si="45"/>
        <v>HUANUCO DOS DE MAYO MARIAS</v>
      </c>
      <c r="N913" s="20">
        <f t="shared" si="46"/>
        <v>0</v>
      </c>
      <c r="O913" s="16" t="s">
        <v>885</v>
      </c>
      <c r="P913" s="16" t="s">
        <v>892</v>
      </c>
      <c r="Q913" s="16" t="s">
        <v>894</v>
      </c>
      <c r="R913" s="16" t="s">
        <v>2717</v>
      </c>
    </row>
    <row r="914" spans="13:18" x14ac:dyDescent="0.2">
      <c r="M914" s="20" t="str">
        <f t="shared" si="45"/>
        <v>HUANUCO DOS DE MAYO PACHAS</v>
      </c>
      <c r="N914" s="20">
        <f t="shared" si="46"/>
        <v>0</v>
      </c>
      <c r="O914" s="16" t="s">
        <v>885</v>
      </c>
      <c r="P914" s="16" t="s">
        <v>892</v>
      </c>
      <c r="Q914" s="16" t="s">
        <v>895</v>
      </c>
      <c r="R914" s="16" t="s">
        <v>2718</v>
      </c>
    </row>
    <row r="915" spans="13:18" x14ac:dyDescent="0.2">
      <c r="M915" s="20" t="str">
        <f t="shared" si="45"/>
        <v>HUANUCO DOS DE MAYO QUIVILLA</v>
      </c>
      <c r="N915" s="20">
        <f t="shared" si="46"/>
        <v>0</v>
      </c>
      <c r="O915" s="16" t="s">
        <v>885</v>
      </c>
      <c r="P915" s="16" t="s">
        <v>892</v>
      </c>
      <c r="Q915" s="16" t="s">
        <v>896</v>
      </c>
      <c r="R915" s="16" t="s">
        <v>2719</v>
      </c>
    </row>
    <row r="916" spans="13:18" x14ac:dyDescent="0.2">
      <c r="M916" s="20" t="str">
        <f t="shared" si="45"/>
        <v>HUANUCO DOS DE MAYO RIPAN</v>
      </c>
      <c r="N916" s="20">
        <f t="shared" si="46"/>
        <v>0</v>
      </c>
      <c r="O916" s="16" t="s">
        <v>885</v>
      </c>
      <c r="P916" s="16" t="s">
        <v>892</v>
      </c>
      <c r="Q916" s="16" t="s">
        <v>897</v>
      </c>
      <c r="R916" s="16" t="s">
        <v>2720</v>
      </c>
    </row>
    <row r="917" spans="13:18" x14ac:dyDescent="0.2">
      <c r="M917" s="20" t="str">
        <f t="shared" si="45"/>
        <v>HUANUCO DOS DE MAYO SHUNQUI</v>
      </c>
      <c r="N917" s="20">
        <f t="shared" si="46"/>
        <v>0</v>
      </c>
      <c r="O917" s="16" t="s">
        <v>885</v>
      </c>
      <c r="P917" s="16" t="s">
        <v>892</v>
      </c>
      <c r="Q917" s="16" t="s">
        <v>898</v>
      </c>
      <c r="R917" s="16" t="s">
        <v>2721</v>
      </c>
    </row>
    <row r="918" spans="13:18" x14ac:dyDescent="0.2">
      <c r="M918" s="20" t="str">
        <f t="shared" si="45"/>
        <v>HUANUCO DOS DE MAYO SILLAPATA</v>
      </c>
      <c r="N918" s="20">
        <f t="shared" si="46"/>
        <v>0</v>
      </c>
      <c r="O918" s="16" t="s">
        <v>885</v>
      </c>
      <c r="P918" s="16" t="s">
        <v>892</v>
      </c>
      <c r="Q918" s="16" t="s">
        <v>899</v>
      </c>
      <c r="R918" s="16" t="s">
        <v>2722</v>
      </c>
    </row>
    <row r="919" spans="13:18" x14ac:dyDescent="0.2">
      <c r="M919" s="20" t="str">
        <f t="shared" si="45"/>
        <v>HUANUCO DOS DE MAYO YANAS</v>
      </c>
      <c r="N919" s="20">
        <f t="shared" si="46"/>
        <v>0</v>
      </c>
      <c r="O919" s="16" t="s">
        <v>885</v>
      </c>
      <c r="P919" s="16" t="s">
        <v>892</v>
      </c>
      <c r="Q919" s="16" t="s">
        <v>900</v>
      </c>
      <c r="R919" s="16" t="s">
        <v>2723</v>
      </c>
    </row>
    <row r="920" spans="13:18" x14ac:dyDescent="0.2">
      <c r="M920" s="20" t="str">
        <f t="shared" si="45"/>
        <v>HUANUCO HUACAYBAMBA CANCHABAMBA</v>
      </c>
      <c r="N920" s="20">
        <f t="shared" si="46"/>
        <v>0</v>
      </c>
      <c r="O920" s="16" t="s">
        <v>885</v>
      </c>
      <c r="P920" s="16" t="s">
        <v>901</v>
      </c>
      <c r="Q920" s="16" t="s">
        <v>902</v>
      </c>
      <c r="R920" s="16" t="s">
        <v>2724</v>
      </c>
    </row>
    <row r="921" spans="13:18" x14ac:dyDescent="0.2">
      <c r="M921" s="20" t="str">
        <f t="shared" si="45"/>
        <v>HUANUCO HUACAYBAMBA COCHABAMBA</v>
      </c>
      <c r="N921" s="20">
        <f t="shared" si="46"/>
        <v>0</v>
      </c>
      <c r="O921" s="16" t="s">
        <v>885</v>
      </c>
      <c r="P921" s="16" t="s">
        <v>901</v>
      </c>
      <c r="Q921" s="16" t="s">
        <v>154</v>
      </c>
      <c r="R921" s="16" t="s">
        <v>2725</v>
      </c>
    </row>
    <row r="922" spans="13:18" x14ac:dyDescent="0.2">
      <c r="M922" s="20" t="str">
        <f t="shared" si="45"/>
        <v>HUANUCO HUACAYBAMBA HUACAYBAMBA</v>
      </c>
      <c r="N922" s="20">
        <f t="shared" si="46"/>
        <v>0</v>
      </c>
      <c r="O922" s="16" t="s">
        <v>885</v>
      </c>
      <c r="P922" s="16" t="s">
        <v>901</v>
      </c>
      <c r="Q922" s="16" t="s">
        <v>901</v>
      </c>
      <c r="R922" s="16" t="s">
        <v>2726</v>
      </c>
    </row>
    <row r="923" spans="13:18" x14ac:dyDescent="0.2">
      <c r="M923" s="20" t="str">
        <f t="shared" si="45"/>
        <v>HUANUCO HUACAYBAMBA PINRA</v>
      </c>
      <c r="N923" s="20">
        <f t="shared" si="46"/>
        <v>0</v>
      </c>
      <c r="O923" s="16" t="s">
        <v>885</v>
      </c>
      <c r="P923" s="16" t="s">
        <v>901</v>
      </c>
      <c r="Q923" s="16" t="s">
        <v>903</v>
      </c>
      <c r="R923" s="16" t="s">
        <v>2727</v>
      </c>
    </row>
    <row r="924" spans="13:18" x14ac:dyDescent="0.2">
      <c r="M924" s="20" t="str">
        <f t="shared" si="45"/>
        <v>HUANUCO HUAMALIES ARANCAY</v>
      </c>
      <c r="N924" s="20">
        <f t="shared" si="46"/>
        <v>0</v>
      </c>
      <c r="O924" s="16" t="s">
        <v>885</v>
      </c>
      <c r="P924" s="16" t="s">
        <v>904</v>
      </c>
      <c r="Q924" s="16" t="s">
        <v>905</v>
      </c>
      <c r="R924" s="16" t="s">
        <v>2728</v>
      </c>
    </row>
    <row r="925" spans="13:18" x14ac:dyDescent="0.2">
      <c r="M925" s="20" t="str">
        <f t="shared" si="45"/>
        <v>HUANUCO HUAMALIES CHAVIN DE PARIARCA</v>
      </c>
      <c r="N925" s="20">
        <f t="shared" si="46"/>
        <v>0</v>
      </c>
      <c r="O925" s="16" t="s">
        <v>885</v>
      </c>
      <c r="P925" s="16" t="s">
        <v>904</v>
      </c>
      <c r="Q925" s="16" t="s">
        <v>906</v>
      </c>
      <c r="R925" s="16" t="s">
        <v>2729</v>
      </c>
    </row>
    <row r="926" spans="13:18" x14ac:dyDescent="0.2">
      <c r="M926" s="20" t="str">
        <f t="shared" si="45"/>
        <v>HUANUCO HUAMALIES JACAS GRANDE</v>
      </c>
      <c r="N926" s="20">
        <f t="shared" si="46"/>
        <v>0</v>
      </c>
      <c r="O926" s="16" t="s">
        <v>885</v>
      </c>
      <c r="P926" s="16" t="s">
        <v>904</v>
      </c>
      <c r="Q926" s="16" t="s">
        <v>907</v>
      </c>
      <c r="R926" s="16" t="s">
        <v>2730</v>
      </c>
    </row>
    <row r="927" spans="13:18" x14ac:dyDescent="0.2">
      <c r="M927" s="20" t="str">
        <f t="shared" si="45"/>
        <v>HUANUCO HUAMALIES JIRCAN</v>
      </c>
      <c r="N927" s="20">
        <f t="shared" si="46"/>
        <v>0</v>
      </c>
      <c r="O927" s="16" t="s">
        <v>885</v>
      </c>
      <c r="P927" s="16" t="s">
        <v>904</v>
      </c>
      <c r="Q927" s="16" t="s">
        <v>908</v>
      </c>
      <c r="R927" s="16" t="s">
        <v>2731</v>
      </c>
    </row>
    <row r="928" spans="13:18" x14ac:dyDescent="0.2">
      <c r="M928" s="20" t="str">
        <f t="shared" si="45"/>
        <v>HUANUCO HUAMALIES LLATA</v>
      </c>
      <c r="N928" s="20">
        <f t="shared" si="46"/>
        <v>0</v>
      </c>
      <c r="O928" s="16" t="s">
        <v>885</v>
      </c>
      <c r="P928" s="16" t="s">
        <v>904</v>
      </c>
      <c r="Q928" s="16" t="s">
        <v>909</v>
      </c>
      <c r="R928" s="16" t="s">
        <v>2732</v>
      </c>
    </row>
    <row r="929" spans="13:18" x14ac:dyDescent="0.2">
      <c r="M929" s="20" t="str">
        <f t="shared" si="45"/>
        <v>HUANUCO HUAMALIES MIRAFLORES</v>
      </c>
      <c r="N929" s="20">
        <f t="shared" si="46"/>
        <v>0</v>
      </c>
      <c r="O929" s="16" t="s">
        <v>885</v>
      </c>
      <c r="P929" s="16" t="s">
        <v>904</v>
      </c>
      <c r="Q929" s="16" t="s">
        <v>359</v>
      </c>
      <c r="R929" s="16" t="s">
        <v>2733</v>
      </c>
    </row>
    <row r="930" spans="13:18" x14ac:dyDescent="0.2">
      <c r="M930" s="20" t="str">
        <f t="shared" si="45"/>
        <v>HUANUCO HUAMALIES MONZON</v>
      </c>
      <c r="N930" s="20">
        <f t="shared" si="46"/>
        <v>0</v>
      </c>
      <c r="O930" s="16" t="s">
        <v>885</v>
      </c>
      <c r="P930" s="16" t="s">
        <v>904</v>
      </c>
      <c r="Q930" s="16" t="s">
        <v>910</v>
      </c>
      <c r="R930" s="16" t="s">
        <v>2734</v>
      </c>
    </row>
    <row r="931" spans="13:18" x14ac:dyDescent="0.2">
      <c r="M931" s="20" t="str">
        <f t="shared" si="45"/>
        <v>HUANUCO HUAMALIES PUNCHAO</v>
      </c>
      <c r="N931" s="20">
        <f t="shared" si="46"/>
        <v>0</v>
      </c>
      <c r="O931" s="16" t="s">
        <v>885</v>
      </c>
      <c r="P931" s="16" t="s">
        <v>904</v>
      </c>
      <c r="Q931" s="16" t="s">
        <v>911</v>
      </c>
      <c r="R931" s="16" t="s">
        <v>2735</v>
      </c>
    </row>
    <row r="932" spans="13:18" x14ac:dyDescent="0.2">
      <c r="M932" s="20" t="str">
        <f t="shared" si="45"/>
        <v>HUANUCO HUAMALIES PUÑOS</v>
      </c>
      <c r="N932" s="20">
        <f t="shared" si="46"/>
        <v>0</v>
      </c>
      <c r="O932" s="16" t="s">
        <v>885</v>
      </c>
      <c r="P932" s="16" t="s">
        <v>904</v>
      </c>
      <c r="Q932" s="16" t="s">
        <v>913</v>
      </c>
      <c r="R932" s="16" t="s">
        <v>2735</v>
      </c>
    </row>
    <row r="933" spans="13:18" x14ac:dyDescent="0.2">
      <c r="M933" s="20" t="str">
        <f t="shared" si="45"/>
        <v>HUANUCO HUAMALIES SINGA</v>
      </c>
      <c r="N933" s="20">
        <f t="shared" si="46"/>
        <v>0</v>
      </c>
      <c r="O933" s="16" t="s">
        <v>885</v>
      </c>
      <c r="P933" s="16" t="s">
        <v>904</v>
      </c>
      <c r="Q933" s="16" t="s">
        <v>914</v>
      </c>
      <c r="R933" s="16" t="s">
        <v>2736</v>
      </c>
    </row>
    <row r="934" spans="13:18" x14ac:dyDescent="0.2">
      <c r="M934" s="20" t="str">
        <f t="shared" si="45"/>
        <v>HUANUCO HUAMALIES TANTAMAYO</v>
      </c>
      <c r="N934" s="20">
        <f t="shared" si="46"/>
        <v>0</v>
      </c>
      <c r="O934" s="16" t="s">
        <v>885</v>
      </c>
      <c r="P934" s="16" t="s">
        <v>904</v>
      </c>
      <c r="Q934" s="16" t="s">
        <v>915</v>
      </c>
      <c r="R934" s="16" t="s">
        <v>2737</v>
      </c>
    </row>
    <row r="935" spans="13:18" x14ac:dyDescent="0.2">
      <c r="M935" s="20" t="str">
        <f t="shared" si="45"/>
        <v>HUANUCO HUANUCO AMARILIS</v>
      </c>
      <c r="N935" s="20">
        <f t="shared" si="46"/>
        <v>0</v>
      </c>
      <c r="O935" s="16" t="s">
        <v>885</v>
      </c>
      <c r="P935" s="16" t="s">
        <v>885</v>
      </c>
      <c r="Q935" s="16" t="s">
        <v>916</v>
      </c>
      <c r="R935" s="16" t="s">
        <v>2738</v>
      </c>
    </row>
    <row r="936" spans="13:18" x14ac:dyDescent="0.2">
      <c r="M936" s="20" t="str">
        <f t="shared" si="45"/>
        <v>HUANUCO HUANUCO CHINCHAO</v>
      </c>
      <c r="N936" s="20">
        <f t="shared" si="46"/>
        <v>0</v>
      </c>
      <c r="O936" s="16" t="s">
        <v>885</v>
      </c>
      <c r="P936" s="16" t="s">
        <v>885</v>
      </c>
      <c r="Q936" s="16" t="s">
        <v>917</v>
      </c>
      <c r="R936" s="16" t="s">
        <v>2739</v>
      </c>
    </row>
    <row r="937" spans="13:18" x14ac:dyDescent="0.2">
      <c r="M937" s="20" t="str">
        <f t="shared" si="45"/>
        <v>HUANUCO HUANUCO CHURUBAMBA</v>
      </c>
      <c r="N937" s="20">
        <f t="shared" si="46"/>
        <v>0</v>
      </c>
      <c r="O937" s="16" t="s">
        <v>885</v>
      </c>
      <c r="P937" s="16" t="s">
        <v>885</v>
      </c>
      <c r="Q937" s="16" t="s">
        <v>918</v>
      </c>
      <c r="R937" s="16" t="s">
        <v>2740</v>
      </c>
    </row>
    <row r="938" spans="13:18" x14ac:dyDescent="0.2">
      <c r="M938" s="20" t="str">
        <f t="shared" si="45"/>
        <v>HUANUCO HUANUCO HUANUCO</v>
      </c>
      <c r="N938" s="20">
        <f t="shared" si="46"/>
        <v>0</v>
      </c>
      <c r="O938" s="16" t="s">
        <v>885</v>
      </c>
      <c r="P938" s="16" t="s">
        <v>885</v>
      </c>
      <c r="Q938" s="16" t="s">
        <v>885</v>
      </c>
      <c r="R938" s="16" t="s">
        <v>2741</v>
      </c>
    </row>
    <row r="939" spans="13:18" x14ac:dyDescent="0.2">
      <c r="M939" s="20" t="str">
        <f t="shared" si="45"/>
        <v>HUANUCO HUANUCO MARGOS</v>
      </c>
      <c r="N939" s="20">
        <f t="shared" si="46"/>
        <v>0</v>
      </c>
      <c r="O939" s="16" t="s">
        <v>885</v>
      </c>
      <c r="P939" s="16" t="s">
        <v>885</v>
      </c>
      <c r="Q939" s="16" t="s">
        <v>919</v>
      </c>
      <c r="R939" s="16" t="s">
        <v>2742</v>
      </c>
    </row>
    <row r="940" spans="13:18" x14ac:dyDescent="0.2">
      <c r="M940" s="20" t="str">
        <f t="shared" si="45"/>
        <v>HUANUCO HUANUCO PILLCO MARCA</v>
      </c>
      <c r="N940" s="20">
        <f t="shared" si="46"/>
        <v>0</v>
      </c>
      <c r="O940" s="16" t="s">
        <v>885</v>
      </c>
      <c r="P940" s="16" t="s">
        <v>885</v>
      </c>
      <c r="Q940" s="16" t="s">
        <v>920</v>
      </c>
      <c r="R940" s="16" t="s">
        <v>2743</v>
      </c>
    </row>
    <row r="941" spans="13:18" x14ac:dyDescent="0.2">
      <c r="M941" s="20" t="str">
        <f t="shared" si="45"/>
        <v>HUANUCO HUANUCO QUISQUI (KICHKI)</v>
      </c>
      <c r="N941" s="20">
        <f t="shared" si="46"/>
        <v>0</v>
      </c>
      <c r="O941" s="16" t="s">
        <v>885</v>
      </c>
      <c r="P941" s="16" t="s">
        <v>885</v>
      </c>
      <c r="Q941" s="16" t="s">
        <v>921</v>
      </c>
      <c r="R941" s="16" t="s">
        <v>2744</v>
      </c>
    </row>
    <row r="942" spans="13:18" x14ac:dyDescent="0.2">
      <c r="M942" s="20" t="str">
        <f t="shared" si="45"/>
        <v>HUANUCO HUANUCO SAN FRANCISCO DE CAYRAN</v>
      </c>
      <c r="N942" s="20">
        <f t="shared" si="46"/>
        <v>0</v>
      </c>
      <c r="O942" s="16" t="s">
        <v>885</v>
      </c>
      <c r="P942" s="16" t="s">
        <v>885</v>
      </c>
      <c r="Q942" s="16" t="s">
        <v>922</v>
      </c>
      <c r="R942" s="16" t="s">
        <v>2745</v>
      </c>
    </row>
    <row r="943" spans="13:18" x14ac:dyDescent="0.2">
      <c r="M943" s="20" t="str">
        <f t="shared" si="45"/>
        <v>HUANUCO HUANUCO SAN PABLO DE PILLAO</v>
      </c>
      <c r="N943" s="20">
        <f t="shared" si="46"/>
        <v>0</v>
      </c>
      <c r="O943" s="16" t="s">
        <v>885</v>
      </c>
      <c r="P943" s="16" t="s">
        <v>885</v>
      </c>
      <c r="Q943" s="16" t="s">
        <v>923</v>
      </c>
      <c r="R943" s="16" t="s">
        <v>2746</v>
      </c>
    </row>
    <row r="944" spans="13:18" x14ac:dyDescent="0.2">
      <c r="M944" s="20" t="str">
        <f t="shared" si="45"/>
        <v>HUANUCO HUANUCO SAN PEDRO DE CHAULAN</v>
      </c>
      <c r="N944" s="20">
        <f t="shared" si="46"/>
        <v>0</v>
      </c>
      <c r="O944" s="16" t="s">
        <v>885</v>
      </c>
      <c r="P944" s="16" t="s">
        <v>885</v>
      </c>
      <c r="Q944" s="16" t="s">
        <v>924</v>
      </c>
      <c r="R944" s="16" t="s">
        <v>2747</v>
      </c>
    </row>
    <row r="945" spans="13:18" x14ac:dyDescent="0.2">
      <c r="M945" s="20" t="str">
        <f t="shared" si="45"/>
        <v>HUANUCO HUANUCO SANTA MARIA DEL VALLE</v>
      </c>
      <c r="N945" s="20">
        <f t="shared" si="46"/>
        <v>0</v>
      </c>
      <c r="O945" s="16" t="s">
        <v>885</v>
      </c>
      <c r="P945" s="16" t="s">
        <v>885</v>
      </c>
      <c r="Q945" s="16" t="s">
        <v>925</v>
      </c>
      <c r="R945" s="16" t="s">
        <v>2748</v>
      </c>
    </row>
    <row r="946" spans="13:18" x14ac:dyDescent="0.2">
      <c r="M946" s="20" t="str">
        <f t="shared" si="45"/>
        <v>HUANUCO HUANUCO YACUS</v>
      </c>
      <c r="N946" s="20">
        <f t="shared" si="46"/>
        <v>0</v>
      </c>
      <c r="O946" s="16" t="s">
        <v>885</v>
      </c>
      <c r="P946" s="16" t="s">
        <v>885</v>
      </c>
      <c r="Q946" s="16" t="s">
        <v>926</v>
      </c>
      <c r="R946" s="16" t="s">
        <v>2749</v>
      </c>
    </row>
    <row r="947" spans="13:18" x14ac:dyDescent="0.2">
      <c r="M947" s="20" t="str">
        <f t="shared" si="45"/>
        <v>HUANUCO HUANUCO YARUMAYO</v>
      </c>
      <c r="N947" s="20">
        <f t="shared" si="46"/>
        <v>0</v>
      </c>
      <c r="O947" s="16" t="s">
        <v>885</v>
      </c>
      <c r="P947" s="16" t="s">
        <v>885</v>
      </c>
      <c r="Q947" s="16" t="s">
        <v>927</v>
      </c>
      <c r="R947" s="16" t="s">
        <v>2750</v>
      </c>
    </row>
    <row r="948" spans="13:18" x14ac:dyDescent="0.2">
      <c r="M948" s="20" t="str">
        <f t="shared" si="45"/>
        <v>HUANUCO LAURICOCHA BAÑOS</v>
      </c>
      <c r="N948" s="20">
        <f t="shared" si="46"/>
        <v>0</v>
      </c>
      <c r="O948" s="16" t="s">
        <v>885</v>
      </c>
      <c r="P948" s="16" t="s">
        <v>928</v>
      </c>
      <c r="Q948" s="16" t="s">
        <v>929</v>
      </c>
      <c r="R948" s="16" t="s">
        <v>2751</v>
      </c>
    </row>
    <row r="949" spans="13:18" x14ac:dyDescent="0.2">
      <c r="M949" s="20" t="str">
        <f t="shared" si="45"/>
        <v>HUANUCO LAURICOCHA JESUS</v>
      </c>
      <c r="N949" s="20">
        <f t="shared" si="46"/>
        <v>0</v>
      </c>
      <c r="O949" s="16" t="s">
        <v>885</v>
      </c>
      <c r="P949" s="16" t="s">
        <v>928</v>
      </c>
      <c r="Q949" s="16" t="s">
        <v>583</v>
      </c>
      <c r="R949" s="16" t="s">
        <v>2752</v>
      </c>
    </row>
    <row r="950" spans="13:18" x14ac:dyDescent="0.2">
      <c r="M950" s="20" t="str">
        <f t="shared" si="45"/>
        <v>HUANUCO LAURICOCHA JIVIA</v>
      </c>
      <c r="N950" s="20">
        <f t="shared" si="46"/>
        <v>0</v>
      </c>
      <c r="O950" s="16" t="s">
        <v>885</v>
      </c>
      <c r="P950" s="16" t="s">
        <v>928</v>
      </c>
      <c r="Q950" s="16" t="s">
        <v>930</v>
      </c>
      <c r="R950" s="16" t="s">
        <v>2753</v>
      </c>
    </row>
    <row r="951" spans="13:18" x14ac:dyDescent="0.2">
      <c r="M951" s="20" t="str">
        <f t="shared" si="45"/>
        <v>HUANUCO LAURICOCHA QUEROPALCA</v>
      </c>
      <c r="N951" s="20">
        <f t="shared" si="46"/>
        <v>0</v>
      </c>
      <c r="O951" s="16" t="s">
        <v>885</v>
      </c>
      <c r="P951" s="16" t="s">
        <v>928</v>
      </c>
      <c r="Q951" s="16" t="s">
        <v>931</v>
      </c>
      <c r="R951" s="16" t="s">
        <v>2754</v>
      </c>
    </row>
    <row r="952" spans="13:18" x14ac:dyDescent="0.2">
      <c r="M952" s="20" t="str">
        <f t="shared" si="45"/>
        <v>HUANUCO LAURICOCHA RONDOS</v>
      </c>
      <c r="N952" s="20">
        <f t="shared" si="46"/>
        <v>0</v>
      </c>
      <c r="O952" s="16" t="s">
        <v>885</v>
      </c>
      <c r="P952" s="16" t="s">
        <v>928</v>
      </c>
      <c r="Q952" s="16" t="s">
        <v>932</v>
      </c>
      <c r="R952" s="16" t="s">
        <v>2755</v>
      </c>
    </row>
    <row r="953" spans="13:18" x14ac:dyDescent="0.2">
      <c r="M953" s="20" t="str">
        <f t="shared" si="45"/>
        <v>HUANUCO LAURICOCHA SAN FRANCISCO DE ASIS</v>
      </c>
      <c r="N953" s="20">
        <f t="shared" si="46"/>
        <v>0</v>
      </c>
      <c r="O953" s="16" t="s">
        <v>885</v>
      </c>
      <c r="P953" s="16" t="s">
        <v>928</v>
      </c>
      <c r="Q953" s="16" t="s">
        <v>933</v>
      </c>
      <c r="R953" s="16" t="s">
        <v>2756</v>
      </c>
    </row>
    <row r="954" spans="13:18" x14ac:dyDescent="0.2">
      <c r="M954" s="20" t="str">
        <f t="shared" si="45"/>
        <v>HUANUCO LAURICOCHA SAN MIGUEL DE CAURI</v>
      </c>
      <c r="N954" s="20">
        <f t="shared" si="46"/>
        <v>0</v>
      </c>
      <c r="O954" s="16" t="s">
        <v>885</v>
      </c>
      <c r="P954" s="16" t="s">
        <v>928</v>
      </c>
      <c r="Q954" s="16" t="s">
        <v>934</v>
      </c>
      <c r="R954" s="16" t="s">
        <v>2757</v>
      </c>
    </row>
    <row r="955" spans="13:18" x14ac:dyDescent="0.2">
      <c r="M955" s="20" t="str">
        <f t="shared" si="45"/>
        <v>HUANUCO LEONCIO PRADO CASTILLO GRANDE</v>
      </c>
      <c r="N955" s="20">
        <f t="shared" si="46"/>
        <v>0</v>
      </c>
      <c r="O955" s="16" t="s">
        <v>885</v>
      </c>
      <c r="P955" s="16" t="s">
        <v>513</v>
      </c>
      <c r="Q955" s="16" t="s">
        <v>935</v>
      </c>
      <c r="R955" s="16" t="s">
        <v>2758</v>
      </c>
    </row>
    <row r="956" spans="13:18" x14ac:dyDescent="0.2">
      <c r="M956" s="20" t="str">
        <f t="shared" si="45"/>
        <v>HUANUCO LEONCIO PRADO DANIEL ALOMIA ROBLES</v>
      </c>
      <c r="N956" s="20">
        <f t="shared" si="46"/>
        <v>0</v>
      </c>
      <c r="O956" s="16" t="s">
        <v>885</v>
      </c>
      <c r="P956" s="16" t="s">
        <v>513</v>
      </c>
      <c r="Q956" s="16" t="s">
        <v>936</v>
      </c>
      <c r="R956" s="16" t="s">
        <v>2759</v>
      </c>
    </row>
    <row r="957" spans="13:18" x14ac:dyDescent="0.2">
      <c r="M957" s="20" t="str">
        <f t="shared" si="45"/>
        <v>HUANUCO LEONCIO PRADO HERMILIO VALDIZAN</v>
      </c>
      <c r="N957" s="20">
        <f t="shared" si="46"/>
        <v>0</v>
      </c>
      <c r="O957" s="16" t="s">
        <v>885</v>
      </c>
      <c r="P957" s="16" t="s">
        <v>513</v>
      </c>
      <c r="Q957" s="16" t="s">
        <v>937</v>
      </c>
      <c r="R957" s="16" t="s">
        <v>2760</v>
      </c>
    </row>
    <row r="958" spans="13:18" x14ac:dyDescent="0.2">
      <c r="M958" s="20" t="str">
        <f t="shared" si="45"/>
        <v>HUANUCO LEONCIO PRADO JOSE CRESPO Y CASTILLO</v>
      </c>
      <c r="N958" s="20">
        <f t="shared" si="46"/>
        <v>0</v>
      </c>
      <c r="O958" s="16" t="s">
        <v>885</v>
      </c>
      <c r="P958" s="16" t="s">
        <v>513</v>
      </c>
      <c r="Q958" s="16" t="s">
        <v>938</v>
      </c>
      <c r="R958" s="16" t="s">
        <v>2761</v>
      </c>
    </row>
    <row r="959" spans="13:18" x14ac:dyDescent="0.2">
      <c r="M959" s="20" t="str">
        <f t="shared" si="45"/>
        <v>HUANUCO LEONCIO PRADO LUYANDO</v>
      </c>
      <c r="N959" s="20">
        <f t="shared" si="46"/>
        <v>0</v>
      </c>
      <c r="O959" s="16" t="s">
        <v>885</v>
      </c>
      <c r="P959" s="16" t="s">
        <v>513</v>
      </c>
      <c r="Q959" s="16" t="s">
        <v>939</v>
      </c>
      <c r="R959" s="16" t="s">
        <v>2762</v>
      </c>
    </row>
    <row r="960" spans="13:18" x14ac:dyDescent="0.2">
      <c r="M960" s="20" t="str">
        <f t="shared" si="45"/>
        <v>HUANUCO LEONCIO PRADO MARIANO DAMASO BERAUN</v>
      </c>
      <c r="N960" s="20">
        <f t="shared" si="46"/>
        <v>0</v>
      </c>
      <c r="O960" s="16" t="s">
        <v>885</v>
      </c>
      <c r="P960" s="16" t="s">
        <v>513</v>
      </c>
      <c r="Q960" s="16" t="s">
        <v>940</v>
      </c>
      <c r="R960" s="16" t="s">
        <v>2763</v>
      </c>
    </row>
    <row r="961" spans="13:18" x14ac:dyDescent="0.2">
      <c r="M961" s="20" t="str">
        <f t="shared" si="45"/>
        <v>HUANUCO LEONCIO PRADO PUCAYACU</v>
      </c>
      <c r="N961" s="20">
        <f t="shared" si="46"/>
        <v>0</v>
      </c>
      <c r="O961" s="16" t="s">
        <v>885</v>
      </c>
      <c r="P961" s="16" t="s">
        <v>513</v>
      </c>
      <c r="Q961" s="16" t="s">
        <v>941</v>
      </c>
      <c r="R961" s="16" t="s">
        <v>2764</v>
      </c>
    </row>
    <row r="962" spans="13:18" x14ac:dyDescent="0.2">
      <c r="M962" s="20" t="str">
        <f t="shared" si="45"/>
        <v>HUANUCO LEONCIO PRADO RUPA-RUPA</v>
      </c>
      <c r="N962" s="20">
        <f t="shared" si="46"/>
        <v>0</v>
      </c>
      <c r="O962" s="16" t="s">
        <v>885</v>
      </c>
      <c r="P962" s="16" t="s">
        <v>513</v>
      </c>
      <c r="Q962" s="16" t="s">
        <v>942</v>
      </c>
      <c r="R962" s="16" t="s">
        <v>2765</v>
      </c>
    </row>
    <row r="963" spans="13:18" x14ac:dyDescent="0.2">
      <c r="M963" s="20" t="str">
        <f t="shared" ref="M963:M1026" si="47">O963&amp;" "&amp;P963&amp;" "&amp;Q963</f>
        <v>HUANUCO MARAÑON CHOLON</v>
      </c>
      <c r="N963" s="20">
        <f t="shared" ref="N963:N1026" si="48">IF(AND($D$9=O963,$D$10=P963),N962+1,0)</f>
        <v>0</v>
      </c>
      <c r="O963" s="16" t="s">
        <v>885</v>
      </c>
      <c r="P963" s="16" t="s">
        <v>943</v>
      </c>
      <c r="Q963" s="16" t="s">
        <v>944</v>
      </c>
      <c r="R963" s="16" t="s">
        <v>2766</v>
      </c>
    </row>
    <row r="964" spans="13:18" x14ac:dyDescent="0.2">
      <c r="M964" s="20" t="str">
        <f t="shared" si="47"/>
        <v>HUANUCO MARAÑON HUACRACHUCO</v>
      </c>
      <c r="N964" s="20">
        <f t="shared" si="48"/>
        <v>0</v>
      </c>
      <c r="O964" s="16" t="s">
        <v>885</v>
      </c>
      <c r="P964" s="16" t="s">
        <v>943</v>
      </c>
      <c r="Q964" s="16" t="s">
        <v>945</v>
      </c>
      <c r="R964" s="16" t="s">
        <v>2767</v>
      </c>
    </row>
    <row r="965" spans="13:18" x14ac:dyDescent="0.2">
      <c r="M965" s="20" t="str">
        <f t="shared" si="47"/>
        <v>HUANUCO MARAÑON LA MORADA</v>
      </c>
      <c r="N965" s="20">
        <f t="shared" si="48"/>
        <v>0</v>
      </c>
      <c r="O965" s="16" t="s">
        <v>885</v>
      </c>
      <c r="P965" s="16" t="s">
        <v>943</v>
      </c>
      <c r="Q965" s="16" t="s">
        <v>946</v>
      </c>
      <c r="R965" s="16" t="s">
        <v>2768</v>
      </c>
    </row>
    <row r="966" spans="13:18" x14ac:dyDescent="0.2">
      <c r="M966" s="20" t="str">
        <f t="shared" si="47"/>
        <v>HUANUCO MARAÑON SAN BUENAVENTURA</v>
      </c>
      <c r="N966" s="20">
        <f t="shared" si="48"/>
        <v>0</v>
      </c>
      <c r="O966" s="16" t="s">
        <v>885</v>
      </c>
      <c r="P966" s="16" t="s">
        <v>943</v>
      </c>
      <c r="Q966" s="16" t="s">
        <v>948</v>
      </c>
      <c r="R966" s="16" t="s">
        <v>2769</v>
      </c>
    </row>
    <row r="967" spans="13:18" x14ac:dyDescent="0.2">
      <c r="M967" s="20" t="str">
        <f t="shared" si="47"/>
        <v>HUANUCO MARAÑON SANTA ROSA DE ALTO YANAJANCA</v>
      </c>
      <c r="N967" s="20">
        <f t="shared" si="48"/>
        <v>0</v>
      </c>
      <c r="O967" s="16" t="s">
        <v>885</v>
      </c>
      <c r="P967" s="16" t="s">
        <v>943</v>
      </c>
      <c r="Q967" s="16" t="s">
        <v>949</v>
      </c>
      <c r="R967" s="16" t="s">
        <v>2770</v>
      </c>
    </row>
    <row r="968" spans="13:18" x14ac:dyDescent="0.2">
      <c r="M968" s="20" t="str">
        <f t="shared" si="47"/>
        <v>HUANUCO PACHITEA CHAGLLA</v>
      </c>
      <c r="N968" s="20">
        <f t="shared" si="48"/>
        <v>0</v>
      </c>
      <c r="O968" s="16" t="s">
        <v>885</v>
      </c>
      <c r="P968" s="16" t="s">
        <v>950</v>
      </c>
      <c r="Q968" s="16" t="s">
        <v>951</v>
      </c>
      <c r="R968" s="16" t="s">
        <v>2771</v>
      </c>
    </row>
    <row r="969" spans="13:18" x14ac:dyDescent="0.2">
      <c r="M969" s="20" t="str">
        <f t="shared" si="47"/>
        <v>HUANUCO PACHITEA MOLINO</v>
      </c>
      <c r="N969" s="20">
        <f t="shared" si="48"/>
        <v>0</v>
      </c>
      <c r="O969" s="16" t="s">
        <v>885</v>
      </c>
      <c r="P969" s="16" t="s">
        <v>950</v>
      </c>
      <c r="Q969" s="16" t="s">
        <v>952</v>
      </c>
      <c r="R969" s="16" t="s">
        <v>2772</v>
      </c>
    </row>
    <row r="970" spans="13:18" x14ac:dyDescent="0.2">
      <c r="M970" s="20" t="str">
        <f t="shared" si="47"/>
        <v>HUANUCO PACHITEA PANAO</v>
      </c>
      <c r="N970" s="20">
        <f t="shared" si="48"/>
        <v>0</v>
      </c>
      <c r="O970" s="16" t="s">
        <v>885</v>
      </c>
      <c r="P970" s="16" t="s">
        <v>950</v>
      </c>
      <c r="Q970" s="16" t="s">
        <v>953</v>
      </c>
      <c r="R970" s="16" t="s">
        <v>2773</v>
      </c>
    </row>
    <row r="971" spans="13:18" x14ac:dyDescent="0.2">
      <c r="M971" s="20" t="str">
        <f t="shared" si="47"/>
        <v>HUANUCO PACHITEA UMARI</v>
      </c>
      <c r="N971" s="20">
        <f t="shared" si="48"/>
        <v>0</v>
      </c>
      <c r="O971" s="16" t="s">
        <v>885</v>
      </c>
      <c r="P971" s="16" t="s">
        <v>950</v>
      </c>
      <c r="Q971" s="16" t="s">
        <v>954</v>
      </c>
      <c r="R971" s="16" t="s">
        <v>2774</v>
      </c>
    </row>
    <row r="972" spans="13:18" x14ac:dyDescent="0.2">
      <c r="M972" s="20" t="str">
        <f t="shared" si="47"/>
        <v>HUANUCO PUERTO INCA CODO DEL POZUZO</v>
      </c>
      <c r="N972" s="20">
        <f t="shared" si="48"/>
        <v>0</v>
      </c>
      <c r="O972" s="16" t="s">
        <v>885</v>
      </c>
      <c r="P972" s="16" t="s">
        <v>955</v>
      </c>
      <c r="Q972" s="16" t="s">
        <v>956</v>
      </c>
      <c r="R972" s="16" t="s">
        <v>2775</v>
      </c>
    </row>
    <row r="973" spans="13:18" x14ac:dyDescent="0.2">
      <c r="M973" s="20" t="str">
        <f t="shared" si="47"/>
        <v>HUANUCO PUERTO INCA HONORIA</v>
      </c>
      <c r="N973" s="20">
        <f t="shared" si="48"/>
        <v>0</v>
      </c>
      <c r="O973" s="16" t="s">
        <v>885</v>
      </c>
      <c r="P973" s="16" t="s">
        <v>955</v>
      </c>
      <c r="Q973" s="16" t="s">
        <v>957</v>
      </c>
      <c r="R973" s="16" t="s">
        <v>2776</v>
      </c>
    </row>
    <row r="974" spans="13:18" x14ac:dyDescent="0.2">
      <c r="M974" s="20" t="str">
        <f t="shared" si="47"/>
        <v>HUANUCO PUERTO INCA PUERTO INCA</v>
      </c>
      <c r="N974" s="20">
        <f t="shared" si="48"/>
        <v>0</v>
      </c>
      <c r="O974" s="16" t="s">
        <v>885</v>
      </c>
      <c r="P974" s="16" t="s">
        <v>955</v>
      </c>
      <c r="Q974" s="16" t="s">
        <v>955</v>
      </c>
      <c r="R974" s="16" t="s">
        <v>2777</v>
      </c>
    </row>
    <row r="975" spans="13:18" x14ac:dyDescent="0.2">
      <c r="M975" s="20" t="str">
        <f t="shared" si="47"/>
        <v>HUANUCO PUERTO INCA TOURNAVISTA</v>
      </c>
      <c r="N975" s="20">
        <f t="shared" si="48"/>
        <v>0</v>
      </c>
      <c r="O975" s="16" t="s">
        <v>885</v>
      </c>
      <c r="P975" s="16" t="s">
        <v>955</v>
      </c>
      <c r="Q975" s="16" t="s">
        <v>958</v>
      </c>
      <c r="R975" s="16" t="s">
        <v>2778</v>
      </c>
    </row>
    <row r="976" spans="13:18" x14ac:dyDescent="0.2">
      <c r="M976" s="20" t="str">
        <f t="shared" si="47"/>
        <v>HUANUCO PUERTO INCA YUYAPICHIS</v>
      </c>
      <c r="N976" s="20">
        <f t="shared" si="48"/>
        <v>0</v>
      </c>
      <c r="O976" s="16" t="s">
        <v>885</v>
      </c>
      <c r="P976" s="16" t="s">
        <v>955</v>
      </c>
      <c r="Q976" s="16" t="s">
        <v>959</v>
      </c>
      <c r="R976" s="16" t="s">
        <v>2779</v>
      </c>
    </row>
    <row r="977" spans="13:18" x14ac:dyDescent="0.2">
      <c r="M977" s="20" t="str">
        <f t="shared" si="47"/>
        <v>HUANUCO YAROWILCA APARICIO POMARES</v>
      </c>
      <c r="N977" s="20">
        <f t="shared" si="48"/>
        <v>0</v>
      </c>
      <c r="O977" s="16" t="s">
        <v>885</v>
      </c>
      <c r="P977" s="16" t="s">
        <v>960</v>
      </c>
      <c r="Q977" s="16" t="s">
        <v>961</v>
      </c>
      <c r="R977" s="16" t="s">
        <v>2780</v>
      </c>
    </row>
    <row r="978" spans="13:18" x14ac:dyDescent="0.2">
      <c r="M978" s="20" t="str">
        <f t="shared" si="47"/>
        <v>HUANUCO YAROWILCA CAHUAC</v>
      </c>
      <c r="N978" s="20">
        <f t="shared" si="48"/>
        <v>0</v>
      </c>
      <c r="O978" s="16" t="s">
        <v>885</v>
      </c>
      <c r="P978" s="16" t="s">
        <v>960</v>
      </c>
      <c r="Q978" s="16" t="s">
        <v>962</v>
      </c>
      <c r="R978" s="16" t="s">
        <v>2781</v>
      </c>
    </row>
    <row r="979" spans="13:18" x14ac:dyDescent="0.2">
      <c r="M979" s="20" t="str">
        <f t="shared" si="47"/>
        <v>HUANUCO YAROWILCA CHACABAMBA</v>
      </c>
      <c r="N979" s="20">
        <f t="shared" si="48"/>
        <v>0</v>
      </c>
      <c r="O979" s="16" t="s">
        <v>885</v>
      </c>
      <c r="P979" s="16" t="s">
        <v>960</v>
      </c>
      <c r="Q979" s="16" t="s">
        <v>963</v>
      </c>
      <c r="R979" s="16" t="s">
        <v>2782</v>
      </c>
    </row>
    <row r="980" spans="13:18" x14ac:dyDescent="0.2">
      <c r="M980" s="20" t="str">
        <f t="shared" si="47"/>
        <v>HUANUCO YAROWILCA CHAVINILLO</v>
      </c>
      <c r="N980" s="20">
        <f t="shared" si="48"/>
        <v>0</v>
      </c>
      <c r="O980" s="16" t="s">
        <v>885</v>
      </c>
      <c r="P980" s="16" t="s">
        <v>960</v>
      </c>
      <c r="Q980" s="16" t="s">
        <v>964</v>
      </c>
      <c r="R980" s="16" t="s">
        <v>2783</v>
      </c>
    </row>
    <row r="981" spans="13:18" x14ac:dyDescent="0.2">
      <c r="M981" s="20" t="str">
        <f t="shared" si="47"/>
        <v>HUANUCO YAROWILCA CHORAS</v>
      </c>
      <c r="N981" s="20">
        <f t="shared" si="48"/>
        <v>0</v>
      </c>
      <c r="O981" s="16" t="s">
        <v>885</v>
      </c>
      <c r="P981" s="16" t="s">
        <v>960</v>
      </c>
      <c r="Q981" s="16" t="s">
        <v>965</v>
      </c>
      <c r="R981" s="16" t="s">
        <v>2784</v>
      </c>
    </row>
    <row r="982" spans="13:18" x14ac:dyDescent="0.2">
      <c r="M982" s="20" t="str">
        <f t="shared" si="47"/>
        <v>HUANUCO YAROWILCA JACAS CHICO</v>
      </c>
      <c r="N982" s="20">
        <f t="shared" si="48"/>
        <v>0</v>
      </c>
      <c r="O982" s="16" t="s">
        <v>885</v>
      </c>
      <c r="P982" s="16" t="s">
        <v>960</v>
      </c>
      <c r="Q982" s="16" t="s">
        <v>966</v>
      </c>
      <c r="R982" s="16" t="s">
        <v>2785</v>
      </c>
    </row>
    <row r="983" spans="13:18" x14ac:dyDescent="0.2">
      <c r="M983" s="20" t="str">
        <f t="shared" si="47"/>
        <v>HUANUCO YAROWILCA OBAS</v>
      </c>
      <c r="N983" s="20">
        <f t="shared" si="48"/>
        <v>0</v>
      </c>
      <c r="O983" s="16" t="s">
        <v>885</v>
      </c>
      <c r="P983" s="16" t="s">
        <v>960</v>
      </c>
      <c r="Q983" s="16" t="s">
        <v>967</v>
      </c>
      <c r="R983" s="16" t="s">
        <v>2786</v>
      </c>
    </row>
    <row r="984" spans="13:18" x14ac:dyDescent="0.2">
      <c r="M984" s="20" t="str">
        <f t="shared" si="47"/>
        <v>HUANUCO YAROWILCA PAMPAMARCA</v>
      </c>
      <c r="N984" s="20">
        <f t="shared" si="48"/>
        <v>0</v>
      </c>
      <c r="O984" s="16" t="s">
        <v>885</v>
      </c>
      <c r="P984" s="16" t="s">
        <v>960</v>
      </c>
      <c r="Q984" s="16" t="s">
        <v>452</v>
      </c>
      <c r="R984" s="16" t="s">
        <v>2787</v>
      </c>
    </row>
    <row r="985" spans="13:18" x14ac:dyDescent="0.2">
      <c r="M985" s="20" t="str">
        <f t="shared" si="47"/>
        <v>ICA CHINCHA ALTO LARAN</v>
      </c>
      <c r="N985" s="20">
        <f t="shared" si="48"/>
        <v>0</v>
      </c>
      <c r="O985" s="16" t="s">
        <v>968</v>
      </c>
      <c r="P985" s="16" t="s">
        <v>969</v>
      </c>
      <c r="Q985" s="16" t="s">
        <v>970</v>
      </c>
      <c r="R985" s="16" t="s">
        <v>2788</v>
      </c>
    </row>
    <row r="986" spans="13:18" x14ac:dyDescent="0.2">
      <c r="M986" s="20" t="str">
        <f t="shared" si="47"/>
        <v>ICA CHINCHA CHAVIN</v>
      </c>
      <c r="N986" s="20">
        <f t="shared" si="48"/>
        <v>0</v>
      </c>
      <c r="O986" s="16" t="s">
        <v>968</v>
      </c>
      <c r="P986" s="16" t="s">
        <v>969</v>
      </c>
      <c r="Q986" s="16" t="s">
        <v>971</v>
      </c>
      <c r="R986" s="16" t="s">
        <v>2789</v>
      </c>
    </row>
    <row r="987" spans="13:18" x14ac:dyDescent="0.2">
      <c r="M987" s="20" t="str">
        <f t="shared" si="47"/>
        <v>ICA CHINCHA CHINCHA ALTA</v>
      </c>
      <c r="N987" s="20">
        <f t="shared" si="48"/>
        <v>0</v>
      </c>
      <c r="O987" s="16" t="s">
        <v>968</v>
      </c>
      <c r="P987" s="16" t="s">
        <v>969</v>
      </c>
      <c r="Q987" s="16" t="s">
        <v>972</v>
      </c>
      <c r="R987" s="16" t="s">
        <v>2790</v>
      </c>
    </row>
    <row r="988" spans="13:18" x14ac:dyDescent="0.2">
      <c r="M988" s="20" t="str">
        <f t="shared" si="47"/>
        <v>ICA CHINCHA CHINCHA BAJA</v>
      </c>
      <c r="N988" s="20">
        <f t="shared" si="48"/>
        <v>0</v>
      </c>
      <c r="O988" s="16" t="s">
        <v>968</v>
      </c>
      <c r="P988" s="16" t="s">
        <v>969</v>
      </c>
      <c r="Q988" s="16" t="s">
        <v>973</v>
      </c>
      <c r="R988" s="16" t="s">
        <v>2791</v>
      </c>
    </row>
    <row r="989" spans="13:18" x14ac:dyDescent="0.2">
      <c r="M989" s="20" t="str">
        <f t="shared" si="47"/>
        <v>ICA CHINCHA EL CARMEN</v>
      </c>
      <c r="N989" s="20">
        <f t="shared" si="48"/>
        <v>0</v>
      </c>
      <c r="O989" s="16" t="s">
        <v>968</v>
      </c>
      <c r="P989" s="16" t="s">
        <v>969</v>
      </c>
      <c r="Q989" s="16" t="s">
        <v>831</v>
      </c>
      <c r="R989" s="16" t="s">
        <v>2792</v>
      </c>
    </row>
    <row r="990" spans="13:18" x14ac:dyDescent="0.2">
      <c r="M990" s="20" t="str">
        <f t="shared" si="47"/>
        <v>ICA CHINCHA GROCIO PRADO</v>
      </c>
      <c r="N990" s="20">
        <f t="shared" si="48"/>
        <v>0</v>
      </c>
      <c r="O990" s="16" t="s">
        <v>968</v>
      </c>
      <c r="P990" s="16" t="s">
        <v>969</v>
      </c>
      <c r="Q990" s="16" t="s">
        <v>974</v>
      </c>
      <c r="R990" s="16" t="s">
        <v>2793</v>
      </c>
    </row>
    <row r="991" spans="13:18" x14ac:dyDescent="0.2">
      <c r="M991" s="20" t="str">
        <f t="shared" si="47"/>
        <v>ICA CHINCHA PUEBLO NUEVO</v>
      </c>
      <c r="N991" s="20">
        <f t="shared" si="48"/>
        <v>0</v>
      </c>
      <c r="O991" s="16" t="s">
        <v>968</v>
      </c>
      <c r="P991" s="16" t="s">
        <v>969</v>
      </c>
      <c r="Q991" s="16" t="s">
        <v>975</v>
      </c>
      <c r="R991" s="16" t="s">
        <v>2794</v>
      </c>
    </row>
    <row r="992" spans="13:18" x14ac:dyDescent="0.2">
      <c r="M992" s="20" t="str">
        <f t="shared" si="47"/>
        <v>ICA CHINCHA SAN JUAN DE YANAC</v>
      </c>
      <c r="N992" s="20">
        <f t="shared" si="48"/>
        <v>0</v>
      </c>
      <c r="O992" s="16" t="s">
        <v>968</v>
      </c>
      <c r="P992" s="16" t="s">
        <v>969</v>
      </c>
      <c r="Q992" s="16" t="s">
        <v>976</v>
      </c>
      <c r="R992" s="16" t="s">
        <v>2795</v>
      </c>
    </row>
    <row r="993" spans="13:18" x14ac:dyDescent="0.2">
      <c r="M993" s="20" t="str">
        <f t="shared" si="47"/>
        <v>ICA CHINCHA SAN PEDRO DE HUACARPANA</v>
      </c>
      <c r="N993" s="20">
        <f t="shared" si="48"/>
        <v>0</v>
      </c>
      <c r="O993" s="16" t="s">
        <v>968</v>
      </c>
      <c r="P993" s="16" t="s">
        <v>969</v>
      </c>
      <c r="Q993" s="16" t="s">
        <v>977</v>
      </c>
      <c r="R993" s="16" t="s">
        <v>2796</v>
      </c>
    </row>
    <row r="994" spans="13:18" x14ac:dyDescent="0.2">
      <c r="M994" s="20" t="str">
        <f t="shared" si="47"/>
        <v>ICA CHINCHA SUNAMPE</v>
      </c>
      <c r="N994" s="20">
        <f t="shared" si="48"/>
        <v>0</v>
      </c>
      <c r="O994" s="16" t="s">
        <v>968</v>
      </c>
      <c r="P994" s="16" t="s">
        <v>969</v>
      </c>
      <c r="Q994" s="16" t="s">
        <v>978</v>
      </c>
      <c r="R994" s="16" t="s">
        <v>2797</v>
      </c>
    </row>
    <row r="995" spans="13:18" x14ac:dyDescent="0.2">
      <c r="M995" s="20" t="str">
        <f t="shared" si="47"/>
        <v>ICA CHINCHA TAMBO DE MORA</v>
      </c>
      <c r="N995" s="20">
        <f t="shared" si="48"/>
        <v>0</v>
      </c>
      <c r="O995" s="16" t="s">
        <v>968</v>
      </c>
      <c r="P995" s="16" t="s">
        <v>969</v>
      </c>
      <c r="Q995" s="16" t="s">
        <v>979</v>
      </c>
      <c r="R995" s="16" t="s">
        <v>2798</v>
      </c>
    </row>
    <row r="996" spans="13:18" x14ac:dyDescent="0.2">
      <c r="M996" s="20" t="str">
        <f t="shared" si="47"/>
        <v>ICA ICA ICA</v>
      </c>
      <c r="N996" s="20">
        <f t="shared" si="48"/>
        <v>0</v>
      </c>
      <c r="O996" s="16" t="s">
        <v>968</v>
      </c>
      <c r="P996" s="16" t="s">
        <v>968</v>
      </c>
      <c r="Q996" s="16" t="s">
        <v>968</v>
      </c>
      <c r="R996" s="16" t="s">
        <v>2799</v>
      </c>
    </row>
    <row r="997" spans="13:18" x14ac:dyDescent="0.2">
      <c r="M997" s="20" t="str">
        <f t="shared" si="47"/>
        <v>ICA ICA LA TINGUIÑA</v>
      </c>
      <c r="N997" s="20">
        <f t="shared" si="48"/>
        <v>0</v>
      </c>
      <c r="O997" s="16" t="s">
        <v>968</v>
      </c>
      <c r="P997" s="16" t="s">
        <v>968</v>
      </c>
      <c r="Q997" s="16" t="s">
        <v>980</v>
      </c>
      <c r="R997" s="16" t="s">
        <v>2800</v>
      </c>
    </row>
    <row r="998" spans="13:18" x14ac:dyDescent="0.2">
      <c r="M998" s="20" t="str">
        <f t="shared" si="47"/>
        <v>ICA ICA LOS AQUIJES</v>
      </c>
      <c r="N998" s="20">
        <f t="shared" si="48"/>
        <v>0</v>
      </c>
      <c r="O998" s="16" t="s">
        <v>968</v>
      </c>
      <c r="P998" s="16" t="s">
        <v>968</v>
      </c>
      <c r="Q998" s="16" t="s">
        <v>981</v>
      </c>
      <c r="R998" s="16" t="s">
        <v>2801</v>
      </c>
    </row>
    <row r="999" spans="13:18" x14ac:dyDescent="0.2">
      <c r="M999" s="20" t="str">
        <f t="shared" si="47"/>
        <v>ICA ICA OCUCAJE</v>
      </c>
      <c r="N999" s="20">
        <f t="shared" si="48"/>
        <v>0</v>
      </c>
      <c r="O999" s="16" t="s">
        <v>968</v>
      </c>
      <c r="P999" s="16" t="s">
        <v>968</v>
      </c>
      <c r="Q999" s="16" t="s">
        <v>982</v>
      </c>
      <c r="R999" s="16" t="s">
        <v>2802</v>
      </c>
    </row>
    <row r="1000" spans="13:18" x14ac:dyDescent="0.2">
      <c r="M1000" s="20" t="str">
        <f t="shared" si="47"/>
        <v>ICA ICA PACHACUTEC</v>
      </c>
      <c r="N1000" s="20">
        <f t="shared" si="48"/>
        <v>0</v>
      </c>
      <c r="O1000" s="16" t="s">
        <v>968</v>
      </c>
      <c r="P1000" s="16" t="s">
        <v>968</v>
      </c>
      <c r="Q1000" s="16" t="s">
        <v>983</v>
      </c>
      <c r="R1000" s="16" t="s">
        <v>2803</v>
      </c>
    </row>
    <row r="1001" spans="13:18" x14ac:dyDescent="0.2">
      <c r="M1001" s="20" t="str">
        <f t="shared" si="47"/>
        <v>ICA ICA PARCONA</v>
      </c>
      <c r="N1001" s="20">
        <f t="shared" si="48"/>
        <v>0</v>
      </c>
      <c r="O1001" s="16" t="s">
        <v>968</v>
      </c>
      <c r="P1001" s="16" t="s">
        <v>968</v>
      </c>
      <c r="Q1001" s="16" t="s">
        <v>984</v>
      </c>
      <c r="R1001" s="16" t="s">
        <v>2804</v>
      </c>
    </row>
    <row r="1002" spans="13:18" x14ac:dyDescent="0.2">
      <c r="M1002" s="20" t="str">
        <f t="shared" si="47"/>
        <v>ICA ICA PUEBLO NUEVO</v>
      </c>
      <c r="N1002" s="20">
        <f t="shared" si="48"/>
        <v>0</v>
      </c>
      <c r="O1002" s="16" t="s">
        <v>968</v>
      </c>
      <c r="P1002" s="16" t="s">
        <v>968</v>
      </c>
      <c r="Q1002" s="16" t="s">
        <v>975</v>
      </c>
      <c r="R1002" s="16" t="s">
        <v>2805</v>
      </c>
    </row>
    <row r="1003" spans="13:18" x14ac:dyDescent="0.2">
      <c r="M1003" s="20" t="str">
        <f t="shared" si="47"/>
        <v>ICA ICA SALAS</v>
      </c>
      <c r="N1003" s="20">
        <f t="shared" si="48"/>
        <v>0</v>
      </c>
      <c r="O1003" s="16" t="s">
        <v>968</v>
      </c>
      <c r="P1003" s="16" t="s">
        <v>968</v>
      </c>
      <c r="Q1003" s="16" t="s">
        <v>985</v>
      </c>
      <c r="R1003" s="16" t="s">
        <v>2806</v>
      </c>
    </row>
    <row r="1004" spans="13:18" x14ac:dyDescent="0.2">
      <c r="M1004" s="20" t="str">
        <f t="shared" si="47"/>
        <v>ICA ICA SAN JOSE DE LOS MOLINOS</v>
      </c>
      <c r="N1004" s="20">
        <f t="shared" si="48"/>
        <v>0</v>
      </c>
      <c r="O1004" s="16" t="s">
        <v>968</v>
      </c>
      <c r="P1004" s="16" t="s">
        <v>968</v>
      </c>
      <c r="Q1004" s="16" t="s">
        <v>987</v>
      </c>
      <c r="R1004" s="16" t="s">
        <v>2807</v>
      </c>
    </row>
    <row r="1005" spans="13:18" x14ac:dyDescent="0.2">
      <c r="M1005" s="20" t="str">
        <f t="shared" si="47"/>
        <v>ICA ICA SAN JUAN BAUTISTA</v>
      </c>
      <c r="N1005" s="20">
        <f t="shared" si="48"/>
        <v>0</v>
      </c>
      <c r="O1005" s="16" t="s">
        <v>968</v>
      </c>
      <c r="P1005" s="16" t="s">
        <v>968</v>
      </c>
      <c r="Q1005" s="16" t="s">
        <v>282</v>
      </c>
      <c r="R1005" s="16" t="s">
        <v>2808</v>
      </c>
    </row>
    <row r="1006" spans="13:18" x14ac:dyDescent="0.2">
      <c r="M1006" s="20" t="str">
        <f t="shared" si="47"/>
        <v>ICA ICA SANTIAGO</v>
      </c>
      <c r="N1006" s="20">
        <f t="shared" si="48"/>
        <v>0</v>
      </c>
      <c r="O1006" s="16" t="s">
        <v>968</v>
      </c>
      <c r="P1006" s="16" t="s">
        <v>968</v>
      </c>
      <c r="Q1006" s="16" t="s">
        <v>745</v>
      </c>
      <c r="R1006" s="16" t="s">
        <v>2809</v>
      </c>
    </row>
    <row r="1007" spans="13:18" x14ac:dyDescent="0.2">
      <c r="M1007" s="20" t="str">
        <f t="shared" si="47"/>
        <v>ICA ICA SUBTANJALLA</v>
      </c>
      <c r="N1007" s="20">
        <f t="shared" si="48"/>
        <v>0</v>
      </c>
      <c r="O1007" s="16" t="s">
        <v>968</v>
      </c>
      <c r="P1007" s="16" t="s">
        <v>968</v>
      </c>
      <c r="Q1007" s="16" t="s">
        <v>988</v>
      </c>
      <c r="R1007" s="16" t="s">
        <v>2810</v>
      </c>
    </row>
    <row r="1008" spans="13:18" x14ac:dyDescent="0.2">
      <c r="M1008" s="20" t="str">
        <f t="shared" si="47"/>
        <v>ICA ICA TATE</v>
      </c>
      <c r="N1008" s="20">
        <f t="shared" si="48"/>
        <v>0</v>
      </c>
      <c r="O1008" s="16" t="s">
        <v>968</v>
      </c>
      <c r="P1008" s="16" t="s">
        <v>968</v>
      </c>
      <c r="Q1008" s="16" t="s">
        <v>989</v>
      </c>
      <c r="R1008" s="16" t="s">
        <v>2811</v>
      </c>
    </row>
    <row r="1009" spans="13:18" x14ac:dyDescent="0.2">
      <c r="M1009" s="20" t="str">
        <f t="shared" si="47"/>
        <v>ICA ICA YAUCA DEL ROSARIO</v>
      </c>
      <c r="N1009" s="20">
        <f t="shared" si="48"/>
        <v>0</v>
      </c>
      <c r="O1009" s="16" t="s">
        <v>968</v>
      </c>
      <c r="P1009" s="16" t="s">
        <v>968</v>
      </c>
      <c r="Q1009" s="16" t="s">
        <v>990</v>
      </c>
      <c r="R1009" s="16" t="s">
        <v>2812</v>
      </c>
    </row>
    <row r="1010" spans="13:18" x14ac:dyDescent="0.2">
      <c r="M1010" s="20" t="str">
        <f t="shared" si="47"/>
        <v>ICA NAZCA CHANGUILLO</v>
      </c>
      <c r="N1010" s="20">
        <f t="shared" si="48"/>
        <v>0</v>
      </c>
      <c r="O1010" s="16" t="s">
        <v>968</v>
      </c>
      <c r="P1010" s="16" t="s">
        <v>991</v>
      </c>
      <c r="Q1010" s="16" t="s">
        <v>992</v>
      </c>
      <c r="R1010" s="16" t="s">
        <v>2813</v>
      </c>
    </row>
    <row r="1011" spans="13:18" x14ac:dyDescent="0.2">
      <c r="M1011" s="20" t="str">
        <f t="shared" si="47"/>
        <v>ICA NAZCA EL INGENIO</v>
      </c>
      <c r="N1011" s="20">
        <f t="shared" si="48"/>
        <v>0</v>
      </c>
      <c r="O1011" s="16" t="s">
        <v>968</v>
      </c>
      <c r="P1011" s="16" t="s">
        <v>991</v>
      </c>
      <c r="Q1011" s="16" t="s">
        <v>993</v>
      </c>
      <c r="R1011" s="16" t="s">
        <v>2814</v>
      </c>
    </row>
    <row r="1012" spans="13:18" x14ac:dyDescent="0.2">
      <c r="M1012" s="20" t="str">
        <f t="shared" si="47"/>
        <v>ICA NAZCA MARCONA</v>
      </c>
      <c r="N1012" s="20">
        <f t="shared" si="48"/>
        <v>0</v>
      </c>
      <c r="O1012" s="16" t="s">
        <v>968</v>
      </c>
      <c r="P1012" s="16" t="s">
        <v>991</v>
      </c>
      <c r="Q1012" s="16" t="s">
        <v>994</v>
      </c>
      <c r="R1012" s="16" t="s">
        <v>2815</v>
      </c>
    </row>
    <row r="1013" spans="13:18" x14ac:dyDescent="0.2">
      <c r="M1013" s="20" t="str">
        <f t="shared" si="47"/>
        <v>ICA NAZCA NASCA</v>
      </c>
      <c r="N1013" s="20">
        <f t="shared" si="48"/>
        <v>0</v>
      </c>
      <c r="O1013" s="16" t="s">
        <v>968</v>
      </c>
      <c r="P1013" s="16" t="s">
        <v>991</v>
      </c>
      <c r="Q1013" s="16" t="s">
        <v>995</v>
      </c>
      <c r="R1013" s="16" t="s">
        <v>2816</v>
      </c>
    </row>
    <row r="1014" spans="13:18" x14ac:dyDescent="0.2">
      <c r="M1014" s="20" t="str">
        <f t="shared" si="47"/>
        <v>ICA NAZCA VISTA ALEGRE</v>
      </c>
      <c r="N1014" s="20">
        <f t="shared" si="48"/>
        <v>0</v>
      </c>
      <c r="O1014" s="16" t="s">
        <v>968</v>
      </c>
      <c r="P1014" s="16" t="s">
        <v>991</v>
      </c>
      <c r="Q1014" s="16" t="s">
        <v>87</v>
      </c>
      <c r="R1014" s="16" t="s">
        <v>2817</v>
      </c>
    </row>
    <row r="1015" spans="13:18" x14ac:dyDescent="0.2">
      <c r="M1015" s="20" t="str">
        <f t="shared" si="47"/>
        <v>ICA PALPA LLIPATA</v>
      </c>
      <c r="N1015" s="20">
        <f t="shared" si="48"/>
        <v>0</v>
      </c>
      <c r="O1015" s="16" t="s">
        <v>968</v>
      </c>
      <c r="P1015" s="16" t="s">
        <v>996</v>
      </c>
      <c r="Q1015" s="16" t="s">
        <v>997</v>
      </c>
      <c r="R1015" s="16" t="s">
        <v>2818</v>
      </c>
    </row>
    <row r="1016" spans="13:18" x14ac:dyDescent="0.2">
      <c r="M1016" s="20" t="str">
        <f t="shared" si="47"/>
        <v>ICA PALPA PALPA</v>
      </c>
      <c r="N1016" s="20">
        <f t="shared" si="48"/>
        <v>0</v>
      </c>
      <c r="O1016" s="16" t="s">
        <v>968</v>
      </c>
      <c r="P1016" s="16" t="s">
        <v>996</v>
      </c>
      <c r="Q1016" s="16" t="s">
        <v>996</v>
      </c>
      <c r="R1016" s="16" t="s">
        <v>2819</v>
      </c>
    </row>
    <row r="1017" spans="13:18" x14ac:dyDescent="0.2">
      <c r="M1017" s="20" t="str">
        <f t="shared" si="47"/>
        <v>ICA PALPA RIO GRANDE</v>
      </c>
      <c r="N1017" s="20">
        <f t="shared" si="48"/>
        <v>0</v>
      </c>
      <c r="O1017" s="16" t="s">
        <v>968</v>
      </c>
      <c r="P1017" s="16" t="s">
        <v>996</v>
      </c>
      <c r="Q1017" s="16" t="s">
        <v>438</v>
      </c>
      <c r="R1017" s="16" t="s">
        <v>2820</v>
      </c>
    </row>
    <row r="1018" spans="13:18" x14ac:dyDescent="0.2">
      <c r="M1018" s="20" t="str">
        <f t="shared" si="47"/>
        <v>ICA PALPA SANTA CRUZ</v>
      </c>
      <c r="N1018" s="20">
        <f t="shared" si="48"/>
        <v>0</v>
      </c>
      <c r="O1018" s="16" t="s">
        <v>968</v>
      </c>
      <c r="P1018" s="16" t="s">
        <v>996</v>
      </c>
      <c r="Q1018" s="16" t="s">
        <v>190</v>
      </c>
      <c r="R1018" s="16" t="s">
        <v>2821</v>
      </c>
    </row>
    <row r="1019" spans="13:18" x14ac:dyDescent="0.2">
      <c r="M1019" s="20" t="str">
        <f t="shared" si="47"/>
        <v>ICA PALPA TIBILLO</v>
      </c>
      <c r="N1019" s="20">
        <f t="shared" si="48"/>
        <v>0</v>
      </c>
      <c r="O1019" s="16" t="s">
        <v>968</v>
      </c>
      <c r="P1019" s="16" t="s">
        <v>996</v>
      </c>
      <c r="Q1019" s="16" t="s">
        <v>999</v>
      </c>
      <c r="R1019" s="16" t="s">
        <v>2822</v>
      </c>
    </row>
    <row r="1020" spans="13:18" x14ac:dyDescent="0.2">
      <c r="M1020" s="20" t="str">
        <f t="shared" si="47"/>
        <v>ICA PISCO HUANCANO</v>
      </c>
      <c r="N1020" s="20">
        <f t="shared" si="48"/>
        <v>0</v>
      </c>
      <c r="O1020" s="16" t="s">
        <v>968</v>
      </c>
      <c r="P1020" s="16" t="s">
        <v>1000</v>
      </c>
      <c r="Q1020" s="16" t="s">
        <v>1001</v>
      </c>
      <c r="R1020" s="16" t="s">
        <v>2823</v>
      </c>
    </row>
    <row r="1021" spans="13:18" x14ac:dyDescent="0.2">
      <c r="M1021" s="20" t="str">
        <f t="shared" si="47"/>
        <v>ICA PISCO HUMAY</v>
      </c>
      <c r="N1021" s="20">
        <f t="shared" si="48"/>
        <v>0</v>
      </c>
      <c r="O1021" s="16" t="s">
        <v>968</v>
      </c>
      <c r="P1021" s="16" t="s">
        <v>1000</v>
      </c>
      <c r="Q1021" s="16" t="s">
        <v>1002</v>
      </c>
      <c r="R1021" s="16" t="s">
        <v>2824</v>
      </c>
    </row>
    <row r="1022" spans="13:18" x14ac:dyDescent="0.2">
      <c r="M1022" s="20" t="str">
        <f t="shared" si="47"/>
        <v>ICA PISCO INDEPENDENCIA</v>
      </c>
      <c r="N1022" s="20">
        <f t="shared" si="48"/>
        <v>0</v>
      </c>
      <c r="O1022" s="16" t="s">
        <v>968</v>
      </c>
      <c r="P1022" s="16" t="s">
        <v>1000</v>
      </c>
      <c r="Q1022" s="16" t="s">
        <v>157</v>
      </c>
      <c r="R1022" s="16" t="s">
        <v>2825</v>
      </c>
    </row>
    <row r="1023" spans="13:18" x14ac:dyDescent="0.2">
      <c r="M1023" s="20" t="str">
        <f t="shared" si="47"/>
        <v>ICA PISCO PARACAS</v>
      </c>
      <c r="N1023" s="20">
        <f t="shared" si="48"/>
        <v>0</v>
      </c>
      <c r="O1023" s="16" t="s">
        <v>968</v>
      </c>
      <c r="P1023" s="16" t="s">
        <v>1000</v>
      </c>
      <c r="Q1023" s="16" t="s">
        <v>1003</v>
      </c>
      <c r="R1023" s="16" t="s">
        <v>2826</v>
      </c>
    </row>
    <row r="1024" spans="13:18" x14ac:dyDescent="0.2">
      <c r="M1024" s="20" t="str">
        <f t="shared" si="47"/>
        <v>ICA PISCO PISCO</v>
      </c>
      <c r="N1024" s="20">
        <f t="shared" si="48"/>
        <v>0</v>
      </c>
      <c r="O1024" s="16" t="s">
        <v>968</v>
      </c>
      <c r="P1024" s="16" t="s">
        <v>1000</v>
      </c>
      <c r="Q1024" s="16" t="s">
        <v>1000</v>
      </c>
      <c r="R1024" s="16" t="s">
        <v>2827</v>
      </c>
    </row>
    <row r="1025" spans="13:18" x14ac:dyDescent="0.2">
      <c r="M1025" s="20" t="str">
        <f t="shared" si="47"/>
        <v>ICA PISCO SAN ANDRES</v>
      </c>
      <c r="N1025" s="20">
        <f t="shared" si="48"/>
        <v>0</v>
      </c>
      <c r="O1025" s="16" t="s">
        <v>968</v>
      </c>
      <c r="P1025" s="16" t="s">
        <v>1000</v>
      </c>
      <c r="Q1025" s="16" t="s">
        <v>673</v>
      </c>
      <c r="R1025" s="16" t="s">
        <v>2828</v>
      </c>
    </row>
    <row r="1026" spans="13:18" x14ac:dyDescent="0.2">
      <c r="M1026" s="20" t="str">
        <f t="shared" si="47"/>
        <v>ICA PISCO SAN CLEMENTE</v>
      </c>
      <c r="N1026" s="20">
        <f t="shared" si="48"/>
        <v>0</v>
      </c>
      <c r="O1026" s="16" t="s">
        <v>968</v>
      </c>
      <c r="P1026" s="16" t="s">
        <v>1000</v>
      </c>
      <c r="Q1026" s="16" t="s">
        <v>1004</v>
      </c>
      <c r="R1026" s="16" t="s">
        <v>2829</v>
      </c>
    </row>
    <row r="1027" spans="13:18" x14ac:dyDescent="0.2">
      <c r="M1027" s="20" t="str">
        <f t="shared" ref="M1027:M1090" si="49">O1027&amp;" "&amp;P1027&amp;" "&amp;Q1027</f>
        <v>ICA PISCO TUPAC AMARU INCA</v>
      </c>
      <c r="N1027" s="20">
        <f t="shared" ref="N1027:N1090" si="50">IF(AND($D$9=O1027,$D$10=P1027),N1026+1,0)</f>
        <v>0</v>
      </c>
      <c r="O1027" s="16" t="s">
        <v>968</v>
      </c>
      <c r="P1027" s="16" t="s">
        <v>1000</v>
      </c>
      <c r="Q1027" s="16" t="s">
        <v>1005</v>
      </c>
      <c r="R1027" s="16" t="s">
        <v>2830</v>
      </c>
    </row>
    <row r="1028" spans="13:18" x14ac:dyDescent="0.2">
      <c r="M1028" s="20" t="str">
        <f t="shared" si="49"/>
        <v>JUNIN CHANCHAMAYO CHANCHAMAYO</v>
      </c>
      <c r="N1028" s="20">
        <f t="shared" si="50"/>
        <v>0</v>
      </c>
      <c r="O1028" s="16" t="s">
        <v>1006</v>
      </c>
      <c r="P1028" s="16" t="s">
        <v>1007</v>
      </c>
      <c r="Q1028" s="16" t="s">
        <v>1007</v>
      </c>
      <c r="R1028" s="16" t="s">
        <v>2831</v>
      </c>
    </row>
    <row r="1029" spans="13:18" x14ac:dyDescent="0.2">
      <c r="M1029" s="20" t="str">
        <f t="shared" si="49"/>
        <v>JUNIN CHANCHAMAYO PERENE</v>
      </c>
      <c r="N1029" s="20">
        <f t="shared" si="50"/>
        <v>0</v>
      </c>
      <c r="O1029" s="16" t="s">
        <v>1006</v>
      </c>
      <c r="P1029" s="16" t="s">
        <v>1007</v>
      </c>
      <c r="Q1029" s="16" t="s">
        <v>1008</v>
      </c>
      <c r="R1029" s="16" t="s">
        <v>2832</v>
      </c>
    </row>
    <row r="1030" spans="13:18" x14ac:dyDescent="0.2">
      <c r="M1030" s="20" t="str">
        <f t="shared" si="49"/>
        <v>JUNIN CHANCHAMAYO PICHANAQUI</v>
      </c>
      <c r="N1030" s="20">
        <f t="shared" si="50"/>
        <v>0</v>
      </c>
      <c r="O1030" s="16" t="s">
        <v>1006</v>
      </c>
      <c r="P1030" s="16" t="s">
        <v>1007</v>
      </c>
      <c r="Q1030" s="16" t="s">
        <v>1009</v>
      </c>
      <c r="R1030" s="16" t="s">
        <v>2833</v>
      </c>
    </row>
    <row r="1031" spans="13:18" x14ac:dyDescent="0.2">
      <c r="M1031" s="20" t="str">
        <f t="shared" si="49"/>
        <v>JUNIN CHANCHAMAYO SAN LUIS DE SHUARO</v>
      </c>
      <c r="N1031" s="20">
        <f t="shared" si="50"/>
        <v>0</v>
      </c>
      <c r="O1031" s="16" t="s">
        <v>1006</v>
      </c>
      <c r="P1031" s="16" t="s">
        <v>1007</v>
      </c>
      <c r="Q1031" s="16" t="s">
        <v>1010</v>
      </c>
      <c r="R1031" s="16" t="s">
        <v>2834</v>
      </c>
    </row>
    <row r="1032" spans="13:18" x14ac:dyDescent="0.2">
      <c r="M1032" s="20" t="str">
        <f t="shared" si="49"/>
        <v>JUNIN CHANCHAMAYO SAN RAMON</v>
      </c>
      <c r="N1032" s="20">
        <f t="shared" si="50"/>
        <v>0</v>
      </c>
      <c r="O1032" s="16" t="s">
        <v>1006</v>
      </c>
      <c r="P1032" s="16" t="s">
        <v>1007</v>
      </c>
      <c r="Q1032" s="16" t="s">
        <v>1011</v>
      </c>
      <c r="R1032" s="16" t="s">
        <v>2835</v>
      </c>
    </row>
    <row r="1033" spans="13:18" x14ac:dyDescent="0.2">
      <c r="M1033" s="20" t="str">
        <f t="shared" si="49"/>
        <v>JUNIN CHANCHAMAYO VITOC</v>
      </c>
      <c r="N1033" s="20">
        <f t="shared" si="50"/>
        <v>0</v>
      </c>
      <c r="O1033" s="16" t="s">
        <v>1006</v>
      </c>
      <c r="P1033" s="16" t="s">
        <v>1007</v>
      </c>
      <c r="Q1033" s="16" t="s">
        <v>1012</v>
      </c>
      <c r="R1033" s="16" t="s">
        <v>2836</v>
      </c>
    </row>
    <row r="1034" spans="13:18" x14ac:dyDescent="0.2">
      <c r="M1034" s="20" t="str">
        <f t="shared" si="49"/>
        <v>JUNIN CHUPACA AHUAC</v>
      </c>
      <c r="N1034" s="20">
        <f t="shared" si="50"/>
        <v>0</v>
      </c>
      <c r="O1034" s="16" t="s">
        <v>1006</v>
      </c>
      <c r="P1034" s="16" t="s">
        <v>1013</v>
      </c>
      <c r="Q1034" s="16" t="s">
        <v>1014</v>
      </c>
      <c r="R1034" s="16" t="s">
        <v>2837</v>
      </c>
    </row>
    <row r="1035" spans="13:18" x14ac:dyDescent="0.2">
      <c r="M1035" s="20" t="str">
        <f t="shared" si="49"/>
        <v>JUNIN CHUPACA CHONGOS BAJO</v>
      </c>
      <c r="N1035" s="20">
        <f t="shared" si="50"/>
        <v>0</v>
      </c>
      <c r="O1035" s="16" t="s">
        <v>1006</v>
      </c>
      <c r="P1035" s="16" t="s">
        <v>1013</v>
      </c>
      <c r="Q1035" s="16" t="s">
        <v>1015</v>
      </c>
      <c r="R1035" s="16" t="s">
        <v>2838</v>
      </c>
    </row>
    <row r="1036" spans="13:18" x14ac:dyDescent="0.2">
      <c r="M1036" s="20" t="str">
        <f t="shared" si="49"/>
        <v>JUNIN CHUPACA CHUPACA</v>
      </c>
      <c r="N1036" s="20">
        <f t="shared" si="50"/>
        <v>0</v>
      </c>
      <c r="O1036" s="16" t="s">
        <v>1006</v>
      </c>
      <c r="P1036" s="16" t="s">
        <v>1013</v>
      </c>
      <c r="Q1036" s="16" t="s">
        <v>1013</v>
      </c>
      <c r="R1036" s="16" t="s">
        <v>2839</v>
      </c>
    </row>
    <row r="1037" spans="13:18" x14ac:dyDescent="0.2">
      <c r="M1037" s="20" t="str">
        <f t="shared" si="49"/>
        <v>JUNIN CHUPACA HUACHAC</v>
      </c>
      <c r="N1037" s="20">
        <f t="shared" si="50"/>
        <v>0</v>
      </c>
      <c r="O1037" s="16" t="s">
        <v>1006</v>
      </c>
      <c r="P1037" s="16" t="s">
        <v>1013</v>
      </c>
      <c r="Q1037" s="16" t="s">
        <v>1016</v>
      </c>
      <c r="R1037" s="16" t="s">
        <v>2840</v>
      </c>
    </row>
    <row r="1038" spans="13:18" x14ac:dyDescent="0.2">
      <c r="M1038" s="20" t="str">
        <f t="shared" si="49"/>
        <v>JUNIN CHUPACA HUAMANCACA CHICO</v>
      </c>
      <c r="N1038" s="20">
        <f t="shared" si="50"/>
        <v>0</v>
      </c>
      <c r="O1038" s="16" t="s">
        <v>1006</v>
      </c>
      <c r="P1038" s="16" t="s">
        <v>1013</v>
      </c>
      <c r="Q1038" s="16" t="s">
        <v>1017</v>
      </c>
      <c r="R1038" s="16" t="s">
        <v>2841</v>
      </c>
    </row>
    <row r="1039" spans="13:18" x14ac:dyDescent="0.2">
      <c r="M1039" s="20" t="str">
        <f t="shared" si="49"/>
        <v>JUNIN CHUPACA SAN JUAN DE ISCOS</v>
      </c>
      <c r="N1039" s="20">
        <f t="shared" si="50"/>
        <v>0</v>
      </c>
      <c r="O1039" s="16" t="s">
        <v>1006</v>
      </c>
      <c r="P1039" s="16" t="s">
        <v>1013</v>
      </c>
      <c r="Q1039" s="16" t="s">
        <v>1018</v>
      </c>
      <c r="R1039" s="16" t="s">
        <v>2842</v>
      </c>
    </row>
    <row r="1040" spans="13:18" x14ac:dyDescent="0.2">
      <c r="M1040" s="20" t="str">
        <f t="shared" si="49"/>
        <v>JUNIN CHUPACA SAN JUAN DE JARPA</v>
      </c>
      <c r="N1040" s="20">
        <f t="shared" si="50"/>
        <v>0</v>
      </c>
      <c r="O1040" s="16" t="s">
        <v>1006</v>
      </c>
      <c r="P1040" s="16" t="s">
        <v>1013</v>
      </c>
      <c r="Q1040" s="16" t="s">
        <v>1019</v>
      </c>
      <c r="R1040" s="16" t="s">
        <v>2843</v>
      </c>
    </row>
    <row r="1041" spans="13:18" x14ac:dyDescent="0.2">
      <c r="M1041" s="20" t="str">
        <f t="shared" si="49"/>
        <v>JUNIN CHUPACA TRES DE DICIEMBRE</v>
      </c>
      <c r="N1041" s="20">
        <f t="shared" si="50"/>
        <v>0</v>
      </c>
      <c r="O1041" s="16" t="s">
        <v>1006</v>
      </c>
      <c r="P1041" s="16" t="s">
        <v>1013</v>
      </c>
      <c r="Q1041" s="16" t="s">
        <v>1020</v>
      </c>
      <c r="R1041" s="16" t="s">
        <v>2844</v>
      </c>
    </row>
    <row r="1042" spans="13:18" x14ac:dyDescent="0.2">
      <c r="M1042" s="20" t="str">
        <f t="shared" si="49"/>
        <v>JUNIN CHUPACA YANACANCHA</v>
      </c>
      <c r="N1042" s="20">
        <f t="shared" si="50"/>
        <v>0</v>
      </c>
      <c r="O1042" s="16" t="s">
        <v>1006</v>
      </c>
      <c r="P1042" s="16" t="s">
        <v>1013</v>
      </c>
      <c r="Q1042" s="16" t="s">
        <v>1021</v>
      </c>
      <c r="R1042" s="16" t="s">
        <v>2845</v>
      </c>
    </row>
    <row r="1043" spans="13:18" x14ac:dyDescent="0.2">
      <c r="M1043" s="20" t="str">
        <f t="shared" si="49"/>
        <v>JUNIN CONCEPCION ACO</v>
      </c>
      <c r="N1043" s="20">
        <f t="shared" si="50"/>
        <v>0</v>
      </c>
      <c r="O1043" s="16" t="s">
        <v>1006</v>
      </c>
      <c r="P1043" s="16" t="s">
        <v>571</v>
      </c>
      <c r="Q1043" s="16" t="s">
        <v>147</v>
      </c>
      <c r="R1043" s="16" t="s">
        <v>2846</v>
      </c>
    </row>
    <row r="1044" spans="13:18" x14ac:dyDescent="0.2">
      <c r="M1044" s="20" t="str">
        <f t="shared" si="49"/>
        <v>JUNIN CONCEPCION ANDAMARCA</v>
      </c>
      <c r="N1044" s="20">
        <f t="shared" si="50"/>
        <v>0</v>
      </c>
      <c r="O1044" s="16" t="s">
        <v>1006</v>
      </c>
      <c r="P1044" s="16" t="s">
        <v>571</v>
      </c>
      <c r="Q1044" s="16" t="s">
        <v>1022</v>
      </c>
      <c r="R1044" s="16" t="s">
        <v>2847</v>
      </c>
    </row>
    <row r="1045" spans="13:18" x14ac:dyDescent="0.2">
      <c r="M1045" s="20" t="str">
        <f t="shared" si="49"/>
        <v>JUNIN CONCEPCION CHAMBARA</v>
      </c>
      <c r="N1045" s="20">
        <f t="shared" si="50"/>
        <v>0</v>
      </c>
      <c r="O1045" s="16" t="s">
        <v>1006</v>
      </c>
      <c r="P1045" s="16" t="s">
        <v>571</v>
      </c>
      <c r="Q1045" s="16" t="s">
        <v>1023</v>
      </c>
      <c r="R1045" s="16" t="s">
        <v>2848</v>
      </c>
    </row>
    <row r="1046" spans="13:18" x14ac:dyDescent="0.2">
      <c r="M1046" s="20" t="str">
        <f t="shared" si="49"/>
        <v>JUNIN CONCEPCION COCHAS</v>
      </c>
      <c r="N1046" s="20">
        <f t="shared" si="50"/>
        <v>0</v>
      </c>
      <c r="O1046" s="16" t="s">
        <v>1006</v>
      </c>
      <c r="P1046" s="16" t="s">
        <v>571</v>
      </c>
      <c r="Q1046" s="16" t="s">
        <v>208</v>
      </c>
      <c r="R1046" s="16" t="s">
        <v>2849</v>
      </c>
    </row>
    <row r="1047" spans="13:18" x14ac:dyDescent="0.2">
      <c r="M1047" s="20" t="str">
        <f t="shared" si="49"/>
        <v>JUNIN CONCEPCION COMAS</v>
      </c>
      <c r="N1047" s="20">
        <f t="shared" si="50"/>
        <v>0</v>
      </c>
      <c r="O1047" s="16" t="s">
        <v>1006</v>
      </c>
      <c r="P1047" s="16" t="s">
        <v>571</v>
      </c>
      <c r="Q1047" s="16" t="s">
        <v>1024</v>
      </c>
      <c r="R1047" s="16" t="s">
        <v>2850</v>
      </c>
    </row>
    <row r="1048" spans="13:18" x14ac:dyDescent="0.2">
      <c r="M1048" s="20" t="str">
        <f t="shared" si="49"/>
        <v>JUNIN CONCEPCION CONCEPCION</v>
      </c>
      <c r="N1048" s="20">
        <f t="shared" si="50"/>
        <v>0</v>
      </c>
      <c r="O1048" s="16" t="s">
        <v>1006</v>
      </c>
      <c r="P1048" s="16" t="s">
        <v>571</v>
      </c>
      <c r="Q1048" s="16" t="s">
        <v>571</v>
      </c>
      <c r="R1048" s="16" t="s">
        <v>2851</v>
      </c>
    </row>
    <row r="1049" spans="13:18" x14ac:dyDescent="0.2">
      <c r="M1049" s="20" t="str">
        <f t="shared" si="49"/>
        <v>JUNIN CONCEPCION HEROINAS TOLEDO</v>
      </c>
      <c r="N1049" s="20">
        <f t="shared" si="50"/>
        <v>0</v>
      </c>
      <c r="O1049" s="16" t="s">
        <v>1006</v>
      </c>
      <c r="P1049" s="16" t="s">
        <v>571</v>
      </c>
      <c r="Q1049" s="16" t="s">
        <v>1025</v>
      </c>
      <c r="R1049" s="16" t="s">
        <v>2852</v>
      </c>
    </row>
    <row r="1050" spans="13:18" x14ac:dyDescent="0.2">
      <c r="M1050" s="20" t="str">
        <f t="shared" si="49"/>
        <v>JUNIN CONCEPCION MANZANARES</v>
      </c>
      <c r="N1050" s="20">
        <f t="shared" si="50"/>
        <v>0</v>
      </c>
      <c r="O1050" s="16" t="s">
        <v>1006</v>
      </c>
      <c r="P1050" s="16" t="s">
        <v>571</v>
      </c>
      <c r="Q1050" s="16" t="s">
        <v>1026</v>
      </c>
      <c r="R1050" s="16" t="s">
        <v>2853</v>
      </c>
    </row>
    <row r="1051" spans="13:18" x14ac:dyDescent="0.2">
      <c r="M1051" s="20" t="str">
        <f t="shared" si="49"/>
        <v>JUNIN CONCEPCION MARISCAL CASTILLA</v>
      </c>
      <c r="N1051" s="20">
        <f t="shared" si="50"/>
        <v>0</v>
      </c>
      <c r="O1051" s="16" t="s">
        <v>1006</v>
      </c>
      <c r="P1051" s="16" t="s">
        <v>571</v>
      </c>
      <c r="Q1051" s="16" t="s">
        <v>38</v>
      </c>
      <c r="R1051" s="16" t="s">
        <v>2854</v>
      </c>
    </row>
    <row r="1052" spans="13:18" x14ac:dyDescent="0.2">
      <c r="M1052" s="20" t="str">
        <f t="shared" si="49"/>
        <v>JUNIN CONCEPCION MATAHUASI</v>
      </c>
      <c r="N1052" s="20">
        <f t="shared" si="50"/>
        <v>0</v>
      </c>
      <c r="O1052" s="16" t="s">
        <v>1006</v>
      </c>
      <c r="P1052" s="16" t="s">
        <v>571</v>
      </c>
      <c r="Q1052" s="16" t="s">
        <v>1027</v>
      </c>
      <c r="R1052" s="16" t="s">
        <v>2855</v>
      </c>
    </row>
    <row r="1053" spans="13:18" x14ac:dyDescent="0.2">
      <c r="M1053" s="20" t="str">
        <f t="shared" si="49"/>
        <v>JUNIN CONCEPCION MITO</v>
      </c>
      <c r="N1053" s="20">
        <f t="shared" si="50"/>
        <v>0</v>
      </c>
      <c r="O1053" s="16" t="s">
        <v>1006</v>
      </c>
      <c r="P1053" s="16" t="s">
        <v>571</v>
      </c>
      <c r="Q1053" s="16" t="s">
        <v>1028</v>
      </c>
      <c r="R1053" s="16" t="s">
        <v>2856</v>
      </c>
    </row>
    <row r="1054" spans="13:18" x14ac:dyDescent="0.2">
      <c r="M1054" s="20" t="str">
        <f t="shared" si="49"/>
        <v>JUNIN CONCEPCION NUEVE DE JULIO</v>
      </c>
      <c r="N1054" s="20">
        <f t="shared" si="50"/>
        <v>0</v>
      </c>
      <c r="O1054" s="16" t="s">
        <v>1006</v>
      </c>
      <c r="P1054" s="16" t="s">
        <v>571</v>
      </c>
      <c r="Q1054" s="16" t="s">
        <v>1029</v>
      </c>
      <c r="R1054" s="16" t="s">
        <v>2857</v>
      </c>
    </row>
    <row r="1055" spans="13:18" x14ac:dyDescent="0.2">
      <c r="M1055" s="20" t="str">
        <f t="shared" si="49"/>
        <v>JUNIN CONCEPCION ORCOTUNA</v>
      </c>
      <c r="N1055" s="20">
        <f t="shared" si="50"/>
        <v>0</v>
      </c>
      <c r="O1055" s="16" t="s">
        <v>1006</v>
      </c>
      <c r="P1055" s="16" t="s">
        <v>571</v>
      </c>
      <c r="Q1055" s="16" t="s">
        <v>1030</v>
      </c>
      <c r="R1055" s="16" t="s">
        <v>2858</v>
      </c>
    </row>
    <row r="1056" spans="13:18" x14ac:dyDescent="0.2">
      <c r="M1056" s="20" t="str">
        <f t="shared" si="49"/>
        <v>JUNIN CONCEPCION SAN JOSE DE QUERO</v>
      </c>
      <c r="N1056" s="20">
        <f t="shared" si="50"/>
        <v>0</v>
      </c>
      <c r="O1056" s="16" t="s">
        <v>1006</v>
      </c>
      <c r="P1056" s="16" t="s">
        <v>571</v>
      </c>
      <c r="Q1056" s="16" t="s">
        <v>1031</v>
      </c>
      <c r="R1056" s="16" t="s">
        <v>2859</v>
      </c>
    </row>
    <row r="1057" spans="13:18" x14ac:dyDescent="0.2">
      <c r="M1057" s="20" t="str">
        <f t="shared" si="49"/>
        <v>JUNIN CONCEPCION SANTA ROSA DE OCOPA</v>
      </c>
      <c r="N1057" s="20">
        <f t="shared" si="50"/>
        <v>0</v>
      </c>
      <c r="O1057" s="16" t="s">
        <v>1006</v>
      </c>
      <c r="P1057" s="16" t="s">
        <v>571</v>
      </c>
      <c r="Q1057" s="16" t="s">
        <v>1032</v>
      </c>
      <c r="R1057" s="16" t="s">
        <v>2860</v>
      </c>
    </row>
    <row r="1058" spans="13:18" x14ac:dyDescent="0.2">
      <c r="M1058" s="20" t="str">
        <f t="shared" si="49"/>
        <v>JUNIN HUANCAYO CARHUACALLANGA</v>
      </c>
      <c r="N1058" s="20">
        <f t="shared" si="50"/>
        <v>0</v>
      </c>
      <c r="O1058" s="16" t="s">
        <v>1006</v>
      </c>
      <c r="P1058" s="16" t="s">
        <v>1033</v>
      </c>
      <c r="Q1058" s="16" t="s">
        <v>1034</v>
      </c>
      <c r="R1058" s="16" t="s">
        <v>2861</v>
      </c>
    </row>
    <row r="1059" spans="13:18" x14ac:dyDescent="0.2">
      <c r="M1059" s="20" t="str">
        <f t="shared" si="49"/>
        <v>JUNIN HUANCAYO CHACAPAMPA</v>
      </c>
      <c r="N1059" s="20">
        <f t="shared" si="50"/>
        <v>0</v>
      </c>
      <c r="O1059" s="16" t="s">
        <v>1006</v>
      </c>
      <c r="P1059" s="16" t="s">
        <v>1033</v>
      </c>
      <c r="Q1059" s="16" t="s">
        <v>1035</v>
      </c>
      <c r="R1059" s="16" t="s">
        <v>2862</v>
      </c>
    </row>
    <row r="1060" spans="13:18" x14ac:dyDescent="0.2">
      <c r="M1060" s="20" t="str">
        <f t="shared" si="49"/>
        <v>JUNIN HUANCAYO CHICCHE</v>
      </c>
      <c r="N1060" s="20">
        <f t="shared" si="50"/>
        <v>0</v>
      </c>
      <c r="O1060" s="16" t="s">
        <v>1006</v>
      </c>
      <c r="P1060" s="16" t="s">
        <v>1033</v>
      </c>
      <c r="Q1060" s="16" t="s">
        <v>1036</v>
      </c>
      <c r="R1060" s="16" t="s">
        <v>2863</v>
      </c>
    </row>
    <row r="1061" spans="13:18" x14ac:dyDescent="0.2">
      <c r="M1061" s="20" t="str">
        <f t="shared" si="49"/>
        <v>JUNIN HUANCAYO CHILCA</v>
      </c>
      <c r="N1061" s="20">
        <f t="shared" si="50"/>
        <v>0</v>
      </c>
      <c r="O1061" s="16" t="s">
        <v>1006</v>
      </c>
      <c r="P1061" s="16" t="s">
        <v>1033</v>
      </c>
      <c r="Q1061" s="16" t="s">
        <v>1037</v>
      </c>
      <c r="R1061" s="16" t="s">
        <v>2864</v>
      </c>
    </row>
    <row r="1062" spans="13:18" x14ac:dyDescent="0.2">
      <c r="M1062" s="20" t="str">
        <f t="shared" si="49"/>
        <v>JUNIN HUANCAYO CHONGOS ALTO</v>
      </c>
      <c r="N1062" s="20">
        <f t="shared" si="50"/>
        <v>0</v>
      </c>
      <c r="O1062" s="16" t="s">
        <v>1006</v>
      </c>
      <c r="P1062" s="16" t="s">
        <v>1033</v>
      </c>
      <c r="Q1062" s="16" t="s">
        <v>1038</v>
      </c>
      <c r="R1062" s="16" t="s">
        <v>2865</v>
      </c>
    </row>
    <row r="1063" spans="13:18" x14ac:dyDescent="0.2">
      <c r="M1063" s="20" t="str">
        <f t="shared" si="49"/>
        <v>JUNIN HUANCAYO CHUPURO</v>
      </c>
      <c r="N1063" s="20">
        <f t="shared" si="50"/>
        <v>0</v>
      </c>
      <c r="O1063" s="16" t="s">
        <v>1006</v>
      </c>
      <c r="P1063" s="16" t="s">
        <v>1033</v>
      </c>
      <c r="Q1063" s="16" t="s">
        <v>1039</v>
      </c>
      <c r="R1063" s="16" t="s">
        <v>2866</v>
      </c>
    </row>
    <row r="1064" spans="13:18" x14ac:dyDescent="0.2">
      <c r="M1064" s="20" t="str">
        <f t="shared" si="49"/>
        <v>JUNIN HUANCAYO COLCA</v>
      </c>
      <c r="N1064" s="20">
        <f t="shared" si="50"/>
        <v>0</v>
      </c>
      <c r="O1064" s="16" t="s">
        <v>1006</v>
      </c>
      <c r="P1064" s="16" t="s">
        <v>1033</v>
      </c>
      <c r="Q1064" s="16" t="s">
        <v>561</v>
      </c>
      <c r="R1064" s="16" t="s">
        <v>2867</v>
      </c>
    </row>
    <row r="1065" spans="13:18" x14ac:dyDescent="0.2">
      <c r="M1065" s="20" t="str">
        <f t="shared" si="49"/>
        <v>JUNIN HUANCAYO CULLHUAS</v>
      </c>
      <c r="N1065" s="20">
        <f t="shared" si="50"/>
        <v>0</v>
      </c>
      <c r="O1065" s="16" t="s">
        <v>1006</v>
      </c>
      <c r="P1065" s="16" t="s">
        <v>1033</v>
      </c>
      <c r="Q1065" s="16" t="s">
        <v>1041</v>
      </c>
      <c r="R1065" s="16" t="s">
        <v>2868</v>
      </c>
    </row>
    <row r="1066" spans="13:18" x14ac:dyDescent="0.2">
      <c r="M1066" s="20" t="str">
        <f t="shared" si="49"/>
        <v>JUNIN HUANCAYO EL TAMBO</v>
      </c>
      <c r="N1066" s="20">
        <f t="shared" si="50"/>
        <v>0</v>
      </c>
      <c r="O1066" s="16" t="s">
        <v>1006</v>
      </c>
      <c r="P1066" s="16" t="s">
        <v>1033</v>
      </c>
      <c r="Q1066" s="16" t="s">
        <v>1042</v>
      </c>
      <c r="R1066" s="16" t="s">
        <v>2869</v>
      </c>
    </row>
    <row r="1067" spans="13:18" x14ac:dyDescent="0.2">
      <c r="M1067" s="20" t="str">
        <f t="shared" si="49"/>
        <v>JUNIN HUANCAYO HUACRAPUQUIO</v>
      </c>
      <c r="N1067" s="20">
        <f t="shared" si="50"/>
        <v>0</v>
      </c>
      <c r="O1067" s="16" t="s">
        <v>1006</v>
      </c>
      <c r="P1067" s="16" t="s">
        <v>1033</v>
      </c>
      <c r="Q1067" s="16" t="s">
        <v>1043</v>
      </c>
      <c r="R1067" s="16" t="s">
        <v>2870</v>
      </c>
    </row>
    <row r="1068" spans="13:18" x14ac:dyDescent="0.2">
      <c r="M1068" s="20" t="str">
        <f t="shared" si="49"/>
        <v>JUNIN HUANCAYO HUALHUAS</v>
      </c>
      <c r="N1068" s="20">
        <f t="shared" si="50"/>
        <v>0</v>
      </c>
      <c r="O1068" s="16" t="s">
        <v>1006</v>
      </c>
      <c r="P1068" s="16" t="s">
        <v>1033</v>
      </c>
      <c r="Q1068" s="16" t="s">
        <v>1044</v>
      </c>
      <c r="R1068" s="16" t="s">
        <v>2871</v>
      </c>
    </row>
    <row r="1069" spans="13:18" x14ac:dyDescent="0.2">
      <c r="M1069" s="20" t="str">
        <f t="shared" si="49"/>
        <v>JUNIN HUANCAYO HUANCAN</v>
      </c>
      <c r="N1069" s="20">
        <f t="shared" si="50"/>
        <v>0</v>
      </c>
      <c r="O1069" s="16" t="s">
        <v>1006</v>
      </c>
      <c r="P1069" s="16" t="s">
        <v>1033</v>
      </c>
      <c r="Q1069" s="16" t="s">
        <v>1045</v>
      </c>
      <c r="R1069" s="16" t="s">
        <v>2872</v>
      </c>
    </row>
    <row r="1070" spans="13:18" x14ac:dyDescent="0.2">
      <c r="M1070" s="20" t="str">
        <f t="shared" si="49"/>
        <v>JUNIN HUANCAYO HUANCAYO</v>
      </c>
      <c r="N1070" s="20">
        <f t="shared" si="50"/>
        <v>0</v>
      </c>
      <c r="O1070" s="16" t="s">
        <v>1006</v>
      </c>
      <c r="P1070" s="16" t="s">
        <v>1033</v>
      </c>
      <c r="Q1070" s="16" t="s">
        <v>1033</v>
      </c>
      <c r="R1070" s="16" t="s">
        <v>2873</v>
      </c>
    </row>
    <row r="1071" spans="13:18" x14ac:dyDescent="0.2">
      <c r="M1071" s="20" t="str">
        <f t="shared" si="49"/>
        <v>JUNIN HUANCAYO HUASICANCHA</v>
      </c>
      <c r="N1071" s="20">
        <f t="shared" si="50"/>
        <v>0</v>
      </c>
      <c r="O1071" s="16" t="s">
        <v>1006</v>
      </c>
      <c r="P1071" s="16" t="s">
        <v>1033</v>
      </c>
      <c r="Q1071" s="16" t="s">
        <v>1046</v>
      </c>
      <c r="R1071" s="16" t="s">
        <v>2874</v>
      </c>
    </row>
    <row r="1072" spans="13:18" x14ac:dyDescent="0.2">
      <c r="M1072" s="20" t="str">
        <f t="shared" si="49"/>
        <v>JUNIN HUANCAYO HUAYUCACHI</v>
      </c>
      <c r="N1072" s="20">
        <f t="shared" si="50"/>
        <v>0</v>
      </c>
      <c r="O1072" s="16" t="s">
        <v>1006</v>
      </c>
      <c r="P1072" s="16" t="s">
        <v>1033</v>
      </c>
      <c r="Q1072" s="16" t="s">
        <v>1047</v>
      </c>
      <c r="R1072" s="16" t="s">
        <v>2875</v>
      </c>
    </row>
    <row r="1073" spans="13:18" x14ac:dyDescent="0.2">
      <c r="M1073" s="20" t="str">
        <f t="shared" si="49"/>
        <v>JUNIN HUANCAYO INGENIO</v>
      </c>
      <c r="N1073" s="20">
        <f t="shared" si="50"/>
        <v>0</v>
      </c>
      <c r="O1073" s="16" t="s">
        <v>1006</v>
      </c>
      <c r="P1073" s="16" t="s">
        <v>1033</v>
      </c>
      <c r="Q1073" s="16" t="s">
        <v>1048</v>
      </c>
      <c r="R1073" s="16" t="s">
        <v>2876</v>
      </c>
    </row>
    <row r="1074" spans="13:18" x14ac:dyDescent="0.2">
      <c r="M1074" s="20" t="str">
        <f t="shared" si="49"/>
        <v>JUNIN HUANCAYO PARIAHUANCA</v>
      </c>
      <c r="N1074" s="20">
        <f t="shared" si="50"/>
        <v>0</v>
      </c>
      <c r="O1074" s="16" t="s">
        <v>1006</v>
      </c>
      <c r="P1074" s="16" t="s">
        <v>1033</v>
      </c>
      <c r="Q1074" s="16" t="s">
        <v>133</v>
      </c>
      <c r="R1074" s="16" t="s">
        <v>2877</v>
      </c>
    </row>
    <row r="1075" spans="13:18" x14ac:dyDescent="0.2">
      <c r="M1075" s="20" t="str">
        <f t="shared" si="49"/>
        <v>JUNIN HUANCAYO PILCOMAYO</v>
      </c>
      <c r="N1075" s="20">
        <f t="shared" si="50"/>
        <v>0</v>
      </c>
      <c r="O1075" s="16" t="s">
        <v>1006</v>
      </c>
      <c r="P1075" s="16" t="s">
        <v>1033</v>
      </c>
      <c r="Q1075" s="16" t="s">
        <v>1049</v>
      </c>
      <c r="R1075" s="16" t="s">
        <v>2878</v>
      </c>
    </row>
    <row r="1076" spans="13:18" x14ac:dyDescent="0.2">
      <c r="M1076" s="20" t="str">
        <f t="shared" si="49"/>
        <v>JUNIN HUANCAYO PUCARA</v>
      </c>
      <c r="N1076" s="20">
        <f t="shared" si="50"/>
        <v>0</v>
      </c>
      <c r="O1076" s="16" t="s">
        <v>1006</v>
      </c>
      <c r="P1076" s="16" t="s">
        <v>1033</v>
      </c>
      <c r="Q1076" s="16" t="s">
        <v>646</v>
      </c>
      <c r="R1076" s="16" t="s">
        <v>2879</v>
      </c>
    </row>
    <row r="1077" spans="13:18" x14ac:dyDescent="0.2">
      <c r="M1077" s="20" t="str">
        <f t="shared" si="49"/>
        <v>JUNIN HUANCAYO QUICHUAY</v>
      </c>
      <c r="N1077" s="20">
        <f t="shared" si="50"/>
        <v>0</v>
      </c>
      <c r="O1077" s="16" t="s">
        <v>1006</v>
      </c>
      <c r="P1077" s="16" t="s">
        <v>1033</v>
      </c>
      <c r="Q1077" s="16" t="s">
        <v>1050</v>
      </c>
      <c r="R1077" s="16" t="s">
        <v>2880</v>
      </c>
    </row>
    <row r="1078" spans="13:18" x14ac:dyDescent="0.2">
      <c r="M1078" s="20" t="str">
        <f t="shared" si="49"/>
        <v>JUNIN HUANCAYO QUILCAS</v>
      </c>
      <c r="N1078" s="20">
        <f t="shared" si="50"/>
        <v>0</v>
      </c>
      <c r="O1078" s="16" t="s">
        <v>1006</v>
      </c>
      <c r="P1078" s="16" t="s">
        <v>1033</v>
      </c>
      <c r="Q1078" s="16" t="s">
        <v>1051</v>
      </c>
      <c r="R1078" s="16" t="s">
        <v>2881</v>
      </c>
    </row>
    <row r="1079" spans="13:18" x14ac:dyDescent="0.2">
      <c r="M1079" s="20" t="str">
        <f t="shared" si="49"/>
        <v>JUNIN HUANCAYO SAN AGUSTIN</v>
      </c>
      <c r="N1079" s="20">
        <f t="shared" si="50"/>
        <v>0</v>
      </c>
      <c r="O1079" s="16" t="s">
        <v>1006</v>
      </c>
      <c r="P1079" s="16" t="s">
        <v>1033</v>
      </c>
      <c r="Q1079" s="16" t="s">
        <v>210</v>
      </c>
      <c r="R1079" s="16" t="s">
        <v>2882</v>
      </c>
    </row>
    <row r="1080" spans="13:18" x14ac:dyDescent="0.2">
      <c r="M1080" s="20" t="str">
        <f t="shared" si="49"/>
        <v>JUNIN HUANCAYO SAN JERONIMO DE TUNAN</v>
      </c>
      <c r="N1080" s="20">
        <f t="shared" si="50"/>
        <v>0</v>
      </c>
      <c r="O1080" s="16" t="s">
        <v>1006</v>
      </c>
      <c r="P1080" s="16" t="s">
        <v>1033</v>
      </c>
      <c r="Q1080" s="16" t="s">
        <v>1052</v>
      </c>
      <c r="R1080" s="16" t="s">
        <v>2883</v>
      </c>
    </row>
    <row r="1081" spans="13:18" x14ac:dyDescent="0.2">
      <c r="M1081" s="20" t="str">
        <f t="shared" si="49"/>
        <v>JUNIN HUANCAYO SANTO DOMINGO DE ACOBAMBA</v>
      </c>
      <c r="N1081" s="20">
        <f t="shared" si="50"/>
        <v>0</v>
      </c>
      <c r="O1081" s="16" t="s">
        <v>1006</v>
      </c>
      <c r="P1081" s="16" t="s">
        <v>1033</v>
      </c>
      <c r="Q1081" s="16" t="s">
        <v>1053</v>
      </c>
      <c r="R1081" s="16" t="s">
        <v>2884</v>
      </c>
    </row>
    <row r="1082" spans="13:18" x14ac:dyDescent="0.2">
      <c r="M1082" s="20" t="str">
        <f t="shared" si="49"/>
        <v>JUNIN HUANCAYO SAÑO</v>
      </c>
      <c r="N1082" s="20">
        <f t="shared" si="50"/>
        <v>0</v>
      </c>
      <c r="O1082" s="16" t="s">
        <v>1006</v>
      </c>
      <c r="P1082" s="16" t="s">
        <v>1033</v>
      </c>
      <c r="Q1082" s="16" t="s">
        <v>1054</v>
      </c>
      <c r="R1082" s="16" t="s">
        <v>2884</v>
      </c>
    </row>
    <row r="1083" spans="13:18" x14ac:dyDescent="0.2">
      <c r="M1083" s="20" t="str">
        <f t="shared" si="49"/>
        <v>JUNIN HUANCAYO SAPALLANGA</v>
      </c>
      <c r="N1083" s="20">
        <f t="shared" si="50"/>
        <v>0</v>
      </c>
      <c r="O1083" s="16" t="s">
        <v>1006</v>
      </c>
      <c r="P1083" s="16" t="s">
        <v>1033</v>
      </c>
      <c r="Q1083" s="16" t="s">
        <v>1055</v>
      </c>
      <c r="R1083" s="16" t="s">
        <v>2885</v>
      </c>
    </row>
    <row r="1084" spans="13:18" x14ac:dyDescent="0.2">
      <c r="M1084" s="20" t="str">
        <f t="shared" si="49"/>
        <v>JUNIN HUANCAYO SICAYA</v>
      </c>
      <c r="N1084" s="20">
        <f t="shared" si="50"/>
        <v>0</v>
      </c>
      <c r="O1084" s="16" t="s">
        <v>1006</v>
      </c>
      <c r="P1084" s="16" t="s">
        <v>1033</v>
      </c>
      <c r="Q1084" s="16" t="s">
        <v>1056</v>
      </c>
      <c r="R1084" s="16" t="s">
        <v>2886</v>
      </c>
    </row>
    <row r="1085" spans="13:18" x14ac:dyDescent="0.2">
      <c r="M1085" s="20" t="str">
        <f t="shared" si="49"/>
        <v>JUNIN HUANCAYO VIQUES</v>
      </c>
      <c r="N1085" s="20">
        <f t="shared" si="50"/>
        <v>0</v>
      </c>
      <c r="O1085" s="16" t="s">
        <v>1006</v>
      </c>
      <c r="P1085" s="16" t="s">
        <v>1033</v>
      </c>
      <c r="Q1085" s="16" t="s">
        <v>1057</v>
      </c>
      <c r="R1085" s="16" t="s">
        <v>2887</v>
      </c>
    </row>
    <row r="1086" spans="13:18" x14ac:dyDescent="0.2">
      <c r="M1086" s="20" t="str">
        <f t="shared" si="49"/>
        <v>JUNIN JAUJA ACOLLA</v>
      </c>
      <c r="N1086" s="20">
        <f t="shared" si="50"/>
        <v>0</v>
      </c>
      <c r="O1086" s="16" t="s">
        <v>1006</v>
      </c>
      <c r="P1086" s="16" t="s">
        <v>1058</v>
      </c>
      <c r="Q1086" s="16" t="s">
        <v>1059</v>
      </c>
      <c r="R1086" s="16" t="s">
        <v>2888</v>
      </c>
    </row>
    <row r="1087" spans="13:18" x14ac:dyDescent="0.2">
      <c r="M1087" s="20" t="str">
        <f t="shared" si="49"/>
        <v>JUNIN JAUJA APATA</v>
      </c>
      <c r="N1087" s="20">
        <f t="shared" si="50"/>
        <v>0</v>
      </c>
      <c r="O1087" s="16" t="s">
        <v>1006</v>
      </c>
      <c r="P1087" s="16" t="s">
        <v>1058</v>
      </c>
      <c r="Q1087" s="16" t="s">
        <v>1060</v>
      </c>
      <c r="R1087" s="16" t="s">
        <v>2889</v>
      </c>
    </row>
    <row r="1088" spans="13:18" x14ac:dyDescent="0.2">
      <c r="M1088" s="20" t="str">
        <f t="shared" si="49"/>
        <v>JUNIN JAUJA ATAURA</v>
      </c>
      <c r="N1088" s="20">
        <f t="shared" si="50"/>
        <v>0</v>
      </c>
      <c r="O1088" s="16" t="s">
        <v>1006</v>
      </c>
      <c r="P1088" s="16" t="s">
        <v>1058</v>
      </c>
      <c r="Q1088" s="16" t="s">
        <v>1061</v>
      </c>
      <c r="R1088" s="16" t="s">
        <v>2890</v>
      </c>
    </row>
    <row r="1089" spans="13:18" x14ac:dyDescent="0.2">
      <c r="M1089" s="20" t="str">
        <f t="shared" si="49"/>
        <v>JUNIN JAUJA CANCHAYLLO</v>
      </c>
      <c r="N1089" s="20">
        <f t="shared" si="50"/>
        <v>0</v>
      </c>
      <c r="O1089" s="16" t="s">
        <v>1006</v>
      </c>
      <c r="P1089" s="16" t="s">
        <v>1058</v>
      </c>
      <c r="Q1089" s="16" t="s">
        <v>1062</v>
      </c>
      <c r="R1089" s="16" t="s">
        <v>2891</v>
      </c>
    </row>
    <row r="1090" spans="13:18" x14ac:dyDescent="0.2">
      <c r="M1090" s="20" t="str">
        <f t="shared" si="49"/>
        <v>JUNIN JAUJA CURICACA</v>
      </c>
      <c r="N1090" s="20">
        <f t="shared" si="50"/>
        <v>0</v>
      </c>
      <c r="O1090" s="16" t="s">
        <v>1006</v>
      </c>
      <c r="P1090" s="16" t="s">
        <v>1058</v>
      </c>
      <c r="Q1090" s="16" t="s">
        <v>1063</v>
      </c>
      <c r="R1090" s="16" t="s">
        <v>2892</v>
      </c>
    </row>
    <row r="1091" spans="13:18" x14ac:dyDescent="0.2">
      <c r="M1091" s="20" t="str">
        <f t="shared" ref="M1091:M1154" si="51">O1091&amp;" "&amp;P1091&amp;" "&amp;Q1091</f>
        <v>JUNIN JAUJA EL MANTARO</v>
      </c>
      <c r="N1091" s="20">
        <f t="shared" ref="N1091:N1154" si="52">IF(AND($D$9=O1091,$D$10=P1091),N1090+1,0)</f>
        <v>0</v>
      </c>
      <c r="O1091" s="16" t="s">
        <v>1006</v>
      </c>
      <c r="P1091" s="16" t="s">
        <v>1058</v>
      </c>
      <c r="Q1091" s="16" t="s">
        <v>1064</v>
      </c>
      <c r="R1091" s="16" t="s">
        <v>2893</v>
      </c>
    </row>
    <row r="1092" spans="13:18" x14ac:dyDescent="0.2">
      <c r="M1092" s="20" t="str">
        <f t="shared" si="51"/>
        <v>JUNIN JAUJA HUAMALI</v>
      </c>
      <c r="N1092" s="20">
        <f t="shared" si="52"/>
        <v>0</v>
      </c>
      <c r="O1092" s="16" t="s">
        <v>1006</v>
      </c>
      <c r="P1092" s="16" t="s">
        <v>1058</v>
      </c>
      <c r="Q1092" s="16" t="s">
        <v>1065</v>
      </c>
      <c r="R1092" s="16" t="s">
        <v>2894</v>
      </c>
    </row>
    <row r="1093" spans="13:18" x14ac:dyDescent="0.2">
      <c r="M1093" s="20" t="str">
        <f t="shared" si="51"/>
        <v>JUNIN JAUJA HUARIPAMPA</v>
      </c>
      <c r="N1093" s="20">
        <f t="shared" si="52"/>
        <v>0</v>
      </c>
      <c r="O1093" s="16" t="s">
        <v>1006</v>
      </c>
      <c r="P1093" s="16" t="s">
        <v>1058</v>
      </c>
      <c r="Q1093" s="16" t="s">
        <v>1066</v>
      </c>
      <c r="R1093" s="16" t="s">
        <v>2895</v>
      </c>
    </row>
    <row r="1094" spans="13:18" x14ac:dyDescent="0.2">
      <c r="M1094" s="20" t="str">
        <f t="shared" si="51"/>
        <v>JUNIN JAUJA HUERTAS</v>
      </c>
      <c r="N1094" s="20">
        <f t="shared" si="52"/>
        <v>0</v>
      </c>
      <c r="O1094" s="16" t="s">
        <v>1006</v>
      </c>
      <c r="P1094" s="16" t="s">
        <v>1058</v>
      </c>
      <c r="Q1094" s="16" t="s">
        <v>1067</v>
      </c>
      <c r="R1094" s="16" t="s">
        <v>2896</v>
      </c>
    </row>
    <row r="1095" spans="13:18" x14ac:dyDescent="0.2">
      <c r="M1095" s="20" t="str">
        <f t="shared" si="51"/>
        <v>JUNIN JAUJA JANJAILLO</v>
      </c>
      <c r="N1095" s="20">
        <f t="shared" si="52"/>
        <v>0</v>
      </c>
      <c r="O1095" s="16" t="s">
        <v>1006</v>
      </c>
      <c r="P1095" s="16" t="s">
        <v>1058</v>
      </c>
      <c r="Q1095" s="16" t="s">
        <v>1068</v>
      </c>
      <c r="R1095" s="16" t="s">
        <v>2897</v>
      </c>
    </row>
    <row r="1096" spans="13:18" x14ac:dyDescent="0.2">
      <c r="M1096" s="20" t="str">
        <f t="shared" si="51"/>
        <v>JUNIN JAUJA JAUJA</v>
      </c>
      <c r="N1096" s="20">
        <f t="shared" si="52"/>
        <v>0</v>
      </c>
      <c r="O1096" s="16" t="s">
        <v>1006</v>
      </c>
      <c r="P1096" s="16" t="s">
        <v>1058</v>
      </c>
      <c r="Q1096" s="16" t="s">
        <v>1058</v>
      </c>
      <c r="R1096" s="16" t="s">
        <v>2898</v>
      </c>
    </row>
    <row r="1097" spans="13:18" x14ac:dyDescent="0.2">
      <c r="M1097" s="20" t="str">
        <f t="shared" si="51"/>
        <v>JUNIN JAUJA JULCAN</v>
      </c>
      <c r="N1097" s="20">
        <f t="shared" si="52"/>
        <v>0</v>
      </c>
      <c r="O1097" s="16" t="s">
        <v>1006</v>
      </c>
      <c r="P1097" s="16" t="s">
        <v>1058</v>
      </c>
      <c r="Q1097" s="16" t="s">
        <v>1069</v>
      </c>
      <c r="R1097" s="16" t="s">
        <v>2899</v>
      </c>
    </row>
    <row r="1098" spans="13:18" x14ac:dyDescent="0.2">
      <c r="M1098" s="20" t="str">
        <f t="shared" si="51"/>
        <v>JUNIN JAUJA LEONOR ORDOÑEZ</v>
      </c>
      <c r="N1098" s="20">
        <f t="shared" si="52"/>
        <v>0</v>
      </c>
      <c r="O1098" s="16" t="s">
        <v>1006</v>
      </c>
      <c r="P1098" s="16" t="s">
        <v>1058</v>
      </c>
      <c r="Q1098" s="16" t="s">
        <v>1070</v>
      </c>
      <c r="R1098" s="16" t="s">
        <v>2900</v>
      </c>
    </row>
    <row r="1099" spans="13:18" x14ac:dyDescent="0.2">
      <c r="M1099" s="20" t="str">
        <f t="shared" si="51"/>
        <v>JUNIN JAUJA LLOCLLAPAMPA</v>
      </c>
      <c r="N1099" s="20">
        <f t="shared" si="52"/>
        <v>0</v>
      </c>
      <c r="O1099" s="16" t="s">
        <v>1006</v>
      </c>
      <c r="P1099" s="16" t="s">
        <v>1058</v>
      </c>
      <c r="Q1099" s="16" t="s">
        <v>1071</v>
      </c>
      <c r="R1099" s="16" t="s">
        <v>2901</v>
      </c>
    </row>
    <row r="1100" spans="13:18" x14ac:dyDescent="0.2">
      <c r="M1100" s="20" t="str">
        <f t="shared" si="51"/>
        <v>JUNIN JAUJA MARCO</v>
      </c>
      <c r="N1100" s="20">
        <f t="shared" si="52"/>
        <v>0</v>
      </c>
      <c r="O1100" s="16" t="s">
        <v>1006</v>
      </c>
      <c r="P1100" s="16" t="s">
        <v>1058</v>
      </c>
      <c r="Q1100" s="16" t="s">
        <v>1072</v>
      </c>
      <c r="R1100" s="16" t="s">
        <v>2902</v>
      </c>
    </row>
    <row r="1101" spans="13:18" x14ac:dyDescent="0.2">
      <c r="M1101" s="20" t="str">
        <f t="shared" si="51"/>
        <v>JUNIN JAUJA MASMA</v>
      </c>
      <c r="N1101" s="20">
        <f t="shared" si="52"/>
        <v>0</v>
      </c>
      <c r="O1101" s="16" t="s">
        <v>1006</v>
      </c>
      <c r="P1101" s="16" t="s">
        <v>1058</v>
      </c>
      <c r="Q1101" s="16" t="s">
        <v>1073</v>
      </c>
      <c r="R1101" s="16" t="s">
        <v>2903</v>
      </c>
    </row>
    <row r="1102" spans="13:18" x14ac:dyDescent="0.2">
      <c r="M1102" s="20" t="str">
        <f t="shared" si="51"/>
        <v>JUNIN JAUJA MASMA CHICCHE</v>
      </c>
      <c r="N1102" s="20">
        <f t="shared" si="52"/>
        <v>0</v>
      </c>
      <c r="O1102" s="16" t="s">
        <v>1006</v>
      </c>
      <c r="P1102" s="16" t="s">
        <v>1058</v>
      </c>
      <c r="Q1102" s="16" t="s">
        <v>1074</v>
      </c>
      <c r="R1102" s="16" t="s">
        <v>2904</v>
      </c>
    </row>
    <row r="1103" spans="13:18" x14ac:dyDescent="0.2">
      <c r="M1103" s="20" t="str">
        <f t="shared" si="51"/>
        <v>JUNIN JAUJA MOLINOS</v>
      </c>
      <c r="N1103" s="20">
        <f t="shared" si="52"/>
        <v>0</v>
      </c>
      <c r="O1103" s="16" t="s">
        <v>1006</v>
      </c>
      <c r="P1103" s="16" t="s">
        <v>1058</v>
      </c>
      <c r="Q1103" s="16" t="s">
        <v>1075</v>
      </c>
      <c r="R1103" s="16" t="s">
        <v>2905</v>
      </c>
    </row>
    <row r="1104" spans="13:18" x14ac:dyDescent="0.2">
      <c r="M1104" s="20" t="str">
        <f t="shared" si="51"/>
        <v>JUNIN JAUJA MONOBAMBA</v>
      </c>
      <c r="N1104" s="20">
        <f t="shared" si="52"/>
        <v>0</v>
      </c>
      <c r="O1104" s="16" t="s">
        <v>1006</v>
      </c>
      <c r="P1104" s="16" t="s">
        <v>1058</v>
      </c>
      <c r="Q1104" s="16" t="s">
        <v>1076</v>
      </c>
      <c r="R1104" s="16" t="s">
        <v>2906</v>
      </c>
    </row>
    <row r="1105" spans="13:18" x14ac:dyDescent="0.2">
      <c r="M1105" s="20" t="str">
        <f t="shared" si="51"/>
        <v>JUNIN JAUJA MUQUI</v>
      </c>
      <c r="N1105" s="20">
        <f t="shared" si="52"/>
        <v>0</v>
      </c>
      <c r="O1105" s="16" t="s">
        <v>1006</v>
      </c>
      <c r="P1105" s="16" t="s">
        <v>1058</v>
      </c>
      <c r="Q1105" s="16" t="s">
        <v>1077</v>
      </c>
      <c r="R1105" s="16" t="s">
        <v>2907</v>
      </c>
    </row>
    <row r="1106" spans="13:18" x14ac:dyDescent="0.2">
      <c r="M1106" s="20" t="str">
        <f t="shared" si="51"/>
        <v>JUNIN JAUJA MUQUIYAUYO</v>
      </c>
      <c r="N1106" s="20">
        <f t="shared" si="52"/>
        <v>0</v>
      </c>
      <c r="O1106" s="16" t="s">
        <v>1006</v>
      </c>
      <c r="P1106" s="16" t="s">
        <v>1058</v>
      </c>
      <c r="Q1106" s="16" t="s">
        <v>1078</v>
      </c>
      <c r="R1106" s="16" t="s">
        <v>2908</v>
      </c>
    </row>
    <row r="1107" spans="13:18" x14ac:dyDescent="0.2">
      <c r="M1107" s="20" t="str">
        <f t="shared" si="51"/>
        <v>JUNIN JAUJA PACA</v>
      </c>
      <c r="N1107" s="20">
        <f t="shared" si="52"/>
        <v>0</v>
      </c>
      <c r="O1107" s="16" t="s">
        <v>1006</v>
      </c>
      <c r="P1107" s="16" t="s">
        <v>1058</v>
      </c>
      <c r="Q1107" s="16" t="s">
        <v>1079</v>
      </c>
      <c r="R1107" s="16" t="s">
        <v>2909</v>
      </c>
    </row>
    <row r="1108" spans="13:18" x14ac:dyDescent="0.2">
      <c r="M1108" s="20" t="str">
        <f t="shared" si="51"/>
        <v>JUNIN JAUJA PACCHA</v>
      </c>
      <c r="N1108" s="20">
        <f t="shared" si="52"/>
        <v>0</v>
      </c>
      <c r="O1108" s="16" t="s">
        <v>1006</v>
      </c>
      <c r="P1108" s="16" t="s">
        <v>1058</v>
      </c>
      <c r="Q1108" s="16" t="s">
        <v>610</v>
      </c>
      <c r="R1108" s="16" t="s">
        <v>2910</v>
      </c>
    </row>
    <row r="1109" spans="13:18" x14ac:dyDescent="0.2">
      <c r="M1109" s="20" t="str">
        <f t="shared" si="51"/>
        <v>JUNIN JAUJA PANCAN</v>
      </c>
      <c r="N1109" s="20">
        <f t="shared" si="52"/>
        <v>0</v>
      </c>
      <c r="O1109" s="16" t="s">
        <v>1006</v>
      </c>
      <c r="P1109" s="16" t="s">
        <v>1058</v>
      </c>
      <c r="Q1109" s="16" t="s">
        <v>1080</v>
      </c>
      <c r="R1109" s="16" t="s">
        <v>2911</v>
      </c>
    </row>
    <row r="1110" spans="13:18" x14ac:dyDescent="0.2">
      <c r="M1110" s="20" t="str">
        <f t="shared" si="51"/>
        <v>JUNIN JAUJA PARCO</v>
      </c>
      <c r="N1110" s="20">
        <f t="shared" si="52"/>
        <v>0</v>
      </c>
      <c r="O1110" s="16" t="s">
        <v>1006</v>
      </c>
      <c r="P1110" s="16" t="s">
        <v>1058</v>
      </c>
      <c r="Q1110" s="16" t="s">
        <v>1081</v>
      </c>
      <c r="R1110" s="16" t="s">
        <v>2912</v>
      </c>
    </row>
    <row r="1111" spans="13:18" x14ac:dyDescent="0.2">
      <c r="M1111" s="20" t="str">
        <f t="shared" si="51"/>
        <v>JUNIN JAUJA POMACANCHA</v>
      </c>
      <c r="N1111" s="20">
        <f t="shared" si="52"/>
        <v>0</v>
      </c>
      <c r="O1111" s="16" t="s">
        <v>1006</v>
      </c>
      <c r="P1111" s="16" t="s">
        <v>1058</v>
      </c>
      <c r="Q1111" s="16" t="s">
        <v>1082</v>
      </c>
      <c r="R1111" s="16" t="s">
        <v>2913</v>
      </c>
    </row>
    <row r="1112" spans="13:18" x14ac:dyDescent="0.2">
      <c r="M1112" s="20" t="str">
        <f t="shared" si="51"/>
        <v>JUNIN JAUJA RICRAN</v>
      </c>
      <c r="N1112" s="20">
        <f t="shared" si="52"/>
        <v>0</v>
      </c>
      <c r="O1112" s="16" t="s">
        <v>1006</v>
      </c>
      <c r="P1112" s="16" t="s">
        <v>1058</v>
      </c>
      <c r="Q1112" s="16" t="s">
        <v>1083</v>
      </c>
      <c r="R1112" s="16" t="s">
        <v>2914</v>
      </c>
    </row>
    <row r="1113" spans="13:18" x14ac:dyDescent="0.2">
      <c r="M1113" s="20" t="str">
        <f t="shared" si="51"/>
        <v>JUNIN JAUJA SAN LORENZO</v>
      </c>
      <c r="N1113" s="20">
        <f t="shared" si="52"/>
        <v>0</v>
      </c>
      <c r="O1113" s="16" t="s">
        <v>1006</v>
      </c>
      <c r="P1113" s="16" t="s">
        <v>1058</v>
      </c>
      <c r="Q1113" s="16" t="s">
        <v>1084</v>
      </c>
      <c r="R1113" s="16" t="s">
        <v>2915</v>
      </c>
    </row>
    <row r="1114" spans="13:18" x14ac:dyDescent="0.2">
      <c r="M1114" s="20" t="str">
        <f t="shared" si="51"/>
        <v>JUNIN JAUJA SAN PEDRO DE CHUNAN</v>
      </c>
      <c r="N1114" s="20">
        <f t="shared" si="52"/>
        <v>0</v>
      </c>
      <c r="O1114" s="16" t="s">
        <v>1006</v>
      </c>
      <c r="P1114" s="16" t="s">
        <v>1058</v>
      </c>
      <c r="Q1114" s="16" t="s">
        <v>1085</v>
      </c>
      <c r="R1114" s="16" t="s">
        <v>2916</v>
      </c>
    </row>
    <row r="1115" spans="13:18" x14ac:dyDescent="0.2">
      <c r="M1115" s="20" t="str">
        <f t="shared" si="51"/>
        <v>JUNIN JAUJA SAUSA</v>
      </c>
      <c r="N1115" s="20">
        <f t="shared" si="52"/>
        <v>0</v>
      </c>
      <c r="O1115" s="16" t="s">
        <v>1006</v>
      </c>
      <c r="P1115" s="16" t="s">
        <v>1058</v>
      </c>
      <c r="Q1115" s="16" t="s">
        <v>1086</v>
      </c>
      <c r="R1115" s="16" t="s">
        <v>2917</v>
      </c>
    </row>
    <row r="1116" spans="13:18" x14ac:dyDescent="0.2">
      <c r="M1116" s="20" t="str">
        <f t="shared" si="51"/>
        <v>JUNIN JAUJA SINCOS</v>
      </c>
      <c r="N1116" s="20">
        <f t="shared" si="52"/>
        <v>0</v>
      </c>
      <c r="O1116" s="16" t="s">
        <v>1006</v>
      </c>
      <c r="P1116" s="16" t="s">
        <v>1058</v>
      </c>
      <c r="Q1116" s="16" t="s">
        <v>1087</v>
      </c>
      <c r="R1116" s="16" t="s">
        <v>2918</v>
      </c>
    </row>
    <row r="1117" spans="13:18" x14ac:dyDescent="0.2">
      <c r="M1117" s="20" t="str">
        <f t="shared" si="51"/>
        <v>JUNIN JAUJA TUNAN MARCA</v>
      </c>
      <c r="N1117" s="20">
        <f t="shared" si="52"/>
        <v>0</v>
      </c>
      <c r="O1117" s="16" t="s">
        <v>1006</v>
      </c>
      <c r="P1117" s="16" t="s">
        <v>1058</v>
      </c>
      <c r="Q1117" s="16" t="s">
        <v>1088</v>
      </c>
      <c r="R1117" s="16" t="s">
        <v>2919</v>
      </c>
    </row>
    <row r="1118" spans="13:18" x14ac:dyDescent="0.2">
      <c r="M1118" s="20" t="str">
        <f t="shared" si="51"/>
        <v>JUNIN JAUJA YAULI</v>
      </c>
      <c r="N1118" s="20">
        <f t="shared" si="52"/>
        <v>0</v>
      </c>
      <c r="O1118" s="16" t="s">
        <v>1006</v>
      </c>
      <c r="P1118" s="16" t="s">
        <v>1058</v>
      </c>
      <c r="Q1118" s="16" t="s">
        <v>853</v>
      </c>
      <c r="R1118" s="16" t="s">
        <v>2920</v>
      </c>
    </row>
    <row r="1119" spans="13:18" x14ac:dyDescent="0.2">
      <c r="M1119" s="20" t="str">
        <f t="shared" si="51"/>
        <v>JUNIN JAUJA YAUYOS</v>
      </c>
      <c r="N1119" s="20">
        <f t="shared" si="52"/>
        <v>0</v>
      </c>
      <c r="O1119" s="16" t="s">
        <v>1006</v>
      </c>
      <c r="P1119" s="16" t="s">
        <v>1058</v>
      </c>
      <c r="Q1119" s="16" t="s">
        <v>1089</v>
      </c>
      <c r="R1119" s="16" t="s">
        <v>2921</v>
      </c>
    </row>
    <row r="1120" spans="13:18" x14ac:dyDescent="0.2">
      <c r="M1120" s="20" t="str">
        <f t="shared" si="51"/>
        <v>JUNIN JUNIN CARHUAMAYO</v>
      </c>
      <c r="N1120" s="20">
        <f t="shared" si="52"/>
        <v>0</v>
      </c>
      <c r="O1120" s="16" t="s">
        <v>1006</v>
      </c>
      <c r="P1120" s="16" t="s">
        <v>1006</v>
      </c>
      <c r="Q1120" s="16" t="s">
        <v>1090</v>
      </c>
      <c r="R1120" s="16" t="s">
        <v>2922</v>
      </c>
    </row>
    <row r="1121" spans="13:18" x14ac:dyDescent="0.2">
      <c r="M1121" s="20" t="str">
        <f t="shared" si="51"/>
        <v>JUNIN JUNIN JUNIN</v>
      </c>
      <c r="N1121" s="20">
        <f t="shared" si="52"/>
        <v>0</v>
      </c>
      <c r="O1121" s="16" t="s">
        <v>1006</v>
      </c>
      <c r="P1121" s="16" t="s">
        <v>1006</v>
      </c>
      <c r="Q1121" s="16" t="s">
        <v>1006</v>
      </c>
      <c r="R1121" s="16" t="s">
        <v>2923</v>
      </c>
    </row>
    <row r="1122" spans="13:18" x14ac:dyDescent="0.2">
      <c r="M1122" s="20" t="str">
        <f t="shared" si="51"/>
        <v>JUNIN JUNIN ONDORES</v>
      </c>
      <c r="N1122" s="20">
        <f t="shared" si="52"/>
        <v>0</v>
      </c>
      <c r="O1122" s="16" t="s">
        <v>1006</v>
      </c>
      <c r="P1122" s="16" t="s">
        <v>1006</v>
      </c>
      <c r="Q1122" s="16" t="s">
        <v>1091</v>
      </c>
      <c r="R1122" s="16" t="s">
        <v>2924</v>
      </c>
    </row>
    <row r="1123" spans="13:18" x14ac:dyDescent="0.2">
      <c r="M1123" s="20" t="str">
        <f t="shared" si="51"/>
        <v>JUNIN JUNIN ULCUMAYO</v>
      </c>
      <c r="N1123" s="20">
        <f t="shared" si="52"/>
        <v>0</v>
      </c>
      <c r="O1123" s="16" t="s">
        <v>1006</v>
      </c>
      <c r="P1123" s="16" t="s">
        <v>1006</v>
      </c>
      <c r="Q1123" s="16" t="s">
        <v>1092</v>
      </c>
      <c r="R1123" s="16" t="s">
        <v>2925</v>
      </c>
    </row>
    <row r="1124" spans="13:18" x14ac:dyDescent="0.2">
      <c r="M1124" s="20" t="str">
        <f t="shared" si="51"/>
        <v>JUNIN SATIPO COVIRIALI</v>
      </c>
      <c r="N1124" s="20">
        <f t="shared" si="52"/>
        <v>0</v>
      </c>
      <c r="O1124" s="16" t="s">
        <v>1006</v>
      </c>
      <c r="P1124" s="16" t="s">
        <v>1093</v>
      </c>
      <c r="Q1124" s="16" t="s">
        <v>1094</v>
      </c>
      <c r="R1124" s="16" t="s">
        <v>2926</v>
      </c>
    </row>
    <row r="1125" spans="13:18" x14ac:dyDescent="0.2">
      <c r="M1125" s="20" t="str">
        <f t="shared" si="51"/>
        <v>JUNIN SATIPO LLAYLLA</v>
      </c>
      <c r="N1125" s="20">
        <f t="shared" si="52"/>
        <v>0</v>
      </c>
      <c r="O1125" s="16" t="s">
        <v>1006</v>
      </c>
      <c r="P1125" s="16" t="s">
        <v>1093</v>
      </c>
      <c r="Q1125" s="16" t="s">
        <v>1095</v>
      </c>
      <c r="R1125" s="16" t="s">
        <v>2927</v>
      </c>
    </row>
    <row r="1126" spans="13:18" x14ac:dyDescent="0.2">
      <c r="M1126" s="20" t="str">
        <f t="shared" si="51"/>
        <v>JUNIN SATIPO MAZAMARI</v>
      </c>
      <c r="N1126" s="20">
        <f t="shared" si="52"/>
        <v>0</v>
      </c>
      <c r="O1126" s="16" t="s">
        <v>1006</v>
      </c>
      <c r="P1126" s="16" t="s">
        <v>1093</v>
      </c>
      <c r="Q1126" s="16" t="s">
        <v>1096</v>
      </c>
      <c r="R1126" s="16" t="s">
        <v>2928</v>
      </c>
    </row>
    <row r="1127" spans="13:18" x14ac:dyDescent="0.2">
      <c r="M1127" s="20" t="str">
        <f t="shared" si="51"/>
        <v>JUNIN SATIPO PAMPA HERMOSA</v>
      </c>
      <c r="N1127" s="20">
        <f t="shared" si="52"/>
        <v>0</v>
      </c>
      <c r="O1127" s="16" t="s">
        <v>1006</v>
      </c>
      <c r="P1127" s="16" t="s">
        <v>1093</v>
      </c>
      <c r="Q1127" s="16" t="s">
        <v>1097</v>
      </c>
      <c r="R1127" s="16" t="s">
        <v>2929</v>
      </c>
    </row>
    <row r="1128" spans="13:18" x14ac:dyDescent="0.2">
      <c r="M1128" s="20" t="str">
        <f t="shared" si="51"/>
        <v>JUNIN SATIPO PANGOA</v>
      </c>
      <c r="N1128" s="20">
        <f t="shared" si="52"/>
        <v>0</v>
      </c>
      <c r="O1128" s="16" t="s">
        <v>1006</v>
      </c>
      <c r="P1128" s="16" t="s">
        <v>1093</v>
      </c>
      <c r="Q1128" s="16" t="s">
        <v>1098</v>
      </c>
      <c r="R1128" s="16" t="s">
        <v>2930</v>
      </c>
    </row>
    <row r="1129" spans="13:18" x14ac:dyDescent="0.2">
      <c r="M1129" s="20" t="str">
        <f t="shared" si="51"/>
        <v>JUNIN SATIPO RIO NEGRO</v>
      </c>
      <c r="N1129" s="20">
        <f t="shared" si="52"/>
        <v>0</v>
      </c>
      <c r="O1129" s="16" t="s">
        <v>1006</v>
      </c>
      <c r="P1129" s="16" t="s">
        <v>1093</v>
      </c>
      <c r="Q1129" s="16" t="s">
        <v>1099</v>
      </c>
      <c r="R1129" s="16" t="s">
        <v>2931</v>
      </c>
    </row>
    <row r="1130" spans="13:18" x14ac:dyDescent="0.2">
      <c r="M1130" s="20" t="str">
        <f t="shared" si="51"/>
        <v>JUNIN SATIPO RIO TAMBO</v>
      </c>
      <c r="N1130" s="20">
        <f t="shared" si="52"/>
        <v>0</v>
      </c>
      <c r="O1130" s="16" t="s">
        <v>1006</v>
      </c>
      <c r="P1130" s="16" t="s">
        <v>1093</v>
      </c>
      <c r="Q1130" s="16" t="s">
        <v>1100</v>
      </c>
      <c r="R1130" s="16" t="s">
        <v>2932</v>
      </c>
    </row>
    <row r="1131" spans="13:18" x14ac:dyDescent="0.2">
      <c r="M1131" s="20" t="str">
        <f t="shared" si="51"/>
        <v>JUNIN SATIPO SATIPO</v>
      </c>
      <c r="N1131" s="20">
        <f t="shared" si="52"/>
        <v>0</v>
      </c>
      <c r="O1131" s="16" t="s">
        <v>1006</v>
      </c>
      <c r="P1131" s="16" t="s">
        <v>1093</v>
      </c>
      <c r="Q1131" s="16" t="s">
        <v>1093</v>
      </c>
      <c r="R1131" s="16" t="s">
        <v>2933</v>
      </c>
    </row>
    <row r="1132" spans="13:18" x14ac:dyDescent="0.2">
      <c r="M1132" s="20" t="str">
        <f t="shared" si="51"/>
        <v>JUNIN TARMA ACOBAMBA</v>
      </c>
      <c r="N1132" s="20">
        <f t="shared" si="52"/>
        <v>0</v>
      </c>
      <c r="O1132" s="16" t="s">
        <v>1006</v>
      </c>
      <c r="P1132" s="16" t="s">
        <v>1101</v>
      </c>
      <c r="Q1132" s="16" t="s">
        <v>247</v>
      </c>
      <c r="R1132" s="16" t="s">
        <v>2934</v>
      </c>
    </row>
    <row r="1133" spans="13:18" x14ac:dyDescent="0.2">
      <c r="M1133" s="20" t="str">
        <f t="shared" si="51"/>
        <v>JUNIN TARMA HUARICOLCA</v>
      </c>
      <c r="N1133" s="20">
        <f t="shared" si="52"/>
        <v>0</v>
      </c>
      <c r="O1133" s="16" t="s">
        <v>1006</v>
      </c>
      <c r="P1133" s="16" t="s">
        <v>1101</v>
      </c>
      <c r="Q1133" s="16" t="s">
        <v>1102</v>
      </c>
      <c r="R1133" s="16" t="s">
        <v>2935</v>
      </c>
    </row>
    <row r="1134" spans="13:18" x14ac:dyDescent="0.2">
      <c r="M1134" s="20" t="str">
        <f t="shared" si="51"/>
        <v>JUNIN TARMA HUASAHUASI</v>
      </c>
      <c r="N1134" s="20">
        <f t="shared" si="52"/>
        <v>0</v>
      </c>
      <c r="O1134" s="16" t="s">
        <v>1006</v>
      </c>
      <c r="P1134" s="16" t="s">
        <v>1101</v>
      </c>
      <c r="Q1134" s="16" t="s">
        <v>1103</v>
      </c>
      <c r="R1134" s="16" t="s">
        <v>2936</v>
      </c>
    </row>
    <row r="1135" spans="13:18" x14ac:dyDescent="0.2">
      <c r="M1135" s="20" t="str">
        <f t="shared" si="51"/>
        <v>JUNIN TARMA LA UNION</v>
      </c>
      <c r="N1135" s="20">
        <f t="shared" si="52"/>
        <v>0</v>
      </c>
      <c r="O1135" s="16" t="s">
        <v>1006</v>
      </c>
      <c r="P1135" s="16" t="s">
        <v>1101</v>
      </c>
      <c r="Q1135" s="16" t="s">
        <v>447</v>
      </c>
      <c r="R1135" s="16" t="s">
        <v>2937</v>
      </c>
    </row>
    <row r="1136" spans="13:18" x14ac:dyDescent="0.2">
      <c r="M1136" s="20" t="str">
        <f t="shared" si="51"/>
        <v>JUNIN TARMA PALCA</v>
      </c>
      <c r="N1136" s="20">
        <f t="shared" si="52"/>
        <v>0</v>
      </c>
      <c r="O1136" s="16" t="s">
        <v>1006</v>
      </c>
      <c r="P1136" s="16" t="s">
        <v>1101</v>
      </c>
      <c r="Q1136" s="16" t="s">
        <v>850</v>
      </c>
      <c r="R1136" s="16" t="s">
        <v>2938</v>
      </c>
    </row>
    <row r="1137" spans="13:18" x14ac:dyDescent="0.2">
      <c r="M1137" s="20" t="str">
        <f t="shared" si="51"/>
        <v>JUNIN TARMA PALCAMAYO</v>
      </c>
      <c r="N1137" s="20">
        <f t="shared" si="52"/>
        <v>0</v>
      </c>
      <c r="O1137" s="16" t="s">
        <v>1006</v>
      </c>
      <c r="P1137" s="16" t="s">
        <v>1101</v>
      </c>
      <c r="Q1137" s="16" t="s">
        <v>1104</v>
      </c>
      <c r="R1137" s="16" t="s">
        <v>2939</v>
      </c>
    </row>
    <row r="1138" spans="13:18" x14ac:dyDescent="0.2">
      <c r="M1138" s="20" t="str">
        <f t="shared" si="51"/>
        <v>JUNIN TARMA SAN PEDRO DE CAJAS</v>
      </c>
      <c r="N1138" s="20">
        <f t="shared" si="52"/>
        <v>0</v>
      </c>
      <c r="O1138" s="16" t="s">
        <v>1006</v>
      </c>
      <c r="P1138" s="16" t="s">
        <v>1101</v>
      </c>
      <c r="Q1138" s="16" t="s">
        <v>1105</v>
      </c>
      <c r="R1138" s="16" t="s">
        <v>2940</v>
      </c>
    </row>
    <row r="1139" spans="13:18" x14ac:dyDescent="0.2">
      <c r="M1139" s="20" t="str">
        <f t="shared" si="51"/>
        <v>JUNIN TARMA TAPO</v>
      </c>
      <c r="N1139" s="20">
        <f t="shared" si="52"/>
        <v>0</v>
      </c>
      <c r="O1139" s="16" t="s">
        <v>1006</v>
      </c>
      <c r="P1139" s="16" t="s">
        <v>1101</v>
      </c>
      <c r="Q1139" s="16" t="s">
        <v>1106</v>
      </c>
      <c r="R1139" s="16" t="s">
        <v>2941</v>
      </c>
    </row>
    <row r="1140" spans="13:18" x14ac:dyDescent="0.2">
      <c r="M1140" s="20" t="str">
        <f t="shared" si="51"/>
        <v>JUNIN TARMA TARMA</v>
      </c>
      <c r="N1140" s="20">
        <f t="shared" si="52"/>
        <v>0</v>
      </c>
      <c r="O1140" s="16" t="s">
        <v>1006</v>
      </c>
      <c r="P1140" s="16" t="s">
        <v>1101</v>
      </c>
      <c r="Q1140" s="16" t="s">
        <v>1101</v>
      </c>
      <c r="R1140" s="16" t="s">
        <v>2942</v>
      </c>
    </row>
    <row r="1141" spans="13:18" x14ac:dyDescent="0.2">
      <c r="M1141" s="20" t="str">
        <f t="shared" si="51"/>
        <v>JUNIN YAULI CHACAPALPA</v>
      </c>
      <c r="N1141" s="20">
        <f t="shared" si="52"/>
        <v>0</v>
      </c>
      <c r="O1141" s="16" t="s">
        <v>1006</v>
      </c>
      <c r="P1141" s="16" t="s">
        <v>853</v>
      </c>
      <c r="Q1141" s="16" t="s">
        <v>1107</v>
      </c>
      <c r="R1141" s="16" t="s">
        <v>2943</v>
      </c>
    </row>
    <row r="1142" spans="13:18" x14ac:dyDescent="0.2">
      <c r="M1142" s="20" t="str">
        <f t="shared" si="51"/>
        <v>JUNIN YAULI HUAY-HUAY</v>
      </c>
      <c r="N1142" s="20">
        <f t="shared" si="52"/>
        <v>0</v>
      </c>
      <c r="O1142" s="16" t="s">
        <v>1006</v>
      </c>
      <c r="P1142" s="16" t="s">
        <v>853</v>
      </c>
      <c r="Q1142" s="16" t="s">
        <v>1108</v>
      </c>
      <c r="R1142" s="16" t="s">
        <v>2944</v>
      </c>
    </row>
    <row r="1143" spans="13:18" x14ac:dyDescent="0.2">
      <c r="M1143" s="20" t="str">
        <f t="shared" si="51"/>
        <v>JUNIN YAULI LA OROYA</v>
      </c>
      <c r="N1143" s="20">
        <f t="shared" si="52"/>
        <v>0</v>
      </c>
      <c r="O1143" s="16" t="s">
        <v>1006</v>
      </c>
      <c r="P1143" s="16" t="s">
        <v>853</v>
      </c>
      <c r="Q1143" s="16" t="s">
        <v>1109</v>
      </c>
      <c r="R1143" s="16" t="s">
        <v>2945</v>
      </c>
    </row>
    <row r="1144" spans="13:18" x14ac:dyDescent="0.2">
      <c r="M1144" s="20" t="str">
        <f t="shared" si="51"/>
        <v>JUNIN YAULI MARCAPOMACOCHA</v>
      </c>
      <c r="N1144" s="20">
        <f t="shared" si="52"/>
        <v>0</v>
      </c>
      <c r="O1144" s="16" t="s">
        <v>1006</v>
      </c>
      <c r="P1144" s="16" t="s">
        <v>853</v>
      </c>
      <c r="Q1144" s="16" t="s">
        <v>1110</v>
      </c>
      <c r="R1144" s="16" t="s">
        <v>2946</v>
      </c>
    </row>
    <row r="1145" spans="13:18" x14ac:dyDescent="0.2">
      <c r="M1145" s="20" t="str">
        <f t="shared" si="51"/>
        <v>JUNIN YAULI MOROCOCHA</v>
      </c>
      <c r="N1145" s="20">
        <f t="shared" si="52"/>
        <v>0</v>
      </c>
      <c r="O1145" s="16" t="s">
        <v>1006</v>
      </c>
      <c r="P1145" s="16" t="s">
        <v>853</v>
      </c>
      <c r="Q1145" s="16" t="s">
        <v>1111</v>
      </c>
      <c r="R1145" s="16" t="s">
        <v>2947</v>
      </c>
    </row>
    <row r="1146" spans="13:18" x14ac:dyDescent="0.2">
      <c r="M1146" s="20" t="str">
        <f t="shared" si="51"/>
        <v>JUNIN YAULI PACCHA</v>
      </c>
      <c r="N1146" s="20">
        <f t="shared" si="52"/>
        <v>0</v>
      </c>
      <c r="O1146" s="16" t="s">
        <v>1006</v>
      </c>
      <c r="P1146" s="16" t="s">
        <v>853</v>
      </c>
      <c r="Q1146" s="16" t="s">
        <v>610</v>
      </c>
      <c r="R1146" s="16" t="s">
        <v>2948</v>
      </c>
    </row>
    <row r="1147" spans="13:18" x14ac:dyDescent="0.2">
      <c r="M1147" s="20" t="str">
        <f t="shared" si="51"/>
        <v>JUNIN YAULI SANTA BARBARA DE CARHUACAYAN</v>
      </c>
      <c r="N1147" s="20">
        <f t="shared" si="52"/>
        <v>0</v>
      </c>
      <c r="O1147" s="16" t="s">
        <v>1006</v>
      </c>
      <c r="P1147" s="16" t="s">
        <v>853</v>
      </c>
      <c r="Q1147" s="16" t="s">
        <v>1112</v>
      </c>
      <c r="R1147" s="16" t="s">
        <v>2949</v>
      </c>
    </row>
    <row r="1148" spans="13:18" x14ac:dyDescent="0.2">
      <c r="M1148" s="20" t="str">
        <f t="shared" si="51"/>
        <v>JUNIN YAULI SANTA ROSA DE SACCO</v>
      </c>
      <c r="N1148" s="20">
        <f t="shared" si="52"/>
        <v>0</v>
      </c>
      <c r="O1148" s="16" t="s">
        <v>1006</v>
      </c>
      <c r="P1148" s="16" t="s">
        <v>853</v>
      </c>
      <c r="Q1148" s="16" t="s">
        <v>1113</v>
      </c>
      <c r="R1148" s="16" t="s">
        <v>2950</v>
      </c>
    </row>
    <row r="1149" spans="13:18" x14ac:dyDescent="0.2">
      <c r="M1149" s="20" t="str">
        <f t="shared" si="51"/>
        <v>JUNIN YAULI SUITUCANCHA</v>
      </c>
      <c r="N1149" s="20">
        <f t="shared" si="52"/>
        <v>0</v>
      </c>
      <c r="O1149" s="16" t="s">
        <v>1006</v>
      </c>
      <c r="P1149" s="16" t="s">
        <v>853</v>
      </c>
      <c r="Q1149" s="16" t="s">
        <v>1114</v>
      </c>
      <c r="R1149" s="16" t="s">
        <v>2951</v>
      </c>
    </row>
    <row r="1150" spans="13:18" x14ac:dyDescent="0.2">
      <c r="M1150" s="20" t="str">
        <f t="shared" si="51"/>
        <v>JUNIN YAULI YAULI</v>
      </c>
      <c r="N1150" s="20">
        <f t="shared" si="52"/>
        <v>0</v>
      </c>
      <c r="O1150" s="16" t="s">
        <v>1006</v>
      </c>
      <c r="P1150" s="16" t="s">
        <v>853</v>
      </c>
      <c r="Q1150" s="16" t="s">
        <v>853</v>
      </c>
      <c r="R1150" s="16" t="s">
        <v>2952</v>
      </c>
    </row>
    <row r="1151" spans="13:18" x14ac:dyDescent="0.2">
      <c r="M1151" s="20" t="str">
        <f t="shared" si="51"/>
        <v>LA LIBERTAD ASCOPE ASCOPE</v>
      </c>
      <c r="N1151" s="20">
        <f t="shared" si="52"/>
        <v>0</v>
      </c>
      <c r="O1151" s="16" t="s">
        <v>159</v>
      </c>
      <c r="P1151" s="16" t="s">
        <v>1115</v>
      </c>
      <c r="Q1151" s="16" t="s">
        <v>1115</v>
      </c>
      <c r="R1151" s="16" t="s">
        <v>2953</v>
      </c>
    </row>
    <row r="1152" spans="13:18" x14ac:dyDescent="0.2">
      <c r="M1152" s="20" t="str">
        <f t="shared" si="51"/>
        <v>LA LIBERTAD ASCOPE CASA GRANDE</v>
      </c>
      <c r="N1152" s="20">
        <f t="shared" si="52"/>
        <v>0</v>
      </c>
      <c r="O1152" s="16" t="s">
        <v>159</v>
      </c>
      <c r="P1152" s="16" t="s">
        <v>1115</v>
      </c>
      <c r="Q1152" s="16" t="s">
        <v>1116</v>
      </c>
      <c r="R1152" s="16" t="s">
        <v>2954</v>
      </c>
    </row>
    <row r="1153" spans="13:18" x14ac:dyDescent="0.2">
      <c r="M1153" s="20" t="str">
        <f t="shared" si="51"/>
        <v>LA LIBERTAD ASCOPE CHICAMA</v>
      </c>
      <c r="N1153" s="20">
        <f t="shared" si="52"/>
        <v>0</v>
      </c>
      <c r="O1153" s="16" t="s">
        <v>159</v>
      </c>
      <c r="P1153" s="16" t="s">
        <v>1115</v>
      </c>
      <c r="Q1153" s="16" t="s">
        <v>1117</v>
      </c>
      <c r="R1153" s="16" t="s">
        <v>2955</v>
      </c>
    </row>
    <row r="1154" spans="13:18" x14ac:dyDescent="0.2">
      <c r="M1154" s="20" t="str">
        <f t="shared" si="51"/>
        <v>LA LIBERTAD ASCOPE CHOCOPE</v>
      </c>
      <c r="N1154" s="20">
        <f t="shared" si="52"/>
        <v>0</v>
      </c>
      <c r="O1154" s="16" t="s">
        <v>159</v>
      </c>
      <c r="P1154" s="16" t="s">
        <v>1115</v>
      </c>
      <c r="Q1154" s="16" t="s">
        <v>1118</v>
      </c>
      <c r="R1154" s="16" t="s">
        <v>2956</v>
      </c>
    </row>
    <row r="1155" spans="13:18" x14ac:dyDescent="0.2">
      <c r="M1155" s="20" t="str">
        <f t="shared" ref="M1155:M1218" si="53">O1155&amp;" "&amp;P1155&amp;" "&amp;Q1155</f>
        <v>LA LIBERTAD ASCOPE MAGDALENA DE CAO</v>
      </c>
      <c r="N1155" s="20">
        <f t="shared" ref="N1155:N1218" si="54">IF(AND($D$9=O1155,$D$10=P1155),N1154+1,0)</f>
        <v>0</v>
      </c>
      <c r="O1155" s="16" t="s">
        <v>159</v>
      </c>
      <c r="P1155" s="16" t="s">
        <v>1115</v>
      </c>
      <c r="Q1155" s="16" t="s">
        <v>1119</v>
      </c>
      <c r="R1155" s="16" t="s">
        <v>2957</v>
      </c>
    </row>
    <row r="1156" spans="13:18" x14ac:dyDescent="0.2">
      <c r="M1156" s="20" t="str">
        <f t="shared" si="53"/>
        <v>LA LIBERTAD ASCOPE PAIJAN</v>
      </c>
      <c r="N1156" s="20">
        <f t="shared" si="54"/>
        <v>0</v>
      </c>
      <c r="O1156" s="16" t="s">
        <v>159</v>
      </c>
      <c r="P1156" s="16" t="s">
        <v>1115</v>
      </c>
      <c r="Q1156" s="16" t="s">
        <v>1120</v>
      </c>
      <c r="R1156" s="16" t="s">
        <v>2958</v>
      </c>
    </row>
    <row r="1157" spans="13:18" x14ac:dyDescent="0.2">
      <c r="M1157" s="20" t="str">
        <f t="shared" si="53"/>
        <v>LA LIBERTAD ASCOPE RAZURI</v>
      </c>
      <c r="N1157" s="20">
        <f t="shared" si="54"/>
        <v>0</v>
      </c>
      <c r="O1157" s="16" t="s">
        <v>159</v>
      </c>
      <c r="P1157" s="16" t="s">
        <v>1115</v>
      </c>
      <c r="Q1157" s="16" t="s">
        <v>1121</v>
      </c>
      <c r="R1157" s="16" t="s">
        <v>2959</v>
      </c>
    </row>
    <row r="1158" spans="13:18" x14ac:dyDescent="0.2">
      <c r="M1158" s="20" t="str">
        <f t="shared" si="53"/>
        <v>LA LIBERTAD ASCOPE SANTIAGO DE CAO</v>
      </c>
      <c r="N1158" s="20">
        <f t="shared" si="54"/>
        <v>0</v>
      </c>
      <c r="O1158" s="16" t="s">
        <v>159</v>
      </c>
      <c r="P1158" s="16" t="s">
        <v>1115</v>
      </c>
      <c r="Q1158" s="16" t="s">
        <v>1122</v>
      </c>
      <c r="R1158" s="16" t="s">
        <v>2960</v>
      </c>
    </row>
    <row r="1159" spans="13:18" x14ac:dyDescent="0.2">
      <c r="M1159" s="20" t="str">
        <f t="shared" si="53"/>
        <v>LA LIBERTAD BOLIVAR BAMBAMARCA</v>
      </c>
      <c r="N1159" s="20">
        <f t="shared" si="54"/>
        <v>0</v>
      </c>
      <c r="O1159" s="16" t="s">
        <v>159</v>
      </c>
      <c r="P1159" s="16" t="s">
        <v>663</v>
      </c>
      <c r="Q1159" s="16" t="s">
        <v>637</v>
      </c>
      <c r="R1159" s="16" t="s">
        <v>2961</v>
      </c>
    </row>
    <row r="1160" spans="13:18" x14ac:dyDescent="0.2">
      <c r="M1160" s="20" t="str">
        <f t="shared" si="53"/>
        <v>LA LIBERTAD BOLIVAR BOLIVAR</v>
      </c>
      <c r="N1160" s="20">
        <f t="shared" si="54"/>
        <v>0</v>
      </c>
      <c r="O1160" s="16" t="s">
        <v>159</v>
      </c>
      <c r="P1160" s="16" t="s">
        <v>663</v>
      </c>
      <c r="Q1160" s="16" t="s">
        <v>663</v>
      </c>
      <c r="R1160" s="16" t="s">
        <v>2962</v>
      </c>
    </row>
    <row r="1161" spans="13:18" x14ac:dyDescent="0.2">
      <c r="M1161" s="20" t="str">
        <f t="shared" si="53"/>
        <v>LA LIBERTAD BOLIVAR CONDORMARCA</v>
      </c>
      <c r="N1161" s="20">
        <f t="shared" si="54"/>
        <v>0</v>
      </c>
      <c r="O1161" s="16" t="s">
        <v>159</v>
      </c>
      <c r="P1161" s="16" t="s">
        <v>663</v>
      </c>
      <c r="Q1161" s="16" t="s">
        <v>1123</v>
      </c>
      <c r="R1161" s="16" t="s">
        <v>2963</v>
      </c>
    </row>
    <row r="1162" spans="13:18" x14ac:dyDescent="0.2">
      <c r="M1162" s="20" t="str">
        <f t="shared" si="53"/>
        <v>LA LIBERTAD BOLIVAR LONGOTEA</v>
      </c>
      <c r="N1162" s="20">
        <f t="shared" si="54"/>
        <v>0</v>
      </c>
      <c r="O1162" s="16" t="s">
        <v>159</v>
      </c>
      <c r="P1162" s="16" t="s">
        <v>663</v>
      </c>
      <c r="Q1162" s="16" t="s">
        <v>1124</v>
      </c>
      <c r="R1162" s="16" t="s">
        <v>2964</v>
      </c>
    </row>
    <row r="1163" spans="13:18" x14ac:dyDescent="0.2">
      <c r="M1163" s="20" t="str">
        <f t="shared" si="53"/>
        <v>LA LIBERTAD BOLIVAR UCHUMARCA</v>
      </c>
      <c r="N1163" s="20">
        <f t="shared" si="54"/>
        <v>0</v>
      </c>
      <c r="O1163" s="16" t="s">
        <v>159</v>
      </c>
      <c r="P1163" s="16" t="s">
        <v>663</v>
      </c>
      <c r="Q1163" s="16" t="s">
        <v>1125</v>
      </c>
      <c r="R1163" s="16" t="s">
        <v>2965</v>
      </c>
    </row>
    <row r="1164" spans="13:18" x14ac:dyDescent="0.2">
      <c r="M1164" s="20" t="str">
        <f t="shared" si="53"/>
        <v>LA LIBERTAD BOLIVAR UCUNCHA</v>
      </c>
      <c r="N1164" s="20">
        <f t="shared" si="54"/>
        <v>0</v>
      </c>
      <c r="O1164" s="16" t="s">
        <v>159</v>
      </c>
      <c r="P1164" s="16" t="s">
        <v>663</v>
      </c>
      <c r="Q1164" s="16" t="s">
        <v>1126</v>
      </c>
      <c r="R1164" s="16" t="s">
        <v>2966</v>
      </c>
    </row>
    <row r="1165" spans="13:18" x14ac:dyDescent="0.2">
      <c r="M1165" s="20" t="str">
        <f t="shared" si="53"/>
        <v>LA LIBERTAD CHEPEN CHEPEN</v>
      </c>
      <c r="N1165" s="20">
        <f t="shared" si="54"/>
        <v>0</v>
      </c>
      <c r="O1165" s="16" t="s">
        <v>159</v>
      </c>
      <c r="P1165" s="16" t="s">
        <v>1127</v>
      </c>
      <c r="Q1165" s="16" t="s">
        <v>1127</v>
      </c>
      <c r="R1165" s="16" t="s">
        <v>2967</v>
      </c>
    </row>
    <row r="1166" spans="13:18" x14ac:dyDescent="0.2">
      <c r="M1166" s="20" t="str">
        <f t="shared" si="53"/>
        <v>LA LIBERTAD CHEPEN PACANGA</v>
      </c>
      <c r="N1166" s="20">
        <f t="shared" si="54"/>
        <v>0</v>
      </c>
      <c r="O1166" s="16" t="s">
        <v>159</v>
      </c>
      <c r="P1166" s="16" t="s">
        <v>1127</v>
      </c>
      <c r="Q1166" s="16" t="s">
        <v>1128</v>
      </c>
      <c r="R1166" s="16" t="s">
        <v>2968</v>
      </c>
    </row>
    <row r="1167" spans="13:18" x14ac:dyDescent="0.2">
      <c r="M1167" s="20" t="str">
        <f t="shared" si="53"/>
        <v>LA LIBERTAD CHEPEN PUEBLO NUEVO</v>
      </c>
      <c r="N1167" s="20">
        <f t="shared" si="54"/>
        <v>0</v>
      </c>
      <c r="O1167" s="16" t="s">
        <v>159</v>
      </c>
      <c r="P1167" s="16" t="s">
        <v>1127</v>
      </c>
      <c r="Q1167" s="16" t="s">
        <v>975</v>
      </c>
      <c r="R1167" s="16" t="s">
        <v>2969</v>
      </c>
    </row>
    <row r="1168" spans="13:18" x14ac:dyDescent="0.2">
      <c r="M1168" s="20" t="str">
        <f t="shared" si="53"/>
        <v>LA LIBERTAD GRAN CHIMU CASCAS</v>
      </c>
      <c r="N1168" s="20">
        <f t="shared" si="54"/>
        <v>0</v>
      </c>
      <c r="O1168" s="16" t="s">
        <v>159</v>
      </c>
      <c r="P1168" s="16" t="s">
        <v>1129</v>
      </c>
      <c r="Q1168" s="16" t="s">
        <v>1130</v>
      </c>
      <c r="R1168" s="16" t="s">
        <v>2970</v>
      </c>
    </row>
    <row r="1169" spans="13:18" x14ac:dyDescent="0.2">
      <c r="M1169" s="20" t="str">
        <f t="shared" si="53"/>
        <v>LA LIBERTAD GRAN CHIMU LUCMA</v>
      </c>
      <c r="N1169" s="20">
        <f t="shared" si="54"/>
        <v>0</v>
      </c>
      <c r="O1169" s="16" t="s">
        <v>159</v>
      </c>
      <c r="P1169" s="16" t="s">
        <v>1129</v>
      </c>
      <c r="Q1169" s="16" t="s">
        <v>200</v>
      </c>
      <c r="R1169" s="16" t="s">
        <v>2971</v>
      </c>
    </row>
    <row r="1170" spans="13:18" x14ac:dyDescent="0.2">
      <c r="M1170" s="20" t="str">
        <f t="shared" si="53"/>
        <v>LA LIBERTAD GRAN CHIMU MARMOT</v>
      </c>
      <c r="N1170" s="20">
        <f t="shared" si="54"/>
        <v>0</v>
      </c>
      <c r="O1170" s="16" t="s">
        <v>159</v>
      </c>
      <c r="P1170" s="16" t="s">
        <v>1129</v>
      </c>
      <c r="Q1170" s="16" t="s">
        <v>1131</v>
      </c>
      <c r="R1170" s="16" t="s">
        <v>2972</v>
      </c>
    </row>
    <row r="1171" spans="13:18" x14ac:dyDescent="0.2">
      <c r="M1171" s="20" t="str">
        <f t="shared" si="53"/>
        <v>LA LIBERTAD GRAN CHIMU SAYAPULLO</v>
      </c>
      <c r="N1171" s="20">
        <f t="shared" si="54"/>
        <v>0</v>
      </c>
      <c r="O1171" s="16" t="s">
        <v>159</v>
      </c>
      <c r="P1171" s="16" t="s">
        <v>1129</v>
      </c>
      <c r="Q1171" s="16" t="s">
        <v>1132</v>
      </c>
      <c r="R1171" s="16" t="s">
        <v>2973</v>
      </c>
    </row>
    <row r="1172" spans="13:18" x14ac:dyDescent="0.2">
      <c r="M1172" s="20" t="str">
        <f t="shared" si="53"/>
        <v>LA LIBERTAD JULCAN CALAMARCA</v>
      </c>
      <c r="N1172" s="20">
        <f t="shared" si="54"/>
        <v>0</v>
      </c>
      <c r="O1172" s="16" t="s">
        <v>159</v>
      </c>
      <c r="P1172" s="16" t="s">
        <v>1069</v>
      </c>
      <c r="Q1172" s="16" t="s">
        <v>1133</v>
      </c>
      <c r="R1172" s="16" t="s">
        <v>2974</v>
      </c>
    </row>
    <row r="1173" spans="13:18" x14ac:dyDescent="0.2">
      <c r="M1173" s="20" t="str">
        <f t="shared" si="53"/>
        <v>LA LIBERTAD JULCAN CARABAMBA</v>
      </c>
      <c r="N1173" s="20">
        <f t="shared" si="54"/>
        <v>0</v>
      </c>
      <c r="O1173" s="16" t="s">
        <v>159</v>
      </c>
      <c r="P1173" s="16" t="s">
        <v>1069</v>
      </c>
      <c r="Q1173" s="16" t="s">
        <v>1134</v>
      </c>
      <c r="R1173" s="16" t="s">
        <v>2975</v>
      </c>
    </row>
    <row r="1174" spans="13:18" x14ac:dyDescent="0.2">
      <c r="M1174" s="20" t="str">
        <f t="shared" si="53"/>
        <v>LA LIBERTAD JULCAN HUASO</v>
      </c>
      <c r="N1174" s="20">
        <f t="shared" si="54"/>
        <v>0</v>
      </c>
      <c r="O1174" s="16" t="s">
        <v>159</v>
      </c>
      <c r="P1174" s="16" t="s">
        <v>1069</v>
      </c>
      <c r="Q1174" s="16" t="s">
        <v>1135</v>
      </c>
      <c r="R1174" s="16" t="s">
        <v>2976</v>
      </c>
    </row>
    <row r="1175" spans="13:18" x14ac:dyDescent="0.2">
      <c r="M1175" s="20" t="str">
        <f t="shared" si="53"/>
        <v>LA LIBERTAD JULCAN JULCAN</v>
      </c>
      <c r="N1175" s="20">
        <f t="shared" si="54"/>
        <v>0</v>
      </c>
      <c r="O1175" s="16" t="s">
        <v>159</v>
      </c>
      <c r="P1175" s="16" t="s">
        <v>1069</v>
      </c>
      <c r="Q1175" s="16" t="s">
        <v>1069</v>
      </c>
      <c r="R1175" s="16" t="s">
        <v>2977</v>
      </c>
    </row>
    <row r="1176" spans="13:18" x14ac:dyDescent="0.2">
      <c r="M1176" s="20" t="str">
        <f t="shared" si="53"/>
        <v>LA LIBERTAD OTUZCO AGALLPAMPA</v>
      </c>
      <c r="N1176" s="20">
        <f t="shared" si="54"/>
        <v>0</v>
      </c>
      <c r="O1176" s="16" t="s">
        <v>159</v>
      </c>
      <c r="P1176" s="16" t="s">
        <v>1136</v>
      </c>
      <c r="Q1176" s="16" t="s">
        <v>1137</v>
      </c>
      <c r="R1176" s="16" t="s">
        <v>2978</v>
      </c>
    </row>
    <row r="1177" spans="13:18" x14ac:dyDescent="0.2">
      <c r="M1177" s="20" t="str">
        <f t="shared" si="53"/>
        <v>LA LIBERTAD OTUZCO CHARAT</v>
      </c>
      <c r="N1177" s="20">
        <f t="shared" si="54"/>
        <v>0</v>
      </c>
      <c r="O1177" s="16" t="s">
        <v>159</v>
      </c>
      <c r="P1177" s="16" t="s">
        <v>1136</v>
      </c>
      <c r="Q1177" s="16" t="s">
        <v>1138</v>
      </c>
      <c r="R1177" s="16" t="s">
        <v>2979</v>
      </c>
    </row>
    <row r="1178" spans="13:18" x14ac:dyDescent="0.2">
      <c r="M1178" s="20" t="str">
        <f t="shared" si="53"/>
        <v>LA LIBERTAD OTUZCO HUARANCHAL</v>
      </c>
      <c r="N1178" s="20">
        <f t="shared" si="54"/>
        <v>0</v>
      </c>
      <c r="O1178" s="16" t="s">
        <v>159</v>
      </c>
      <c r="P1178" s="16" t="s">
        <v>1136</v>
      </c>
      <c r="Q1178" s="16" t="s">
        <v>1139</v>
      </c>
      <c r="R1178" s="16" t="s">
        <v>2980</v>
      </c>
    </row>
    <row r="1179" spans="13:18" x14ac:dyDescent="0.2">
      <c r="M1179" s="20" t="str">
        <f t="shared" si="53"/>
        <v>LA LIBERTAD OTUZCO LA CUESTA</v>
      </c>
      <c r="N1179" s="20">
        <f t="shared" si="54"/>
        <v>0</v>
      </c>
      <c r="O1179" s="16" t="s">
        <v>159</v>
      </c>
      <c r="P1179" s="16" t="s">
        <v>1136</v>
      </c>
      <c r="Q1179" s="16" t="s">
        <v>1140</v>
      </c>
      <c r="R1179" s="16" t="s">
        <v>2981</v>
      </c>
    </row>
    <row r="1180" spans="13:18" x14ac:dyDescent="0.2">
      <c r="M1180" s="20" t="str">
        <f t="shared" si="53"/>
        <v>LA LIBERTAD OTUZCO MACHE</v>
      </c>
      <c r="N1180" s="20">
        <f t="shared" si="54"/>
        <v>0</v>
      </c>
      <c r="O1180" s="16" t="s">
        <v>159</v>
      </c>
      <c r="P1180" s="16" t="s">
        <v>1136</v>
      </c>
      <c r="Q1180" s="16" t="s">
        <v>1141</v>
      </c>
      <c r="R1180" s="16" t="s">
        <v>2982</v>
      </c>
    </row>
    <row r="1181" spans="13:18" x14ac:dyDescent="0.2">
      <c r="M1181" s="20" t="str">
        <f t="shared" si="53"/>
        <v>LA LIBERTAD OTUZCO OTUZCO</v>
      </c>
      <c r="N1181" s="20">
        <f t="shared" si="54"/>
        <v>0</v>
      </c>
      <c r="O1181" s="16" t="s">
        <v>159</v>
      </c>
      <c r="P1181" s="16" t="s">
        <v>1136</v>
      </c>
      <c r="Q1181" s="16" t="s">
        <v>1136</v>
      </c>
      <c r="R1181" s="16" t="s">
        <v>2983</v>
      </c>
    </row>
    <row r="1182" spans="13:18" x14ac:dyDescent="0.2">
      <c r="M1182" s="20" t="str">
        <f t="shared" si="53"/>
        <v>LA LIBERTAD OTUZCO PARANDAY</v>
      </c>
      <c r="N1182" s="20">
        <f t="shared" si="54"/>
        <v>0</v>
      </c>
      <c r="O1182" s="16" t="s">
        <v>159</v>
      </c>
      <c r="P1182" s="16" t="s">
        <v>1136</v>
      </c>
      <c r="Q1182" s="16" t="s">
        <v>1142</v>
      </c>
      <c r="R1182" s="16" t="s">
        <v>2984</v>
      </c>
    </row>
    <row r="1183" spans="13:18" x14ac:dyDescent="0.2">
      <c r="M1183" s="20" t="str">
        <f t="shared" si="53"/>
        <v>LA LIBERTAD OTUZCO SALPO</v>
      </c>
      <c r="N1183" s="20">
        <f t="shared" si="54"/>
        <v>0</v>
      </c>
      <c r="O1183" s="16" t="s">
        <v>159</v>
      </c>
      <c r="P1183" s="16" t="s">
        <v>1136</v>
      </c>
      <c r="Q1183" s="16" t="s">
        <v>1143</v>
      </c>
      <c r="R1183" s="16" t="s">
        <v>2985</v>
      </c>
    </row>
    <row r="1184" spans="13:18" x14ac:dyDescent="0.2">
      <c r="M1184" s="20" t="str">
        <f t="shared" si="53"/>
        <v>LA LIBERTAD OTUZCO SINSICAP</v>
      </c>
      <c r="N1184" s="20">
        <f t="shared" si="54"/>
        <v>0</v>
      </c>
      <c r="O1184" s="16" t="s">
        <v>159</v>
      </c>
      <c r="P1184" s="16" t="s">
        <v>1136</v>
      </c>
      <c r="Q1184" s="16" t="s">
        <v>1144</v>
      </c>
      <c r="R1184" s="16" t="s">
        <v>2986</v>
      </c>
    </row>
    <row r="1185" spans="13:18" x14ac:dyDescent="0.2">
      <c r="M1185" s="20" t="str">
        <f t="shared" si="53"/>
        <v>LA LIBERTAD OTUZCO USQUIL</v>
      </c>
      <c r="N1185" s="20">
        <f t="shared" si="54"/>
        <v>0</v>
      </c>
      <c r="O1185" s="16" t="s">
        <v>159</v>
      </c>
      <c r="P1185" s="16" t="s">
        <v>1136</v>
      </c>
      <c r="Q1185" s="16" t="s">
        <v>1145</v>
      </c>
      <c r="R1185" s="16" t="s">
        <v>2987</v>
      </c>
    </row>
    <row r="1186" spans="13:18" x14ac:dyDescent="0.2">
      <c r="M1186" s="20" t="str">
        <f t="shared" si="53"/>
        <v>LA LIBERTAD PACASMAYO GUADALUPE</v>
      </c>
      <c r="N1186" s="20">
        <f t="shared" si="54"/>
        <v>0</v>
      </c>
      <c r="O1186" s="16" t="s">
        <v>159</v>
      </c>
      <c r="P1186" s="16" t="s">
        <v>1146</v>
      </c>
      <c r="Q1186" s="16" t="s">
        <v>1147</v>
      </c>
      <c r="R1186" s="16" t="s">
        <v>2988</v>
      </c>
    </row>
    <row r="1187" spans="13:18" x14ac:dyDescent="0.2">
      <c r="M1187" s="20" t="str">
        <f t="shared" si="53"/>
        <v>LA LIBERTAD PACASMAYO JEQUETEPEQUE</v>
      </c>
      <c r="N1187" s="20">
        <f t="shared" si="54"/>
        <v>0</v>
      </c>
      <c r="O1187" s="16" t="s">
        <v>159</v>
      </c>
      <c r="P1187" s="16" t="s">
        <v>1146</v>
      </c>
      <c r="Q1187" s="16" t="s">
        <v>1148</v>
      </c>
      <c r="R1187" s="16" t="s">
        <v>2989</v>
      </c>
    </row>
    <row r="1188" spans="13:18" x14ac:dyDescent="0.2">
      <c r="M1188" s="20" t="str">
        <f t="shared" si="53"/>
        <v>LA LIBERTAD PACASMAYO PACASMAYO</v>
      </c>
      <c r="N1188" s="20">
        <f t="shared" si="54"/>
        <v>0</v>
      </c>
      <c r="O1188" s="16" t="s">
        <v>159</v>
      </c>
      <c r="P1188" s="16" t="s">
        <v>1146</v>
      </c>
      <c r="Q1188" s="16" t="s">
        <v>1146</v>
      </c>
      <c r="R1188" s="16" t="s">
        <v>2990</v>
      </c>
    </row>
    <row r="1189" spans="13:18" x14ac:dyDescent="0.2">
      <c r="M1189" s="20" t="str">
        <f t="shared" si="53"/>
        <v>LA LIBERTAD PACASMAYO SAN JOSE</v>
      </c>
      <c r="N1189" s="20">
        <f t="shared" si="54"/>
        <v>0</v>
      </c>
      <c r="O1189" s="16" t="s">
        <v>159</v>
      </c>
      <c r="P1189" s="16" t="s">
        <v>1146</v>
      </c>
      <c r="Q1189" s="16" t="s">
        <v>947</v>
      </c>
      <c r="R1189" s="16" t="s">
        <v>2991</v>
      </c>
    </row>
    <row r="1190" spans="13:18" x14ac:dyDescent="0.2">
      <c r="M1190" s="20" t="str">
        <f t="shared" si="53"/>
        <v>LA LIBERTAD PACASMAYO SAN PEDRO DE LLOC</v>
      </c>
      <c r="N1190" s="20">
        <f t="shared" si="54"/>
        <v>0</v>
      </c>
      <c r="O1190" s="16" t="s">
        <v>159</v>
      </c>
      <c r="P1190" s="16" t="s">
        <v>1146</v>
      </c>
      <c r="Q1190" s="16" t="s">
        <v>1149</v>
      </c>
      <c r="R1190" s="16" t="s">
        <v>2992</v>
      </c>
    </row>
    <row r="1191" spans="13:18" x14ac:dyDescent="0.2">
      <c r="M1191" s="20" t="str">
        <f t="shared" si="53"/>
        <v>LA LIBERTAD PATAZ BULDIBUYO</v>
      </c>
      <c r="N1191" s="20">
        <f t="shared" si="54"/>
        <v>0</v>
      </c>
      <c r="O1191" s="16" t="s">
        <v>159</v>
      </c>
      <c r="P1191" s="16" t="s">
        <v>1150</v>
      </c>
      <c r="Q1191" s="16" t="s">
        <v>1151</v>
      </c>
      <c r="R1191" s="16" t="s">
        <v>2993</v>
      </c>
    </row>
    <row r="1192" spans="13:18" x14ac:dyDescent="0.2">
      <c r="M1192" s="20" t="str">
        <f t="shared" si="53"/>
        <v>LA LIBERTAD PATAZ CHILLIA</v>
      </c>
      <c r="N1192" s="20">
        <f t="shared" si="54"/>
        <v>0</v>
      </c>
      <c r="O1192" s="16" t="s">
        <v>159</v>
      </c>
      <c r="P1192" s="16" t="s">
        <v>1150</v>
      </c>
      <c r="Q1192" s="16" t="s">
        <v>1152</v>
      </c>
      <c r="R1192" s="16" t="s">
        <v>2994</v>
      </c>
    </row>
    <row r="1193" spans="13:18" x14ac:dyDescent="0.2">
      <c r="M1193" s="20" t="str">
        <f t="shared" si="53"/>
        <v>LA LIBERTAD PATAZ HUANCASPATA</v>
      </c>
      <c r="N1193" s="20">
        <f t="shared" si="54"/>
        <v>0</v>
      </c>
      <c r="O1193" s="16" t="s">
        <v>159</v>
      </c>
      <c r="P1193" s="16" t="s">
        <v>1150</v>
      </c>
      <c r="Q1193" s="16" t="s">
        <v>1153</v>
      </c>
      <c r="R1193" s="16" t="s">
        <v>2995</v>
      </c>
    </row>
    <row r="1194" spans="13:18" x14ac:dyDescent="0.2">
      <c r="M1194" s="20" t="str">
        <f t="shared" si="53"/>
        <v>LA LIBERTAD PATAZ HUAYLILLAS</v>
      </c>
      <c r="N1194" s="20">
        <f t="shared" si="54"/>
        <v>0</v>
      </c>
      <c r="O1194" s="16" t="s">
        <v>159</v>
      </c>
      <c r="P1194" s="16" t="s">
        <v>1150</v>
      </c>
      <c r="Q1194" s="16" t="s">
        <v>1154</v>
      </c>
      <c r="R1194" s="16" t="s">
        <v>2996</v>
      </c>
    </row>
    <row r="1195" spans="13:18" x14ac:dyDescent="0.2">
      <c r="M1195" s="20" t="str">
        <f t="shared" si="53"/>
        <v>LA LIBERTAD PATAZ HUAYO</v>
      </c>
      <c r="N1195" s="20">
        <f t="shared" si="54"/>
        <v>0</v>
      </c>
      <c r="O1195" s="16" t="s">
        <v>159</v>
      </c>
      <c r="P1195" s="16" t="s">
        <v>1150</v>
      </c>
      <c r="Q1195" s="16" t="s">
        <v>1155</v>
      </c>
      <c r="R1195" s="16" t="s">
        <v>2997</v>
      </c>
    </row>
    <row r="1196" spans="13:18" x14ac:dyDescent="0.2">
      <c r="M1196" s="20" t="str">
        <f t="shared" si="53"/>
        <v>LA LIBERTAD PATAZ ONGON</v>
      </c>
      <c r="N1196" s="20">
        <f t="shared" si="54"/>
        <v>0</v>
      </c>
      <c r="O1196" s="16" t="s">
        <v>159</v>
      </c>
      <c r="P1196" s="16" t="s">
        <v>1150</v>
      </c>
      <c r="Q1196" s="16" t="s">
        <v>1156</v>
      </c>
      <c r="R1196" s="16" t="s">
        <v>2998</v>
      </c>
    </row>
    <row r="1197" spans="13:18" x14ac:dyDescent="0.2">
      <c r="M1197" s="20" t="str">
        <f t="shared" si="53"/>
        <v>LA LIBERTAD PATAZ PARCOY</v>
      </c>
      <c r="N1197" s="20">
        <f t="shared" si="54"/>
        <v>0</v>
      </c>
      <c r="O1197" s="16" t="s">
        <v>159</v>
      </c>
      <c r="P1197" s="16" t="s">
        <v>1150</v>
      </c>
      <c r="Q1197" s="16" t="s">
        <v>1157</v>
      </c>
      <c r="R1197" s="16" t="s">
        <v>2999</v>
      </c>
    </row>
    <row r="1198" spans="13:18" x14ac:dyDescent="0.2">
      <c r="M1198" s="20" t="str">
        <f t="shared" si="53"/>
        <v>LA LIBERTAD PATAZ PATAZ</v>
      </c>
      <c r="N1198" s="20">
        <f t="shared" si="54"/>
        <v>0</v>
      </c>
      <c r="O1198" s="16" t="s">
        <v>159</v>
      </c>
      <c r="P1198" s="16" t="s">
        <v>1150</v>
      </c>
      <c r="Q1198" s="16" t="s">
        <v>1150</v>
      </c>
      <c r="R1198" s="16" t="s">
        <v>3000</v>
      </c>
    </row>
    <row r="1199" spans="13:18" x14ac:dyDescent="0.2">
      <c r="M1199" s="20" t="str">
        <f t="shared" si="53"/>
        <v>LA LIBERTAD PATAZ PIAS</v>
      </c>
      <c r="N1199" s="20">
        <f t="shared" si="54"/>
        <v>0</v>
      </c>
      <c r="O1199" s="16" t="s">
        <v>159</v>
      </c>
      <c r="P1199" s="16" t="s">
        <v>1150</v>
      </c>
      <c r="Q1199" s="16" t="s">
        <v>1158</v>
      </c>
      <c r="R1199" s="16" t="s">
        <v>3001</v>
      </c>
    </row>
    <row r="1200" spans="13:18" x14ac:dyDescent="0.2">
      <c r="M1200" s="20" t="str">
        <f t="shared" si="53"/>
        <v>LA LIBERTAD PATAZ SANTIAGO DE CHALLAS</v>
      </c>
      <c r="N1200" s="20">
        <f t="shared" si="54"/>
        <v>0</v>
      </c>
      <c r="O1200" s="16" t="s">
        <v>159</v>
      </c>
      <c r="P1200" s="16" t="s">
        <v>1150</v>
      </c>
      <c r="Q1200" s="16" t="s">
        <v>1159</v>
      </c>
      <c r="R1200" s="16" t="s">
        <v>3002</v>
      </c>
    </row>
    <row r="1201" spans="13:18" x14ac:dyDescent="0.2">
      <c r="M1201" s="20" t="str">
        <f t="shared" si="53"/>
        <v>LA LIBERTAD PATAZ TAURIJA</v>
      </c>
      <c r="N1201" s="20">
        <f t="shared" si="54"/>
        <v>0</v>
      </c>
      <c r="O1201" s="16" t="s">
        <v>159</v>
      </c>
      <c r="P1201" s="16" t="s">
        <v>1150</v>
      </c>
      <c r="Q1201" s="16" t="s">
        <v>1160</v>
      </c>
      <c r="R1201" s="16" t="s">
        <v>3003</v>
      </c>
    </row>
    <row r="1202" spans="13:18" x14ac:dyDescent="0.2">
      <c r="M1202" s="20" t="str">
        <f t="shared" si="53"/>
        <v>LA LIBERTAD PATAZ TAYABAMBA</v>
      </c>
      <c r="N1202" s="20">
        <f t="shared" si="54"/>
        <v>0</v>
      </c>
      <c r="O1202" s="16" t="s">
        <v>159</v>
      </c>
      <c r="P1202" s="16" t="s">
        <v>1150</v>
      </c>
      <c r="Q1202" s="16" t="s">
        <v>1161</v>
      </c>
      <c r="R1202" s="16" t="s">
        <v>3004</v>
      </c>
    </row>
    <row r="1203" spans="13:18" x14ac:dyDescent="0.2">
      <c r="M1203" s="20" t="str">
        <f t="shared" si="53"/>
        <v>LA LIBERTAD PATAZ URPAY</v>
      </c>
      <c r="N1203" s="20">
        <f t="shared" si="54"/>
        <v>0</v>
      </c>
      <c r="O1203" s="16" t="s">
        <v>159</v>
      </c>
      <c r="P1203" s="16" t="s">
        <v>1150</v>
      </c>
      <c r="Q1203" s="16" t="s">
        <v>1162</v>
      </c>
      <c r="R1203" s="16" t="s">
        <v>3005</v>
      </c>
    </row>
    <row r="1204" spans="13:18" x14ac:dyDescent="0.2">
      <c r="M1204" s="20" t="str">
        <f t="shared" si="53"/>
        <v>LA LIBERTAD SANCHEZ CARRION CHUGAY</v>
      </c>
      <c r="N1204" s="20">
        <f t="shared" si="54"/>
        <v>0</v>
      </c>
      <c r="O1204" s="16" t="s">
        <v>159</v>
      </c>
      <c r="P1204" s="16" t="s">
        <v>1163</v>
      </c>
      <c r="Q1204" s="16" t="s">
        <v>1164</v>
      </c>
      <c r="R1204" s="16" t="s">
        <v>3006</v>
      </c>
    </row>
    <row r="1205" spans="13:18" x14ac:dyDescent="0.2">
      <c r="M1205" s="20" t="str">
        <f t="shared" si="53"/>
        <v>LA LIBERTAD SANCHEZ CARRION COCHORCO</v>
      </c>
      <c r="N1205" s="20">
        <f t="shared" si="54"/>
        <v>0</v>
      </c>
      <c r="O1205" s="16" t="s">
        <v>159</v>
      </c>
      <c r="P1205" s="16" t="s">
        <v>1163</v>
      </c>
      <c r="Q1205" s="16" t="s">
        <v>1165</v>
      </c>
      <c r="R1205" s="16" t="s">
        <v>3007</v>
      </c>
    </row>
    <row r="1206" spans="13:18" x14ac:dyDescent="0.2">
      <c r="M1206" s="20" t="str">
        <f t="shared" si="53"/>
        <v>LA LIBERTAD SANCHEZ CARRION CURGOS</v>
      </c>
      <c r="N1206" s="20">
        <f t="shared" si="54"/>
        <v>0</v>
      </c>
      <c r="O1206" s="16" t="s">
        <v>159</v>
      </c>
      <c r="P1206" s="16" t="s">
        <v>1163</v>
      </c>
      <c r="Q1206" s="16" t="s">
        <v>1166</v>
      </c>
      <c r="R1206" s="16" t="s">
        <v>3008</v>
      </c>
    </row>
    <row r="1207" spans="13:18" x14ac:dyDescent="0.2">
      <c r="M1207" s="20" t="str">
        <f t="shared" si="53"/>
        <v>LA LIBERTAD SANCHEZ CARRION HUAMACHUCO</v>
      </c>
      <c r="N1207" s="20">
        <f t="shared" si="54"/>
        <v>0</v>
      </c>
      <c r="O1207" s="16" t="s">
        <v>159</v>
      </c>
      <c r="P1207" s="16" t="s">
        <v>1163</v>
      </c>
      <c r="Q1207" s="16" t="s">
        <v>1167</v>
      </c>
      <c r="R1207" s="16" t="s">
        <v>3009</v>
      </c>
    </row>
    <row r="1208" spans="13:18" x14ac:dyDescent="0.2">
      <c r="M1208" s="20" t="str">
        <f t="shared" si="53"/>
        <v>LA LIBERTAD SANCHEZ CARRION MARCABAL</v>
      </c>
      <c r="N1208" s="20">
        <f t="shared" si="54"/>
        <v>0</v>
      </c>
      <c r="O1208" s="16" t="s">
        <v>159</v>
      </c>
      <c r="P1208" s="16" t="s">
        <v>1163</v>
      </c>
      <c r="Q1208" s="16" t="s">
        <v>1168</v>
      </c>
      <c r="R1208" s="16" t="s">
        <v>3010</v>
      </c>
    </row>
    <row r="1209" spans="13:18" x14ac:dyDescent="0.2">
      <c r="M1209" s="20" t="str">
        <f t="shared" si="53"/>
        <v>LA LIBERTAD SANCHEZ CARRION SANAGORAN</v>
      </c>
      <c r="N1209" s="20">
        <f t="shared" si="54"/>
        <v>0</v>
      </c>
      <c r="O1209" s="16" t="s">
        <v>159</v>
      </c>
      <c r="P1209" s="16" t="s">
        <v>1163</v>
      </c>
      <c r="Q1209" s="16" t="s">
        <v>1169</v>
      </c>
      <c r="R1209" s="16" t="s">
        <v>3011</v>
      </c>
    </row>
    <row r="1210" spans="13:18" x14ac:dyDescent="0.2">
      <c r="M1210" s="20" t="str">
        <f t="shared" si="53"/>
        <v>LA LIBERTAD SANCHEZ CARRION SARIN</v>
      </c>
      <c r="N1210" s="20">
        <f t="shared" si="54"/>
        <v>0</v>
      </c>
      <c r="O1210" s="16" t="s">
        <v>159</v>
      </c>
      <c r="P1210" s="16" t="s">
        <v>1163</v>
      </c>
      <c r="Q1210" s="16" t="s">
        <v>1170</v>
      </c>
      <c r="R1210" s="16" t="s">
        <v>3012</v>
      </c>
    </row>
    <row r="1211" spans="13:18" x14ac:dyDescent="0.2">
      <c r="M1211" s="20" t="str">
        <f t="shared" si="53"/>
        <v>LA LIBERTAD SANCHEZ CARRION SARTIMBAMBA</v>
      </c>
      <c r="N1211" s="20">
        <f t="shared" si="54"/>
        <v>0</v>
      </c>
      <c r="O1211" s="16" t="s">
        <v>159</v>
      </c>
      <c r="P1211" s="16" t="s">
        <v>1163</v>
      </c>
      <c r="Q1211" s="16" t="s">
        <v>1171</v>
      </c>
      <c r="R1211" s="16" t="s">
        <v>3013</v>
      </c>
    </row>
    <row r="1212" spans="13:18" x14ac:dyDescent="0.2">
      <c r="M1212" s="20" t="str">
        <f t="shared" si="53"/>
        <v>LA LIBERTAD SANTIAGO DE CHUCO ANGASMARCA</v>
      </c>
      <c r="N1212" s="20">
        <f t="shared" si="54"/>
        <v>0</v>
      </c>
      <c r="O1212" s="16" t="s">
        <v>159</v>
      </c>
      <c r="P1212" s="16" t="s">
        <v>1172</v>
      </c>
      <c r="Q1212" s="16" t="s">
        <v>1173</v>
      </c>
      <c r="R1212" s="16" t="s">
        <v>3014</v>
      </c>
    </row>
    <row r="1213" spans="13:18" x14ac:dyDescent="0.2">
      <c r="M1213" s="20" t="str">
        <f t="shared" si="53"/>
        <v>LA LIBERTAD SANTIAGO DE CHUCO CACHICADAN</v>
      </c>
      <c r="N1213" s="20">
        <f t="shared" si="54"/>
        <v>0</v>
      </c>
      <c r="O1213" s="16" t="s">
        <v>159</v>
      </c>
      <c r="P1213" s="16" t="s">
        <v>1172</v>
      </c>
      <c r="Q1213" s="16" t="s">
        <v>1174</v>
      </c>
      <c r="R1213" s="16" t="s">
        <v>3015</v>
      </c>
    </row>
    <row r="1214" spans="13:18" x14ac:dyDescent="0.2">
      <c r="M1214" s="20" t="str">
        <f t="shared" si="53"/>
        <v>LA LIBERTAD SANTIAGO DE CHUCO MOLLEBAMBA</v>
      </c>
      <c r="N1214" s="20">
        <f t="shared" si="54"/>
        <v>0</v>
      </c>
      <c r="O1214" s="16" t="s">
        <v>159</v>
      </c>
      <c r="P1214" s="16" t="s">
        <v>1172</v>
      </c>
      <c r="Q1214" s="16" t="s">
        <v>1175</v>
      </c>
      <c r="R1214" s="16" t="s">
        <v>3016</v>
      </c>
    </row>
    <row r="1215" spans="13:18" x14ac:dyDescent="0.2">
      <c r="M1215" s="20" t="str">
        <f t="shared" si="53"/>
        <v>LA LIBERTAD SANTIAGO DE CHUCO MOLLEPATA</v>
      </c>
      <c r="N1215" s="20">
        <f t="shared" si="54"/>
        <v>0</v>
      </c>
      <c r="O1215" s="16" t="s">
        <v>159</v>
      </c>
      <c r="P1215" s="16" t="s">
        <v>1172</v>
      </c>
      <c r="Q1215" s="16" t="s">
        <v>709</v>
      </c>
      <c r="R1215" s="16" t="s">
        <v>3017</v>
      </c>
    </row>
    <row r="1216" spans="13:18" x14ac:dyDescent="0.2">
      <c r="M1216" s="20" t="str">
        <f t="shared" si="53"/>
        <v>LA LIBERTAD SANTIAGO DE CHUCO QUIRUVILCA</v>
      </c>
      <c r="N1216" s="20">
        <f t="shared" si="54"/>
        <v>0</v>
      </c>
      <c r="O1216" s="16" t="s">
        <v>159</v>
      </c>
      <c r="P1216" s="16" t="s">
        <v>1172</v>
      </c>
      <c r="Q1216" s="16" t="s">
        <v>1176</v>
      </c>
      <c r="R1216" s="16" t="s">
        <v>3018</v>
      </c>
    </row>
    <row r="1217" spans="13:18" x14ac:dyDescent="0.2">
      <c r="M1217" s="20" t="str">
        <f t="shared" si="53"/>
        <v>LA LIBERTAD SANTIAGO DE CHUCO SANTA CRUZ DE CHUCA</v>
      </c>
      <c r="N1217" s="20">
        <f t="shared" si="54"/>
        <v>0</v>
      </c>
      <c r="O1217" s="16" t="s">
        <v>159</v>
      </c>
      <c r="P1217" s="16" t="s">
        <v>1172</v>
      </c>
      <c r="Q1217" s="16" t="s">
        <v>1177</v>
      </c>
      <c r="R1217" s="16" t="s">
        <v>3019</v>
      </c>
    </row>
    <row r="1218" spans="13:18" x14ac:dyDescent="0.2">
      <c r="M1218" s="20" t="str">
        <f t="shared" si="53"/>
        <v>LA LIBERTAD SANTIAGO DE CHUCO SANTIAGO DE CHUCO</v>
      </c>
      <c r="N1218" s="20">
        <f t="shared" si="54"/>
        <v>0</v>
      </c>
      <c r="O1218" s="16" t="s">
        <v>159</v>
      </c>
      <c r="P1218" s="16" t="s">
        <v>1172</v>
      </c>
      <c r="Q1218" s="16" t="s">
        <v>1172</v>
      </c>
      <c r="R1218" s="16" t="s">
        <v>3020</v>
      </c>
    </row>
    <row r="1219" spans="13:18" x14ac:dyDescent="0.2">
      <c r="M1219" s="20" t="str">
        <f t="shared" ref="M1219:M1282" si="55">O1219&amp;" "&amp;P1219&amp;" "&amp;Q1219</f>
        <v>LA LIBERTAD SANTIAGO DE CHUCO SITABAMBA</v>
      </c>
      <c r="N1219" s="20">
        <f t="shared" ref="N1219:N1282" si="56">IF(AND($D$9=O1219,$D$10=P1219),N1218+1,0)</f>
        <v>0</v>
      </c>
      <c r="O1219" s="16" t="s">
        <v>159</v>
      </c>
      <c r="P1219" s="16" t="s">
        <v>1172</v>
      </c>
      <c r="Q1219" s="16" t="s">
        <v>1178</v>
      </c>
      <c r="R1219" s="16" t="s">
        <v>3021</v>
      </c>
    </row>
    <row r="1220" spans="13:18" x14ac:dyDescent="0.2">
      <c r="M1220" s="20" t="str">
        <f t="shared" si="55"/>
        <v>LA LIBERTAD TRUJILLO EL PORVENIR</v>
      </c>
      <c r="N1220" s="20">
        <f t="shared" si="56"/>
        <v>0</v>
      </c>
      <c r="O1220" s="16" t="s">
        <v>159</v>
      </c>
      <c r="P1220" s="16" t="s">
        <v>1179</v>
      </c>
      <c r="Q1220" s="16" t="s">
        <v>322</v>
      </c>
      <c r="R1220" s="16" t="s">
        <v>3022</v>
      </c>
    </row>
    <row r="1221" spans="13:18" x14ac:dyDescent="0.2">
      <c r="M1221" s="20" t="str">
        <f t="shared" si="55"/>
        <v>LA LIBERTAD TRUJILLO FLORENCIA DE MORA</v>
      </c>
      <c r="N1221" s="20">
        <f t="shared" si="56"/>
        <v>0</v>
      </c>
      <c r="O1221" s="16" t="s">
        <v>159</v>
      </c>
      <c r="P1221" s="16" t="s">
        <v>1179</v>
      </c>
      <c r="Q1221" s="16" t="s">
        <v>1180</v>
      </c>
      <c r="R1221" s="16" t="s">
        <v>3023</v>
      </c>
    </row>
    <row r="1222" spans="13:18" x14ac:dyDescent="0.2">
      <c r="M1222" s="20" t="str">
        <f t="shared" si="55"/>
        <v>LA LIBERTAD TRUJILLO HUANCHACO</v>
      </c>
      <c r="N1222" s="20">
        <f t="shared" si="56"/>
        <v>0</v>
      </c>
      <c r="O1222" s="16" t="s">
        <v>159</v>
      </c>
      <c r="P1222" s="16" t="s">
        <v>1179</v>
      </c>
      <c r="Q1222" s="16" t="s">
        <v>1181</v>
      </c>
      <c r="R1222" s="16" t="s">
        <v>3024</v>
      </c>
    </row>
    <row r="1223" spans="13:18" x14ac:dyDescent="0.2">
      <c r="M1223" s="20" t="str">
        <f t="shared" si="55"/>
        <v>LA LIBERTAD TRUJILLO LA ESPERANZA</v>
      </c>
      <c r="N1223" s="20">
        <f t="shared" si="56"/>
        <v>0</v>
      </c>
      <c r="O1223" s="16" t="s">
        <v>159</v>
      </c>
      <c r="P1223" s="16" t="s">
        <v>1179</v>
      </c>
      <c r="Q1223" s="16" t="s">
        <v>683</v>
      </c>
      <c r="R1223" s="16" t="s">
        <v>3025</v>
      </c>
    </row>
    <row r="1224" spans="13:18" x14ac:dyDescent="0.2">
      <c r="M1224" s="20" t="str">
        <f t="shared" si="55"/>
        <v>LA LIBERTAD TRUJILLO LAREDO</v>
      </c>
      <c r="N1224" s="20">
        <f t="shared" si="56"/>
        <v>0</v>
      </c>
      <c r="O1224" s="16" t="s">
        <v>159</v>
      </c>
      <c r="P1224" s="16" t="s">
        <v>1179</v>
      </c>
      <c r="Q1224" s="16" t="s">
        <v>1182</v>
      </c>
      <c r="R1224" s="16" t="s">
        <v>3026</v>
      </c>
    </row>
    <row r="1225" spans="13:18" x14ac:dyDescent="0.2">
      <c r="M1225" s="20" t="str">
        <f t="shared" si="55"/>
        <v>LA LIBERTAD TRUJILLO MOCHE</v>
      </c>
      <c r="N1225" s="20">
        <f t="shared" si="56"/>
        <v>0</v>
      </c>
      <c r="O1225" s="16" t="s">
        <v>159</v>
      </c>
      <c r="P1225" s="16" t="s">
        <v>1179</v>
      </c>
      <c r="Q1225" s="16" t="s">
        <v>1183</v>
      </c>
      <c r="R1225" s="16" t="s">
        <v>3027</v>
      </c>
    </row>
    <row r="1226" spans="13:18" x14ac:dyDescent="0.2">
      <c r="M1226" s="20" t="str">
        <f t="shared" si="55"/>
        <v>LA LIBERTAD TRUJILLO POROTO</v>
      </c>
      <c r="N1226" s="20">
        <f t="shared" si="56"/>
        <v>0</v>
      </c>
      <c r="O1226" s="16" t="s">
        <v>159</v>
      </c>
      <c r="P1226" s="16" t="s">
        <v>1179</v>
      </c>
      <c r="Q1226" s="16" t="s">
        <v>1184</v>
      </c>
      <c r="R1226" s="16" t="s">
        <v>3028</v>
      </c>
    </row>
    <row r="1227" spans="13:18" x14ac:dyDescent="0.2">
      <c r="M1227" s="20" t="str">
        <f t="shared" si="55"/>
        <v>LA LIBERTAD TRUJILLO SALAVERRY</v>
      </c>
      <c r="N1227" s="20">
        <f t="shared" si="56"/>
        <v>0</v>
      </c>
      <c r="O1227" s="16" t="s">
        <v>159</v>
      </c>
      <c r="P1227" s="16" t="s">
        <v>1179</v>
      </c>
      <c r="Q1227" s="16" t="s">
        <v>1185</v>
      </c>
      <c r="R1227" s="16" t="s">
        <v>3029</v>
      </c>
    </row>
    <row r="1228" spans="13:18" x14ac:dyDescent="0.2">
      <c r="M1228" s="20" t="str">
        <f t="shared" si="55"/>
        <v>LA LIBERTAD TRUJILLO SIMBAL</v>
      </c>
      <c r="N1228" s="20">
        <f t="shared" si="56"/>
        <v>0</v>
      </c>
      <c r="O1228" s="16" t="s">
        <v>159</v>
      </c>
      <c r="P1228" s="16" t="s">
        <v>1179</v>
      </c>
      <c r="Q1228" s="16" t="s">
        <v>1186</v>
      </c>
      <c r="R1228" s="16" t="s">
        <v>3030</v>
      </c>
    </row>
    <row r="1229" spans="13:18" x14ac:dyDescent="0.2">
      <c r="M1229" s="20" t="str">
        <f t="shared" si="55"/>
        <v>LA LIBERTAD TRUJILLO TRUJILLO</v>
      </c>
      <c r="N1229" s="20">
        <f t="shared" si="56"/>
        <v>0</v>
      </c>
      <c r="O1229" s="16" t="s">
        <v>159</v>
      </c>
      <c r="P1229" s="16" t="s">
        <v>1179</v>
      </c>
      <c r="Q1229" s="16" t="s">
        <v>1179</v>
      </c>
      <c r="R1229" s="16" t="s">
        <v>3031</v>
      </c>
    </row>
    <row r="1230" spans="13:18" x14ac:dyDescent="0.2">
      <c r="M1230" s="20" t="str">
        <f t="shared" si="55"/>
        <v>LA LIBERTAD TRUJILLO VICTOR LARCO HERRERA</v>
      </c>
      <c r="N1230" s="20">
        <f t="shared" si="56"/>
        <v>0</v>
      </c>
      <c r="O1230" s="16" t="s">
        <v>159</v>
      </c>
      <c r="P1230" s="16" t="s">
        <v>1179</v>
      </c>
      <c r="Q1230" s="16" t="s">
        <v>1187</v>
      </c>
      <c r="R1230" s="16" t="s">
        <v>3032</v>
      </c>
    </row>
    <row r="1231" spans="13:18" x14ac:dyDescent="0.2">
      <c r="M1231" s="20" t="str">
        <f t="shared" si="55"/>
        <v>LA LIBERTAD VIRU CHAO</v>
      </c>
      <c r="N1231" s="20">
        <f t="shared" si="56"/>
        <v>0</v>
      </c>
      <c r="O1231" s="16" t="s">
        <v>159</v>
      </c>
      <c r="P1231" s="16" t="s">
        <v>1188</v>
      </c>
      <c r="Q1231" s="16" t="s">
        <v>1189</v>
      </c>
      <c r="R1231" s="16" t="s">
        <v>3033</v>
      </c>
    </row>
    <row r="1232" spans="13:18" x14ac:dyDescent="0.2">
      <c r="M1232" s="20" t="str">
        <f t="shared" si="55"/>
        <v>LA LIBERTAD VIRU GUADALUPITO</v>
      </c>
      <c r="N1232" s="20">
        <f t="shared" si="56"/>
        <v>0</v>
      </c>
      <c r="O1232" s="16" t="s">
        <v>159</v>
      </c>
      <c r="P1232" s="16" t="s">
        <v>1188</v>
      </c>
      <c r="Q1232" s="16" t="s">
        <v>1190</v>
      </c>
      <c r="R1232" s="16" t="s">
        <v>3034</v>
      </c>
    </row>
    <row r="1233" spans="13:18" x14ac:dyDescent="0.2">
      <c r="M1233" s="20" t="str">
        <f t="shared" si="55"/>
        <v>LA LIBERTAD VIRU VIRU</v>
      </c>
      <c r="N1233" s="20">
        <f t="shared" si="56"/>
        <v>0</v>
      </c>
      <c r="O1233" s="16" t="s">
        <v>159</v>
      </c>
      <c r="P1233" s="16" t="s">
        <v>1188</v>
      </c>
      <c r="Q1233" s="16" t="s">
        <v>1188</v>
      </c>
      <c r="R1233" s="16" t="s">
        <v>3035</v>
      </c>
    </row>
    <row r="1234" spans="13:18" x14ac:dyDescent="0.2">
      <c r="M1234" s="20" t="str">
        <f t="shared" si="55"/>
        <v>LAMBAYEQUE CHICLAYO CAYALTI</v>
      </c>
      <c r="N1234" s="20">
        <f t="shared" si="56"/>
        <v>0</v>
      </c>
      <c r="O1234" s="16" t="s">
        <v>1191</v>
      </c>
      <c r="P1234" s="16" t="s">
        <v>1192</v>
      </c>
      <c r="Q1234" s="16" t="s">
        <v>1193</v>
      </c>
      <c r="R1234" s="16" t="s">
        <v>3036</v>
      </c>
    </row>
    <row r="1235" spans="13:18" x14ac:dyDescent="0.2">
      <c r="M1235" s="20" t="str">
        <f t="shared" si="55"/>
        <v>LAMBAYEQUE CHICLAYO CHICLAYO</v>
      </c>
      <c r="N1235" s="20">
        <f t="shared" si="56"/>
        <v>0</v>
      </c>
      <c r="O1235" s="16" t="s">
        <v>1191</v>
      </c>
      <c r="P1235" s="16" t="s">
        <v>1192</v>
      </c>
      <c r="Q1235" s="16" t="s">
        <v>1192</v>
      </c>
      <c r="R1235" s="16" t="s">
        <v>3037</v>
      </c>
    </row>
    <row r="1236" spans="13:18" x14ac:dyDescent="0.2">
      <c r="M1236" s="20" t="str">
        <f t="shared" si="55"/>
        <v>LAMBAYEQUE CHICLAYO CHONGOYAPE</v>
      </c>
      <c r="N1236" s="20">
        <f t="shared" si="56"/>
        <v>0</v>
      </c>
      <c r="O1236" s="16" t="s">
        <v>1191</v>
      </c>
      <c r="P1236" s="16" t="s">
        <v>1192</v>
      </c>
      <c r="Q1236" s="16" t="s">
        <v>1194</v>
      </c>
      <c r="R1236" s="16" t="s">
        <v>3038</v>
      </c>
    </row>
    <row r="1237" spans="13:18" x14ac:dyDescent="0.2">
      <c r="M1237" s="20" t="str">
        <f t="shared" si="55"/>
        <v>LAMBAYEQUE CHICLAYO ETEN</v>
      </c>
      <c r="N1237" s="20">
        <f t="shared" si="56"/>
        <v>0</v>
      </c>
      <c r="O1237" s="16" t="s">
        <v>1191</v>
      </c>
      <c r="P1237" s="16" t="s">
        <v>1192</v>
      </c>
      <c r="Q1237" s="16" t="s">
        <v>1195</v>
      </c>
      <c r="R1237" s="16" t="s">
        <v>3039</v>
      </c>
    </row>
    <row r="1238" spans="13:18" x14ac:dyDescent="0.2">
      <c r="M1238" s="20" t="str">
        <f t="shared" si="55"/>
        <v>LAMBAYEQUE CHICLAYO ETEN PUERTO</v>
      </c>
      <c r="N1238" s="20">
        <f t="shared" si="56"/>
        <v>0</v>
      </c>
      <c r="O1238" s="16" t="s">
        <v>1191</v>
      </c>
      <c r="P1238" s="16" t="s">
        <v>1192</v>
      </c>
      <c r="Q1238" s="16" t="s">
        <v>1196</v>
      </c>
      <c r="R1238" s="16" t="s">
        <v>3040</v>
      </c>
    </row>
    <row r="1239" spans="13:18" x14ac:dyDescent="0.2">
      <c r="M1239" s="20" t="str">
        <f t="shared" si="55"/>
        <v>LAMBAYEQUE CHICLAYO JOSE LEONARDO ORTIZ</v>
      </c>
      <c r="N1239" s="20">
        <f t="shared" si="56"/>
        <v>0</v>
      </c>
      <c r="O1239" s="16" t="s">
        <v>1191</v>
      </c>
      <c r="P1239" s="16" t="s">
        <v>1192</v>
      </c>
      <c r="Q1239" s="16" t="s">
        <v>1197</v>
      </c>
      <c r="R1239" s="16" t="s">
        <v>3041</v>
      </c>
    </row>
    <row r="1240" spans="13:18" x14ac:dyDescent="0.2">
      <c r="M1240" s="20" t="str">
        <f t="shared" si="55"/>
        <v>LAMBAYEQUE CHICLAYO LA VICTORIA</v>
      </c>
      <c r="N1240" s="20">
        <f t="shared" si="56"/>
        <v>0</v>
      </c>
      <c r="O1240" s="16" t="s">
        <v>1191</v>
      </c>
      <c r="P1240" s="16" t="s">
        <v>1192</v>
      </c>
      <c r="Q1240" s="16" t="s">
        <v>1198</v>
      </c>
      <c r="R1240" s="16" t="s">
        <v>3042</v>
      </c>
    </row>
    <row r="1241" spans="13:18" x14ac:dyDescent="0.2">
      <c r="M1241" s="20" t="str">
        <f t="shared" si="55"/>
        <v>LAMBAYEQUE CHICLAYO LAGUNAS</v>
      </c>
      <c r="N1241" s="20">
        <f t="shared" si="56"/>
        <v>0</v>
      </c>
      <c r="O1241" s="16" t="s">
        <v>1191</v>
      </c>
      <c r="P1241" s="16" t="s">
        <v>1192</v>
      </c>
      <c r="Q1241" s="16" t="s">
        <v>1199</v>
      </c>
      <c r="R1241" s="16" t="s">
        <v>3043</v>
      </c>
    </row>
    <row r="1242" spans="13:18" x14ac:dyDescent="0.2">
      <c r="M1242" s="20" t="str">
        <f t="shared" si="55"/>
        <v>LAMBAYEQUE CHICLAYO MONSEFU</v>
      </c>
      <c r="N1242" s="20">
        <f t="shared" si="56"/>
        <v>0</v>
      </c>
      <c r="O1242" s="16" t="s">
        <v>1191</v>
      </c>
      <c r="P1242" s="16" t="s">
        <v>1192</v>
      </c>
      <c r="Q1242" s="16" t="s">
        <v>1200</v>
      </c>
      <c r="R1242" s="16" t="s">
        <v>3044</v>
      </c>
    </row>
    <row r="1243" spans="13:18" x14ac:dyDescent="0.2">
      <c r="M1243" s="20" t="str">
        <f t="shared" si="55"/>
        <v>LAMBAYEQUE CHICLAYO NUEVA ARICA</v>
      </c>
      <c r="N1243" s="20">
        <f t="shared" si="56"/>
        <v>0</v>
      </c>
      <c r="O1243" s="16" t="s">
        <v>1191</v>
      </c>
      <c r="P1243" s="16" t="s">
        <v>1192</v>
      </c>
      <c r="Q1243" s="16" t="s">
        <v>1201</v>
      </c>
      <c r="R1243" s="16" t="s">
        <v>3045</v>
      </c>
    </row>
    <row r="1244" spans="13:18" x14ac:dyDescent="0.2">
      <c r="M1244" s="20" t="str">
        <f t="shared" si="55"/>
        <v>LAMBAYEQUE CHICLAYO OYOTUN</v>
      </c>
      <c r="N1244" s="20">
        <f t="shared" si="56"/>
        <v>0</v>
      </c>
      <c r="O1244" s="16" t="s">
        <v>1191</v>
      </c>
      <c r="P1244" s="16" t="s">
        <v>1192</v>
      </c>
      <c r="Q1244" s="16" t="s">
        <v>1202</v>
      </c>
      <c r="R1244" s="16" t="s">
        <v>3046</v>
      </c>
    </row>
    <row r="1245" spans="13:18" x14ac:dyDescent="0.2">
      <c r="M1245" s="20" t="str">
        <f t="shared" si="55"/>
        <v>LAMBAYEQUE CHICLAYO PATAPO</v>
      </c>
      <c r="N1245" s="20">
        <f t="shared" si="56"/>
        <v>0</v>
      </c>
      <c r="O1245" s="16" t="s">
        <v>1191</v>
      </c>
      <c r="P1245" s="16" t="s">
        <v>1192</v>
      </c>
      <c r="Q1245" s="16" t="s">
        <v>1203</v>
      </c>
      <c r="R1245" s="16" t="s">
        <v>3047</v>
      </c>
    </row>
    <row r="1246" spans="13:18" x14ac:dyDescent="0.2">
      <c r="M1246" s="20" t="str">
        <f t="shared" si="55"/>
        <v>LAMBAYEQUE CHICLAYO PICSI</v>
      </c>
      <c r="N1246" s="20">
        <f t="shared" si="56"/>
        <v>0</v>
      </c>
      <c r="O1246" s="16" t="s">
        <v>1191</v>
      </c>
      <c r="P1246" s="16" t="s">
        <v>1192</v>
      </c>
      <c r="Q1246" s="16" t="s">
        <v>1204</v>
      </c>
      <c r="R1246" s="16" t="s">
        <v>3048</v>
      </c>
    </row>
    <row r="1247" spans="13:18" x14ac:dyDescent="0.2">
      <c r="M1247" s="20" t="str">
        <f t="shared" si="55"/>
        <v>LAMBAYEQUE CHICLAYO PIMENTEL</v>
      </c>
      <c r="N1247" s="20">
        <f t="shared" si="56"/>
        <v>0</v>
      </c>
      <c r="O1247" s="16" t="s">
        <v>1191</v>
      </c>
      <c r="P1247" s="16" t="s">
        <v>1192</v>
      </c>
      <c r="Q1247" s="16" t="s">
        <v>1205</v>
      </c>
      <c r="R1247" s="16" t="s">
        <v>3049</v>
      </c>
    </row>
    <row r="1248" spans="13:18" x14ac:dyDescent="0.2">
      <c r="M1248" s="20" t="str">
        <f t="shared" si="55"/>
        <v>LAMBAYEQUE CHICLAYO POMALCA</v>
      </c>
      <c r="N1248" s="20">
        <f t="shared" si="56"/>
        <v>0</v>
      </c>
      <c r="O1248" s="16" t="s">
        <v>1191</v>
      </c>
      <c r="P1248" s="16" t="s">
        <v>1192</v>
      </c>
      <c r="Q1248" s="16" t="s">
        <v>1206</v>
      </c>
      <c r="R1248" s="16" t="s">
        <v>3050</v>
      </c>
    </row>
    <row r="1249" spans="13:18" x14ac:dyDescent="0.2">
      <c r="M1249" s="20" t="str">
        <f t="shared" si="55"/>
        <v>LAMBAYEQUE CHICLAYO PUCALA</v>
      </c>
      <c r="N1249" s="20">
        <f t="shared" si="56"/>
        <v>0</v>
      </c>
      <c r="O1249" s="16" t="s">
        <v>1191</v>
      </c>
      <c r="P1249" s="16" t="s">
        <v>1192</v>
      </c>
      <c r="Q1249" s="16" t="s">
        <v>1207</v>
      </c>
      <c r="R1249" s="16" t="s">
        <v>3051</v>
      </c>
    </row>
    <row r="1250" spans="13:18" x14ac:dyDescent="0.2">
      <c r="M1250" s="20" t="str">
        <f t="shared" si="55"/>
        <v>LAMBAYEQUE CHICLAYO REQUE</v>
      </c>
      <c r="N1250" s="20">
        <f t="shared" si="56"/>
        <v>0</v>
      </c>
      <c r="O1250" s="16" t="s">
        <v>1191</v>
      </c>
      <c r="P1250" s="16" t="s">
        <v>1192</v>
      </c>
      <c r="Q1250" s="16" t="s">
        <v>1208</v>
      </c>
      <c r="R1250" s="16" t="s">
        <v>3052</v>
      </c>
    </row>
    <row r="1251" spans="13:18" x14ac:dyDescent="0.2">
      <c r="M1251" s="20" t="str">
        <f t="shared" si="55"/>
        <v>LAMBAYEQUE CHICLAYO SANTA ROSA</v>
      </c>
      <c r="N1251" s="20">
        <f t="shared" si="56"/>
        <v>0</v>
      </c>
      <c r="O1251" s="16" t="s">
        <v>1191</v>
      </c>
      <c r="P1251" s="16" t="s">
        <v>1192</v>
      </c>
      <c r="Q1251" s="16" t="s">
        <v>85</v>
      </c>
      <c r="R1251" s="16" t="s">
        <v>3053</v>
      </c>
    </row>
    <row r="1252" spans="13:18" x14ac:dyDescent="0.2">
      <c r="M1252" s="20" t="str">
        <f t="shared" si="55"/>
        <v>LAMBAYEQUE CHICLAYO SAÑA</v>
      </c>
      <c r="N1252" s="20">
        <f t="shared" si="56"/>
        <v>0</v>
      </c>
      <c r="O1252" s="16" t="s">
        <v>1191</v>
      </c>
      <c r="P1252" s="16" t="s">
        <v>1192</v>
      </c>
      <c r="Q1252" s="16" t="s">
        <v>1209</v>
      </c>
      <c r="R1252" s="16" t="s">
        <v>3053</v>
      </c>
    </row>
    <row r="1253" spans="13:18" x14ac:dyDescent="0.2">
      <c r="M1253" s="20" t="str">
        <f t="shared" si="55"/>
        <v>LAMBAYEQUE CHICLAYO TUMAN</v>
      </c>
      <c r="N1253" s="20">
        <f t="shared" si="56"/>
        <v>0</v>
      </c>
      <c r="O1253" s="16" t="s">
        <v>1191</v>
      </c>
      <c r="P1253" s="16" t="s">
        <v>1192</v>
      </c>
      <c r="Q1253" s="16" t="s">
        <v>1210</v>
      </c>
      <c r="R1253" s="16" t="s">
        <v>3054</v>
      </c>
    </row>
    <row r="1254" spans="13:18" x14ac:dyDescent="0.2">
      <c r="M1254" s="20" t="str">
        <f t="shared" si="55"/>
        <v>LAMBAYEQUE FERREÑAFE CAÑARIS</v>
      </c>
      <c r="N1254" s="20">
        <f t="shared" si="56"/>
        <v>0</v>
      </c>
      <c r="O1254" s="16" t="s">
        <v>1191</v>
      </c>
      <c r="P1254" s="16" t="s">
        <v>1211</v>
      </c>
      <c r="Q1254" s="16" t="s">
        <v>1212</v>
      </c>
      <c r="R1254" s="16" t="s">
        <v>3055</v>
      </c>
    </row>
    <row r="1255" spans="13:18" x14ac:dyDescent="0.2">
      <c r="M1255" s="20" t="str">
        <f t="shared" si="55"/>
        <v>LAMBAYEQUE FERREÑAFE FERREÑAFE</v>
      </c>
      <c r="N1255" s="20">
        <f t="shared" si="56"/>
        <v>0</v>
      </c>
      <c r="O1255" s="16" t="s">
        <v>1191</v>
      </c>
      <c r="P1255" s="16" t="s">
        <v>1211</v>
      </c>
      <c r="Q1255" s="16" t="s">
        <v>1211</v>
      </c>
      <c r="R1255" s="16" t="s">
        <v>3056</v>
      </c>
    </row>
    <row r="1256" spans="13:18" x14ac:dyDescent="0.2">
      <c r="M1256" s="20" t="str">
        <f t="shared" si="55"/>
        <v>LAMBAYEQUE FERREÑAFE INCAHUASI</v>
      </c>
      <c r="N1256" s="20">
        <f t="shared" si="56"/>
        <v>0</v>
      </c>
      <c r="O1256" s="16" t="s">
        <v>1191</v>
      </c>
      <c r="P1256" s="16" t="s">
        <v>1211</v>
      </c>
      <c r="Q1256" s="16" t="s">
        <v>1213</v>
      </c>
      <c r="R1256" s="16" t="s">
        <v>3057</v>
      </c>
    </row>
    <row r="1257" spans="13:18" x14ac:dyDescent="0.2">
      <c r="M1257" s="20" t="str">
        <f t="shared" si="55"/>
        <v>LAMBAYEQUE FERREÑAFE MANUEL ANTONIO MESONES MURO</v>
      </c>
      <c r="N1257" s="20">
        <f t="shared" si="56"/>
        <v>0</v>
      </c>
      <c r="O1257" s="16" t="s">
        <v>1191</v>
      </c>
      <c r="P1257" s="16" t="s">
        <v>1211</v>
      </c>
      <c r="Q1257" s="16" t="s">
        <v>1214</v>
      </c>
      <c r="R1257" s="16" t="s">
        <v>3058</v>
      </c>
    </row>
    <row r="1258" spans="13:18" x14ac:dyDescent="0.2">
      <c r="M1258" s="20" t="str">
        <f t="shared" si="55"/>
        <v>LAMBAYEQUE FERREÑAFE PITIPO</v>
      </c>
      <c r="N1258" s="20">
        <f t="shared" si="56"/>
        <v>0</v>
      </c>
      <c r="O1258" s="16" t="s">
        <v>1191</v>
      </c>
      <c r="P1258" s="16" t="s">
        <v>1211</v>
      </c>
      <c r="Q1258" s="16" t="s">
        <v>1215</v>
      </c>
      <c r="R1258" s="16" t="s">
        <v>3059</v>
      </c>
    </row>
    <row r="1259" spans="13:18" x14ac:dyDescent="0.2">
      <c r="M1259" s="20" t="str">
        <f t="shared" si="55"/>
        <v>LAMBAYEQUE FERREÑAFE PUEBLO NUEVO</v>
      </c>
      <c r="N1259" s="20">
        <f t="shared" si="56"/>
        <v>0</v>
      </c>
      <c r="O1259" s="16" t="s">
        <v>1191</v>
      </c>
      <c r="P1259" s="16" t="s">
        <v>1211</v>
      </c>
      <c r="Q1259" s="16" t="s">
        <v>975</v>
      </c>
      <c r="R1259" s="16" t="s">
        <v>3060</v>
      </c>
    </row>
    <row r="1260" spans="13:18" x14ac:dyDescent="0.2">
      <c r="M1260" s="20" t="str">
        <f t="shared" si="55"/>
        <v>LAMBAYEQUE LAMBAYEQUE CHOCHOPE</v>
      </c>
      <c r="N1260" s="20">
        <f t="shared" si="56"/>
        <v>0</v>
      </c>
      <c r="O1260" s="16" t="s">
        <v>1191</v>
      </c>
      <c r="P1260" s="16" t="s">
        <v>1191</v>
      </c>
      <c r="Q1260" s="16" t="s">
        <v>1216</v>
      </c>
      <c r="R1260" s="16" t="s">
        <v>3061</v>
      </c>
    </row>
    <row r="1261" spans="13:18" x14ac:dyDescent="0.2">
      <c r="M1261" s="20" t="str">
        <f t="shared" si="55"/>
        <v>LAMBAYEQUE LAMBAYEQUE ILLIMO</v>
      </c>
      <c r="N1261" s="20">
        <f t="shared" si="56"/>
        <v>0</v>
      </c>
      <c r="O1261" s="16" t="s">
        <v>1191</v>
      </c>
      <c r="P1261" s="16" t="s">
        <v>1191</v>
      </c>
      <c r="Q1261" s="16" t="s">
        <v>1217</v>
      </c>
      <c r="R1261" s="16" t="s">
        <v>3062</v>
      </c>
    </row>
    <row r="1262" spans="13:18" x14ac:dyDescent="0.2">
      <c r="M1262" s="20" t="str">
        <f t="shared" si="55"/>
        <v>LAMBAYEQUE LAMBAYEQUE JAYANCA</v>
      </c>
      <c r="N1262" s="20">
        <f t="shared" si="56"/>
        <v>0</v>
      </c>
      <c r="O1262" s="16" t="s">
        <v>1191</v>
      </c>
      <c r="P1262" s="16" t="s">
        <v>1191</v>
      </c>
      <c r="Q1262" s="16" t="s">
        <v>1218</v>
      </c>
      <c r="R1262" s="16" t="s">
        <v>3063</v>
      </c>
    </row>
    <row r="1263" spans="13:18" x14ac:dyDescent="0.2">
      <c r="M1263" s="20" t="str">
        <f t="shared" si="55"/>
        <v>LAMBAYEQUE LAMBAYEQUE LAMBAYEQUE</v>
      </c>
      <c r="N1263" s="20">
        <f t="shared" si="56"/>
        <v>0</v>
      </c>
      <c r="O1263" s="16" t="s">
        <v>1191</v>
      </c>
      <c r="P1263" s="16" t="s">
        <v>1191</v>
      </c>
      <c r="Q1263" s="16" t="s">
        <v>1191</v>
      </c>
      <c r="R1263" s="16" t="s">
        <v>3064</v>
      </c>
    </row>
    <row r="1264" spans="13:18" x14ac:dyDescent="0.2">
      <c r="M1264" s="20" t="str">
        <f t="shared" si="55"/>
        <v>LAMBAYEQUE LAMBAYEQUE MOCHUMI</v>
      </c>
      <c r="N1264" s="20">
        <f t="shared" si="56"/>
        <v>0</v>
      </c>
      <c r="O1264" s="16" t="s">
        <v>1191</v>
      </c>
      <c r="P1264" s="16" t="s">
        <v>1191</v>
      </c>
      <c r="Q1264" s="16" t="s">
        <v>1219</v>
      </c>
      <c r="R1264" s="16" t="s">
        <v>3065</v>
      </c>
    </row>
    <row r="1265" spans="13:18" x14ac:dyDescent="0.2">
      <c r="M1265" s="20" t="str">
        <f t="shared" si="55"/>
        <v>LAMBAYEQUE LAMBAYEQUE MORROPE</v>
      </c>
      <c r="N1265" s="20">
        <f t="shared" si="56"/>
        <v>0</v>
      </c>
      <c r="O1265" s="16" t="s">
        <v>1191</v>
      </c>
      <c r="P1265" s="16" t="s">
        <v>1191</v>
      </c>
      <c r="Q1265" s="16" t="s">
        <v>1220</v>
      </c>
      <c r="R1265" s="16" t="s">
        <v>3066</v>
      </c>
    </row>
    <row r="1266" spans="13:18" x14ac:dyDescent="0.2">
      <c r="M1266" s="20" t="str">
        <f t="shared" si="55"/>
        <v>LAMBAYEQUE LAMBAYEQUE MOTUPE</v>
      </c>
      <c r="N1266" s="20">
        <f t="shared" si="56"/>
        <v>0</v>
      </c>
      <c r="O1266" s="16" t="s">
        <v>1191</v>
      </c>
      <c r="P1266" s="16" t="s">
        <v>1191</v>
      </c>
      <c r="Q1266" s="16" t="s">
        <v>1221</v>
      </c>
      <c r="R1266" s="16" t="s">
        <v>3067</v>
      </c>
    </row>
    <row r="1267" spans="13:18" x14ac:dyDescent="0.2">
      <c r="M1267" s="20" t="str">
        <f t="shared" si="55"/>
        <v>LAMBAYEQUE LAMBAYEQUE OLMOS</v>
      </c>
      <c r="N1267" s="20">
        <f t="shared" si="56"/>
        <v>0</v>
      </c>
      <c r="O1267" s="16" t="s">
        <v>1191</v>
      </c>
      <c r="P1267" s="16" t="s">
        <v>1191</v>
      </c>
      <c r="Q1267" s="16" t="s">
        <v>1222</v>
      </c>
      <c r="R1267" s="16" t="s">
        <v>3068</v>
      </c>
    </row>
    <row r="1268" spans="13:18" x14ac:dyDescent="0.2">
      <c r="M1268" s="20" t="str">
        <f t="shared" si="55"/>
        <v>LAMBAYEQUE LAMBAYEQUE PACORA</v>
      </c>
      <c r="N1268" s="20">
        <f t="shared" si="56"/>
        <v>0</v>
      </c>
      <c r="O1268" s="16" t="s">
        <v>1191</v>
      </c>
      <c r="P1268" s="16" t="s">
        <v>1191</v>
      </c>
      <c r="Q1268" s="16" t="s">
        <v>1223</v>
      </c>
      <c r="R1268" s="16" t="s">
        <v>3069</v>
      </c>
    </row>
    <row r="1269" spans="13:18" x14ac:dyDescent="0.2">
      <c r="M1269" s="20" t="str">
        <f t="shared" si="55"/>
        <v>LAMBAYEQUE LAMBAYEQUE SALAS</v>
      </c>
      <c r="N1269" s="20">
        <f t="shared" si="56"/>
        <v>0</v>
      </c>
      <c r="O1269" s="16" t="s">
        <v>1191</v>
      </c>
      <c r="P1269" s="16" t="s">
        <v>1191</v>
      </c>
      <c r="Q1269" s="16" t="s">
        <v>985</v>
      </c>
      <c r="R1269" s="16" t="s">
        <v>3070</v>
      </c>
    </row>
    <row r="1270" spans="13:18" x14ac:dyDescent="0.2">
      <c r="M1270" s="20" t="str">
        <f t="shared" si="55"/>
        <v>LAMBAYEQUE LAMBAYEQUE SAN JOSE</v>
      </c>
      <c r="N1270" s="20">
        <f t="shared" si="56"/>
        <v>0</v>
      </c>
      <c r="O1270" s="16" t="s">
        <v>1191</v>
      </c>
      <c r="P1270" s="16" t="s">
        <v>1191</v>
      </c>
      <c r="Q1270" s="16" t="s">
        <v>947</v>
      </c>
      <c r="R1270" s="16" t="s">
        <v>3071</v>
      </c>
    </row>
    <row r="1271" spans="13:18" x14ac:dyDescent="0.2">
      <c r="M1271" s="20" t="str">
        <f t="shared" si="55"/>
        <v>LAMBAYEQUE LAMBAYEQUE TUCUME</v>
      </c>
      <c r="N1271" s="20">
        <f t="shared" si="56"/>
        <v>0</v>
      </c>
      <c r="O1271" s="16" t="s">
        <v>1191</v>
      </c>
      <c r="P1271" s="16" t="s">
        <v>1191</v>
      </c>
      <c r="Q1271" s="16" t="s">
        <v>1224</v>
      </c>
      <c r="R1271" s="16" t="s">
        <v>3072</v>
      </c>
    </row>
    <row r="1272" spans="13:18" x14ac:dyDescent="0.2">
      <c r="M1272" s="20" t="str">
        <f t="shared" si="55"/>
        <v>LIMA BARRANCA BARRANCA</v>
      </c>
      <c r="N1272" s="20">
        <f t="shared" si="56"/>
        <v>0</v>
      </c>
      <c r="O1272" s="16" t="s">
        <v>1225</v>
      </c>
      <c r="P1272" s="16" t="s">
        <v>1226</v>
      </c>
      <c r="Q1272" s="16" t="s">
        <v>1226</v>
      </c>
      <c r="R1272" s="16" t="s">
        <v>3073</v>
      </c>
    </row>
    <row r="1273" spans="13:18" x14ac:dyDescent="0.2">
      <c r="M1273" s="20" t="str">
        <f t="shared" si="55"/>
        <v>LIMA BARRANCA PARAMONGA</v>
      </c>
      <c r="N1273" s="20">
        <f t="shared" si="56"/>
        <v>0</v>
      </c>
      <c r="O1273" s="16" t="s">
        <v>1225</v>
      </c>
      <c r="P1273" s="16" t="s">
        <v>1226</v>
      </c>
      <c r="Q1273" s="16" t="s">
        <v>1227</v>
      </c>
      <c r="R1273" s="16" t="s">
        <v>3074</v>
      </c>
    </row>
    <row r="1274" spans="13:18" x14ac:dyDescent="0.2">
      <c r="M1274" s="20" t="str">
        <f t="shared" si="55"/>
        <v>LIMA BARRANCA PATIVILCA</v>
      </c>
      <c r="N1274" s="20">
        <f t="shared" si="56"/>
        <v>0</v>
      </c>
      <c r="O1274" s="16" t="s">
        <v>1225</v>
      </c>
      <c r="P1274" s="16" t="s">
        <v>1226</v>
      </c>
      <c r="Q1274" s="16" t="s">
        <v>1228</v>
      </c>
      <c r="R1274" s="16" t="s">
        <v>3075</v>
      </c>
    </row>
    <row r="1275" spans="13:18" x14ac:dyDescent="0.2">
      <c r="M1275" s="20" t="str">
        <f t="shared" si="55"/>
        <v>LIMA BARRANCA SUPE</v>
      </c>
      <c r="N1275" s="20">
        <f t="shared" si="56"/>
        <v>0</v>
      </c>
      <c r="O1275" s="16" t="s">
        <v>1225</v>
      </c>
      <c r="P1275" s="16" t="s">
        <v>1226</v>
      </c>
      <c r="Q1275" s="16" t="s">
        <v>1229</v>
      </c>
      <c r="R1275" s="16" t="s">
        <v>3076</v>
      </c>
    </row>
    <row r="1276" spans="13:18" x14ac:dyDescent="0.2">
      <c r="M1276" s="20" t="str">
        <f t="shared" si="55"/>
        <v>LIMA BARRANCA SUPE PUERTO</v>
      </c>
      <c r="N1276" s="20">
        <f t="shared" si="56"/>
        <v>0</v>
      </c>
      <c r="O1276" s="16" t="s">
        <v>1225</v>
      </c>
      <c r="P1276" s="16" t="s">
        <v>1226</v>
      </c>
      <c r="Q1276" s="16" t="s">
        <v>1230</v>
      </c>
      <c r="R1276" s="16" t="s">
        <v>3077</v>
      </c>
    </row>
    <row r="1277" spans="13:18" x14ac:dyDescent="0.2">
      <c r="M1277" s="20" t="str">
        <f t="shared" si="55"/>
        <v>LIMA CAJATAMBO CAJATAMBO</v>
      </c>
      <c r="N1277" s="20">
        <f t="shared" si="56"/>
        <v>0</v>
      </c>
      <c r="O1277" s="16" t="s">
        <v>1225</v>
      </c>
      <c r="P1277" s="16" t="s">
        <v>1231</v>
      </c>
      <c r="Q1277" s="16" t="s">
        <v>1231</v>
      </c>
      <c r="R1277" s="16" t="s">
        <v>3077</v>
      </c>
    </row>
    <row r="1278" spans="13:18" x14ac:dyDescent="0.2">
      <c r="M1278" s="20" t="str">
        <f t="shared" si="55"/>
        <v>LIMA CAJATAMBO COPA</v>
      </c>
      <c r="N1278" s="20">
        <f t="shared" si="56"/>
        <v>0</v>
      </c>
      <c r="O1278" s="16" t="s">
        <v>1225</v>
      </c>
      <c r="P1278" s="16" t="s">
        <v>1231</v>
      </c>
      <c r="Q1278" s="16" t="s">
        <v>1232</v>
      </c>
      <c r="R1278" s="16" t="s">
        <v>3077</v>
      </c>
    </row>
    <row r="1279" spans="13:18" x14ac:dyDescent="0.2">
      <c r="M1279" s="20" t="str">
        <f t="shared" si="55"/>
        <v>LIMA CAJATAMBO GORGOR</v>
      </c>
      <c r="N1279" s="20">
        <f t="shared" si="56"/>
        <v>0</v>
      </c>
      <c r="O1279" s="16" t="s">
        <v>1225</v>
      </c>
      <c r="P1279" s="16" t="s">
        <v>1231</v>
      </c>
      <c r="Q1279" s="16" t="s">
        <v>1233</v>
      </c>
      <c r="R1279" s="16" t="s">
        <v>3077</v>
      </c>
    </row>
    <row r="1280" spans="13:18" x14ac:dyDescent="0.2">
      <c r="M1280" s="20" t="str">
        <f t="shared" si="55"/>
        <v>LIMA CAJATAMBO HUANCAPON</v>
      </c>
      <c r="N1280" s="20">
        <f t="shared" si="56"/>
        <v>0</v>
      </c>
      <c r="O1280" s="16" t="s">
        <v>1225</v>
      </c>
      <c r="P1280" s="16" t="s">
        <v>1231</v>
      </c>
      <c r="Q1280" s="16" t="s">
        <v>1234</v>
      </c>
      <c r="R1280" s="16" t="s">
        <v>3077</v>
      </c>
    </row>
    <row r="1281" spans="13:18" x14ac:dyDescent="0.2">
      <c r="M1281" s="20" t="str">
        <f t="shared" si="55"/>
        <v>LIMA CAJATAMBO MANAS</v>
      </c>
      <c r="N1281" s="20">
        <f t="shared" si="56"/>
        <v>0</v>
      </c>
      <c r="O1281" s="16" t="s">
        <v>1225</v>
      </c>
      <c r="P1281" s="16" t="s">
        <v>1231</v>
      </c>
      <c r="Q1281" s="16" t="s">
        <v>1235</v>
      </c>
      <c r="R1281" s="16" t="s">
        <v>3077</v>
      </c>
    </row>
    <row r="1282" spans="13:18" x14ac:dyDescent="0.2">
      <c r="M1282" s="20" t="str">
        <f t="shared" si="55"/>
        <v>LIMA CANTA ARAHUAY</v>
      </c>
      <c r="N1282" s="20">
        <f t="shared" si="56"/>
        <v>0</v>
      </c>
      <c r="O1282" s="16" t="s">
        <v>1225</v>
      </c>
      <c r="P1282" s="16" t="s">
        <v>1236</v>
      </c>
      <c r="Q1282" s="16" t="s">
        <v>1237</v>
      </c>
      <c r="R1282" s="16" t="s">
        <v>3077</v>
      </c>
    </row>
    <row r="1283" spans="13:18" x14ac:dyDescent="0.2">
      <c r="M1283" s="20" t="str">
        <f t="shared" ref="M1283:M1346" si="57">O1283&amp;" "&amp;P1283&amp;" "&amp;Q1283</f>
        <v>LIMA CANTA CANTA</v>
      </c>
      <c r="N1283" s="20">
        <f t="shared" ref="N1283:N1346" si="58">IF(AND($D$9=O1283,$D$10=P1283),N1282+1,0)</f>
        <v>0</v>
      </c>
      <c r="O1283" s="16" t="s">
        <v>1225</v>
      </c>
      <c r="P1283" s="16" t="s">
        <v>1236</v>
      </c>
      <c r="Q1283" s="16" t="s">
        <v>1236</v>
      </c>
      <c r="R1283" s="16" t="s">
        <v>3077</v>
      </c>
    </row>
    <row r="1284" spans="13:18" x14ac:dyDescent="0.2">
      <c r="M1284" s="20" t="str">
        <f t="shared" si="57"/>
        <v>LIMA CANTA HUAMANTANGA</v>
      </c>
      <c r="N1284" s="20">
        <f t="shared" si="58"/>
        <v>0</v>
      </c>
      <c r="O1284" s="16" t="s">
        <v>1225</v>
      </c>
      <c r="P1284" s="16" t="s">
        <v>1236</v>
      </c>
      <c r="Q1284" s="16" t="s">
        <v>1238</v>
      </c>
      <c r="R1284" s="16" t="s">
        <v>3077</v>
      </c>
    </row>
    <row r="1285" spans="13:18" x14ac:dyDescent="0.2">
      <c r="M1285" s="20" t="str">
        <f t="shared" si="57"/>
        <v>LIMA CANTA HUAROS</v>
      </c>
      <c r="N1285" s="20">
        <f t="shared" si="58"/>
        <v>0</v>
      </c>
      <c r="O1285" s="16" t="s">
        <v>1225</v>
      </c>
      <c r="P1285" s="16" t="s">
        <v>1236</v>
      </c>
      <c r="Q1285" s="16" t="s">
        <v>1239</v>
      </c>
      <c r="R1285" s="16" t="s">
        <v>3077</v>
      </c>
    </row>
    <row r="1286" spans="13:18" x14ac:dyDescent="0.2">
      <c r="M1286" s="20" t="str">
        <f t="shared" si="57"/>
        <v>LIMA CANTA LACHAQUI</v>
      </c>
      <c r="N1286" s="20">
        <f t="shared" si="58"/>
        <v>0</v>
      </c>
      <c r="O1286" s="16" t="s">
        <v>1225</v>
      </c>
      <c r="P1286" s="16" t="s">
        <v>1236</v>
      </c>
      <c r="Q1286" s="16" t="s">
        <v>1240</v>
      </c>
      <c r="R1286" s="16" t="s">
        <v>3077</v>
      </c>
    </row>
    <row r="1287" spans="13:18" x14ac:dyDescent="0.2">
      <c r="M1287" s="20" t="str">
        <f t="shared" si="57"/>
        <v>LIMA CANTA SAN BUENAVENTURA</v>
      </c>
      <c r="N1287" s="20">
        <f t="shared" si="58"/>
        <v>0</v>
      </c>
      <c r="O1287" s="16" t="s">
        <v>1225</v>
      </c>
      <c r="P1287" s="16" t="s">
        <v>1236</v>
      </c>
      <c r="Q1287" s="16" t="s">
        <v>948</v>
      </c>
      <c r="R1287" s="16" t="s">
        <v>3077</v>
      </c>
    </row>
    <row r="1288" spans="13:18" x14ac:dyDescent="0.2">
      <c r="M1288" s="20" t="str">
        <f t="shared" si="57"/>
        <v>LIMA CANTA SANTA ROSA DE QUIVES</v>
      </c>
      <c r="N1288" s="20">
        <f t="shared" si="58"/>
        <v>0</v>
      </c>
      <c r="O1288" s="16" t="s">
        <v>1225</v>
      </c>
      <c r="P1288" s="16" t="s">
        <v>1236</v>
      </c>
      <c r="Q1288" s="16" t="s">
        <v>1241</v>
      </c>
      <c r="R1288" s="16" t="s">
        <v>3077</v>
      </c>
    </row>
    <row r="1289" spans="13:18" x14ac:dyDescent="0.2">
      <c r="M1289" s="20" t="str">
        <f t="shared" si="57"/>
        <v>LIMA CAÑETE ASIA</v>
      </c>
      <c r="N1289" s="20">
        <f t="shared" si="58"/>
        <v>0</v>
      </c>
      <c r="O1289" s="16" t="s">
        <v>1225</v>
      </c>
      <c r="P1289" s="16" t="s">
        <v>1242</v>
      </c>
      <c r="Q1289" s="16" t="s">
        <v>1243</v>
      </c>
      <c r="R1289" s="16" t="s">
        <v>3078</v>
      </c>
    </row>
    <row r="1290" spans="13:18" x14ac:dyDescent="0.2">
      <c r="M1290" s="20" t="str">
        <f t="shared" si="57"/>
        <v>LIMA CAÑETE CALANGO</v>
      </c>
      <c r="N1290" s="20">
        <f t="shared" si="58"/>
        <v>0</v>
      </c>
      <c r="O1290" s="16" t="s">
        <v>1225</v>
      </c>
      <c r="P1290" s="16" t="s">
        <v>1242</v>
      </c>
      <c r="Q1290" s="16" t="s">
        <v>1244</v>
      </c>
      <c r="R1290" s="16" t="s">
        <v>3079</v>
      </c>
    </row>
    <row r="1291" spans="13:18" x14ac:dyDescent="0.2">
      <c r="M1291" s="20" t="str">
        <f t="shared" si="57"/>
        <v>LIMA CAÑETE CERRO AZUL</v>
      </c>
      <c r="N1291" s="20">
        <f t="shared" si="58"/>
        <v>0</v>
      </c>
      <c r="O1291" s="16" t="s">
        <v>1225</v>
      </c>
      <c r="P1291" s="16" t="s">
        <v>1242</v>
      </c>
      <c r="Q1291" s="16" t="s">
        <v>1245</v>
      </c>
      <c r="R1291" s="16" t="s">
        <v>3080</v>
      </c>
    </row>
    <row r="1292" spans="13:18" x14ac:dyDescent="0.2">
      <c r="M1292" s="20" t="str">
        <f t="shared" si="57"/>
        <v>LIMA CAÑETE CHILCA</v>
      </c>
      <c r="N1292" s="20">
        <f t="shared" si="58"/>
        <v>0</v>
      </c>
      <c r="O1292" s="16" t="s">
        <v>1225</v>
      </c>
      <c r="P1292" s="16" t="s">
        <v>1242</v>
      </c>
      <c r="Q1292" s="16" t="s">
        <v>1037</v>
      </c>
      <c r="R1292" s="16" t="s">
        <v>3081</v>
      </c>
    </row>
    <row r="1293" spans="13:18" x14ac:dyDescent="0.2">
      <c r="M1293" s="20" t="str">
        <f t="shared" si="57"/>
        <v>LIMA CAÑETE COAYLLO</v>
      </c>
      <c r="N1293" s="20">
        <f t="shared" si="58"/>
        <v>0</v>
      </c>
      <c r="O1293" s="16" t="s">
        <v>1225</v>
      </c>
      <c r="P1293" s="16" t="s">
        <v>1242</v>
      </c>
      <c r="Q1293" s="16" t="s">
        <v>1246</v>
      </c>
      <c r="R1293" s="16" t="s">
        <v>3082</v>
      </c>
    </row>
    <row r="1294" spans="13:18" x14ac:dyDescent="0.2">
      <c r="M1294" s="20" t="str">
        <f t="shared" si="57"/>
        <v>LIMA CAÑETE IMPERIAL</v>
      </c>
      <c r="N1294" s="20">
        <f t="shared" si="58"/>
        <v>0</v>
      </c>
      <c r="O1294" s="16" t="s">
        <v>1225</v>
      </c>
      <c r="P1294" s="16" t="s">
        <v>1242</v>
      </c>
      <c r="Q1294" s="16" t="s">
        <v>1247</v>
      </c>
      <c r="R1294" s="16" t="s">
        <v>3082</v>
      </c>
    </row>
    <row r="1295" spans="13:18" x14ac:dyDescent="0.2">
      <c r="M1295" s="20" t="str">
        <f t="shared" si="57"/>
        <v>LIMA CAÑETE LUNAHUANA</v>
      </c>
      <c r="N1295" s="20">
        <f t="shared" si="58"/>
        <v>0</v>
      </c>
      <c r="O1295" s="16" t="s">
        <v>1225</v>
      </c>
      <c r="P1295" s="16" t="s">
        <v>1242</v>
      </c>
      <c r="Q1295" s="16" t="s">
        <v>1248</v>
      </c>
      <c r="R1295" s="16" t="s">
        <v>3082</v>
      </c>
    </row>
    <row r="1296" spans="13:18" x14ac:dyDescent="0.2">
      <c r="M1296" s="20" t="str">
        <f t="shared" si="57"/>
        <v>LIMA CAÑETE MALA</v>
      </c>
      <c r="N1296" s="20">
        <f t="shared" si="58"/>
        <v>0</v>
      </c>
      <c r="O1296" s="16" t="s">
        <v>1225</v>
      </c>
      <c r="P1296" s="16" t="s">
        <v>1242</v>
      </c>
      <c r="Q1296" s="16" t="s">
        <v>1249</v>
      </c>
      <c r="R1296" s="16" t="s">
        <v>3082</v>
      </c>
    </row>
    <row r="1297" spans="13:18" x14ac:dyDescent="0.2">
      <c r="M1297" s="20" t="str">
        <f t="shared" si="57"/>
        <v>LIMA CAÑETE NUEVO IMPERIAL</v>
      </c>
      <c r="N1297" s="20">
        <f t="shared" si="58"/>
        <v>0</v>
      </c>
      <c r="O1297" s="16" t="s">
        <v>1225</v>
      </c>
      <c r="P1297" s="16" t="s">
        <v>1242</v>
      </c>
      <c r="Q1297" s="16" t="s">
        <v>1250</v>
      </c>
      <c r="R1297" s="16" t="s">
        <v>3082</v>
      </c>
    </row>
    <row r="1298" spans="13:18" x14ac:dyDescent="0.2">
      <c r="M1298" s="20" t="str">
        <f t="shared" si="57"/>
        <v>LIMA CAÑETE PACARAN</v>
      </c>
      <c r="N1298" s="20">
        <f t="shared" si="58"/>
        <v>0</v>
      </c>
      <c r="O1298" s="16" t="s">
        <v>1225</v>
      </c>
      <c r="P1298" s="16" t="s">
        <v>1242</v>
      </c>
      <c r="Q1298" s="16" t="s">
        <v>1251</v>
      </c>
      <c r="R1298" s="16" t="s">
        <v>3082</v>
      </c>
    </row>
    <row r="1299" spans="13:18" x14ac:dyDescent="0.2">
      <c r="M1299" s="20" t="str">
        <f t="shared" si="57"/>
        <v>LIMA CAÑETE QUILMANA</v>
      </c>
      <c r="N1299" s="20">
        <f t="shared" si="58"/>
        <v>0</v>
      </c>
      <c r="O1299" s="16" t="s">
        <v>1225</v>
      </c>
      <c r="P1299" s="16" t="s">
        <v>1242</v>
      </c>
      <c r="Q1299" s="16" t="s">
        <v>1252</v>
      </c>
      <c r="R1299" s="16" t="s">
        <v>3082</v>
      </c>
    </row>
    <row r="1300" spans="13:18" x14ac:dyDescent="0.2">
      <c r="M1300" s="20" t="str">
        <f t="shared" si="57"/>
        <v>LIMA CAÑETE SAN ANTONIO</v>
      </c>
      <c r="N1300" s="20">
        <f t="shared" si="58"/>
        <v>0</v>
      </c>
      <c r="O1300" s="16" t="s">
        <v>1225</v>
      </c>
      <c r="P1300" s="16" t="s">
        <v>1242</v>
      </c>
      <c r="Q1300" s="16" t="s">
        <v>345</v>
      </c>
      <c r="R1300" s="16" t="s">
        <v>3082</v>
      </c>
    </row>
    <row r="1301" spans="13:18" x14ac:dyDescent="0.2">
      <c r="M1301" s="20" t="str">
        <f t="shared" si="57"/>
        <v>LIMA CAÑETE SAN LUIS</v>
      </c>
      <c r="N1301" s="20">
        <f t="shared" si="58"/>
        <v>0</v>
      </c>
      <c r="O1301" s="16" t="s">
        <v>1225</v>
      </c>
      <c r="P1301" s="16" t="s">
        <v>1242</v>
      </c>
      <c r="Q1301" s="16" t="s">
        <v>139</v>
      </c>
      <c r="R1301" s="16" t="s">
        <v>3082</v>
      </c>
    </row>
    <row r="1302" spans="13:18" x14ac:dyDescent="0.2">
      <c r="M1302" s="20" t="str">
        <f t="shared" si="57"/>
        <v>LIMA CAÑETE SAN VICENTE DE CAÑETE</v>
      </c>
      <c r="N1302" s="20">
        <f t="shared" si="58"/>
        <v>0</v>
      </c>
      <c r="O1302" s="16" t="s">
        <v>1225</v>
      </c>
      <c r="P1302" s="16" t="s">
        <v>1242</v>
      </c>
      <c r="Q1302" s="16" t="s">
        <v>1253</v>
      </c>
      <c r="R1302" s="16" t="s">
        <v>3082</v>
      </c>
    </row>
    <row r="1303" spans="13:18" x14ac:dyDescent="0.2">
      <c r="M1303" s="20" t="str">
        <f t="shared" si="57"/>
        <v>LIMA CAÑETE SANTA CRUZ DE FLORES</v>
      </c>
      <c r="N1303" s="20">
        <f t="shared" si="58"/>
        <v>0</v>
      </c>
      <c r="O1303" s="16" t="s">
        <v>1225</v>
      </c>
      <c r="P1303" s="16" t="s">
        <v>1242</v>
      </c>
      <c r="Q1303" s="16" t="s">
        <v>1254</v>
      </c>
      <c r="R1303" s="16" t="s">
        <v>3082</v>
      </c>
    </row>
    <row r="1304" spans="13:18" x14ac:dyDescent="0.2">
      <c r="M1304" s="20" t="str">
        <f t="shared" si="57"/>
        <v>LIMA CAÑETE ZUÑIGA</v>
      </c>
      <c r="N1304" s="20">
        <f t="shared" si="58"/>
        <v>0</v>
      </c>
      <c r="O1304" s="16" t="s">
        <v>1225</v>
      </c>
      <c r="P1304" s="16" t="s">
        <v>1242</v>
      </c>
      <c r="Q1304" s="16" t="s">
        <v>1255</v>
      </c>
      <c r="R1304" s="16" t="s">
        <v>3082</v>
      </c>
    </row>
    <row r="1305" spans="13:18" x14ac:dyDescent="0.2">
      <c r="M1305" s="20" t="str">
        <f t="shared" si="57"/>
        <v>LIMA HUARAL ATAVILLOS ALTO</v>
      </c>
      <c r="N1305" s="20">
        <f t="shared" si="58"/>
        <v>0</v>
      </c>
      <c r="O1305" s="16" t="s">
        <v>1225</v>
      </c>
      <c r="P1305" s="16" t="s">
        <v>1256</v>
      </c>
      <c r="Q1305" s="16" t="s">
        <v>1257</v>
      </c>
      <c r="R1305" s="16" t="s">
        <v>3083</v>
      </c>
    </row>
    <row r="1306" spans="13:18" x14ac:dyDescent="0.2">
      <c r="M1306" s="20" t="str">
        <f t="shared" si="57"/>
        <v>LIMA HUARAL ATAVILLOS BAJO</v>
      </c>
      <c r="N1306" s="20">
        <f t="shared" si="58"/>
        <v>0</v>
      </c>
      <c r="O1306" s="16" t="s">
        <v>1225</v>
      </c>
      <c r="P1306" s="16" t="s">
        <v>1256</v>
      </c>
      <c r="Q1306" s="16" t="s">
        <v>1258</v>
      </c>
      <c r="R1306" s="16" t="s">
        <v>3084</v>
      </c>
    </row>
    <row r="1307" spans="13:18" x14ac:dyDescent="0.2">
      <c r="M1307" s="20" t="str">
        <f t="shared" si="57"/>
        <v>LIMA HUARAL AUCALLAMA</v>
      </c>
      <c r="N1307" s="20">
        <f t="shared" si="58"/>
        <v>0</v>
      </c>
      <c r="O1307" s="16" t="s">
        <v>1225</v>
      </c>
      <c r="P1307" s="16" t="s">
        <v>1256</v>
      </c>
      <c r="Q1307" s="16" t="s">
        <v>1259</v>
      </c>
      <c r="R1307" s="16" t="s">
        <v>3085</v>
      </c>
    </row>
    <row r="1308" spans="13:18" x14ac:dyDescent="0.2">
      <c r="M1308" s="20" t="str">
        <f t="shared" si="57"/>
        <v>LIMA HUARAL CHANCAY</v>
      </c>
      <c r="N1308" s="20">
        <f t="shared" si="58"/>
        <v>0</v>
      </c>
      <c r="O1308" s="16" t="s">
        <v>1225</v>
      </c>
      <c r="P1308" s="16" t="s">
        <v>1256</v>
      </c>
      <c r="Q1308" s="16" t="s">
        <v>656</v>
      </c>
      <c r="R1308" s="16" t="s">
        <v>3086</v>
      </c>
    </row>
    <row r="1309" spans="13:18" x14ac:dyDescent="0.2">
      <c r="M1309" s="20" t="str">
        <f t="shared" si="57"/>
        <v>LIMA HUARAL HUARAL</v>
      </c>
      <c r="N1309" s="20">
        <f t="shared" si="58"/>
        <v>0</v>
      </c>
      <c r="O1309" s="16" t="s">
        <v>1225</v>
      </c>
      <c r="P1309" s="16" t="s">
        <v>1256</v>
      </c>
      <c r="Q1309" s="16" t="s">
        <v>1256</v>
      </c>
      <c r="R1309" s="16" t="s">
        <v>3087</v>
      </c>
    </row>
    <row r="1310" spans="13:18" x14ac:dyDescent="0.2">
      <c r="M1310" s="20" t="str">
        <f t="shared" si="57"/>
        <v>LIMA HUARAL IHUARI</v>
      </c>
      <c r="N1310" s="20">
        <f t="shared" si="58"/>
        <v>0</v>
      </c>
      <c r="O1310" s="16" t="s">
        <v>1225</v>
      </c>
      <c r="P1310" s="16" t="s">
        <v>1256</v>
      </c>
      <c r="Q1310" s="16" t="s">
        <v>1260</v>
      </c>
      <c r="R1310" s="16" t="s">
        <v>3088</v>
      </c>
    </row>
    <row r="1311" spans="13:18" x14ac:dyDescent="0.2">
      <c r="M1311" s="20" t="str">
        <f t="shared" si="57"/>
        <v>LIMA HUARAL LAMPIAN</v>
      </c>
      <c r="N1311" s="20">
        <f t="shared" si="58"/>
        <v>0</v>
      </c>
      <c r="O1311" s="16" t="s">
        <v>1225</v>
      </c>
      <c r="P1311" s="16" t="s">
        <v>1256</v>
      </c>
      <c r="Q1311" s="16" t="s">
        <v>1261</v>
      </c>
      <c r="R1311" s="16" t="s">
        <v>3089</v>
      </c>
    </row>
    <row r="1312" spans="13:18" x14ac:dyDescent="0.2">
      <c r="M1312" s="20" t="str">
        <f t="shared" si="57"/>
        <v>LIMA HUARAL PACARAOS</v>
      </c>
      <c r="N1312" s="20">
        <f t="shared" si="58"/>
        <v>0</v>
      </c>
      <c r="O1312" s="16" t="s">
        <v>1225</v>
      </c>
      <c r="P1312" s="16" t="s">
        <v>1256</v>
      </c>
      <c r="Q1312" s="16" t="s">
        <v>1262</v>
      </c>
      <c r="R1312" s="16" t="s">
        <v>3090</v>
      </c>
    </row>
    <row r="1313" spans="13:18" x14ac:dyDescent="0.2">
      <c r="M1313" s="20" t="str">
        <f t="shared" si="57"/>
        <v>LIMA HUARAL SAN MIGUEL DE ACOS</v>
      </c>
      <c r="N1313" s="20">
        <f t="shared" si="58"/>
        <v>0</v>
      </c>
      <c r="O1313" s="16" t="s">
        <v>1225</v>
      </c>
      <c r="P1313" s="16" t="s">
        <v>1256</v>
      </c>
      <c r="Q1313" s="16" t="s">
        <v>1263</v>
      </c>
      <c r="R1313" s="16" t="s">
        <v>3091</v>
      </c>
    </row>
    <row r="1314" spans="13:18" x14ac:dyDescent="0.2">
      <c r="M1314" s="20" t="str">
        <f t="shared" si="57"/>
        <v>LIMA HUARAL SANTA CRUZ DE ANDAMARCA</v>
      </c>
      <c r="N1314" s="20">
        <f t="shared" si="58"/>
        <v>0</v>
      </c>
      <c r="O1314" s="16" t="s">
        <v>1225</v>
      </c>
      <c r="P1314" s="16" t="s">
        <v>1256</v>
      </c>
      <c r="Q1314" s="16" t="s">
        <v>1264</v>
      </c>
      <c r="R1314" s="16" t="s">
        <v>3092</v>
      </c>
    </row>
    <row r="1315" spans="13:18" x14ac:dyDescent="0.2">
      <c r="M1315" s="20" t="str">
        <f t="shared" si="57"/>
        <v>LIMA HUARAL SUMBILCA</v>
      </c>
      <c r="N1315" s="20">
        <f t="shared" si="58"/>
        <v>0</v>
      </c>
      <c r="O1315" s="16" t="s">
        <v>1225</v>
      </c>
      <c r="P1315" s="16" t="s">
        <v>1256</v>
      </c>
      <c r="Q1315" s="16" t="s">
        <v>1265</v>
      </c>
      <c r="R1315" s="16" t="s">
        <v>3093</v>
      </c>
    </row>
    <row r="1316" spans="13:18" x14ac:dyDescent="0.2">
      <c r="M1316" s="20" t="str">
        <f t="shared" si="57"/>
        <v>LIMA HUARAL VEINTISIETE DE NOVIEMBRE</v>
      </c>
      <c r="N1316" s="20">
        <f t="shared" si="58"/>
        <v>0</v>
      </c>
      <c r="O1316" s="16" t="s">
        <v>1225</v>
      </c>
      <c r="P1316" s="16" t="s">
        <v>1256</v>
      </c>
      <c r="Q1316" s="16" t="s">
        <v>1266</v>
      </c>
      <c r="R1316" s="16" t="s">
        <v>3094</v>
      </c>
    </row>
    <row r="1317" spans="13:18" x14ac:dyDescent="0.2">
      <c r="M1317" s="20" t="str">
        <f t="shared" si="57"/>
        <v>LIMA HUAROCHIRI ANTIOQUIA</v>
      </c>
      <c r="N1317" s="20">
        <f t="shared" si="58"/>
        <v>0</v>
      </c>
      <c r="O1317" s="16" t="s">
        <v>1225</v>
      </c>
      <c r="P1317" s="16" t="s">
        <v>1267</v>
      </c>
      <c r="Q1317" s="16" t="s">
        <v>1268</v>
      </c>
      <c r="R1317" s="16" t="s">
        <v>3095</v>
      </c>
    </row>
    <row r="1318" spans="13:18" x14ac:dyDescent="0.2">
      <c r="M1318" s="20" t="str">
        <f t="shared" si="57"/>
        <v>LIMA HUAROCHIRI CALLAHUANCA</v>
      </c>
      <c r="N1318" s="20">
        <f t="shared" si="58"/>
        <v>0</v>
      </c>
      <c r="O1318" s="16" t="s">
        <v>1225</v>
      </c>
      <c r="P1318" s="16" t="s">
        <v>1267</v>
      </c>
      <c r="Q1318" s="16" t="s">
        <v>1269</v>
      </c>
      <c r="R1318" s="16" t="s">
        <v>3096</v>
      </c>
    </row>
    <row r="1319" spans="13:18" x14ac:dyDescent="0.2">
      <c r="M1319" s="20" t="str">
        <f t="shared" si="57"/>
        <v>LIMA HUAROCHIRI CARAMPOMA</v>
      </c>
      <c r="N1319" s="20">
        <f t="shared" si="58"/>
        <v>0</v>
      </c>
      <c r="O1319" s="16" t="s">
        <v>1225</v>
      </c>
      <c r="P1319" s="16" t="s">
        <v>1267</v>
      </c>
      <c r="Q1319" s="16" t="s">
        <v>1270</v>
      </c>
      <c r="R1319" s="16" t="s">
        <v>3097</v>
      </c>
    </row>
    <row r="1320" spans="13:18" x14ac:dyDescent="0.2">
      <c r="M1320" s="20" t="str">
        <f t="shared" si="57"/>
        <v>LIMA HUAROCHIRI CHICLA</v>
      </c>
      <c r="N1320" s="20">
        <f t="shared" si="58"/>
        <v>0</v>
      </c>
      <c r="O1320" s="16" t="s">
        <v>1225</v>
      </c>
      <c r="P1320" s="16" t="s">
        <v>1267</v>
      </c>
      <c r="Q1320" s="16" t="s">
        <v>1271</v>
      </c>
      <c r="R1320" s="16" t="s">
        <v>3098</v>
      </c>
    </row>
    <row r="1321" spans="13:18" x14ac:dyDescent="0.2">
      <c r="M1321" s="20" t="str">
        <f t="shared" si="57"/>
        <v>LIMA HUAROCHIRI CUENCA</v>
      </c>
      <c r="N1321" s="20">
        <f t="shared" si="58"/>
        <v>0</v>
      </c>
      <c r="O1321" s="16" t="s">
        <v>1225</v>
      </c>
      <c r="P1321" s="16" t="s">
        <v>1267</v>
      </c>
      <c r="Q1321" s="16" t="s">
        <v>841</v>
      </c>
      <c r="R1321" s="16" t="s">
        <v>3099</v>
      </c>
    </row>
    <row r="1322" spans="13:18" x14ac:dyDescent="0.2">
      <c r="M1322" s="20" t="str">
        <f t="shared" si="57"/>
        <v>LIMA HUAROCHIRI HUACHUPAMPA</v>
      </c>
      <c r="N1322" s="20">
        <f t="shared" si="58"/>
        <v>0</v>
      </c>
      <c r="O1322" s="16" t="s">
        <v>1225</v>
      </c>
      <c r="P1322" s="16" t="s">
        <v>1267</v>
      </c>
      <c r="Q1322" s="16" t="s">
        <v>1272</v>
      </c>
      <c r="R1322" s="16" t="s">
        <v>3100</v>
      </c>
    </row>
    <row r="1323" spans="13:18" x14ac:dyDescent="0.2">
      <c r="M1323" s="20" t="str">
        <f t="shared" si="57"/>
        <v>LIMA HUAROCHIRI HUANZA</v>
      </c>
      <c r="N1323" s="20">
        <f t="shared" si="58"/>
        <v>0</v>
      </c>
      <c r="O1323" s="16" t="s">
        <v>1225</v>
      </c>
      <c r="P1323" s="16" t="s">
        <v>1267</v>
      </c>
      <c r="Q1323" s="16" t="s">
        <v>1273</v>
      </c>
      <c r="R1323" s="16" t="s">
        <v>3101</v>
      </c>
    </row>
    <row r="1324" spans="13:18" x14ac:dyDescent="0.2">
      <c r="M1324" s="20" t="str">
        <f t="shared" si="57"/>
        <v>LIMA HUAROCHIRI HUAROCHIRI</v>
      </c>
      <c r="N1324" s="20">
        <f t="shared" si="58"/>
        <v>0</v>
      </c>
      <c r="O1324" s="16" t="s">
        <v>1225</v>
      </c>
      <c r="P1324" s="16" t="s">
        <v>1267</v>
      </c>
      <c r="Q1324" s="16" t="s">
        <v>1267</v>
      </c>
      <c r="R1324" s="16" t="s">
        <v>3102</v>
      </c>
    </row>
    <row r="1325" spans="13:18" x14ac:dyDescent="0.2">
      <c r="M1325" s="20" t="str">
        <f t="shared" si="57"/>
        <v>LIMA HUAROCHIRI LAHUAYTAMBO</v>
      </c>
      <c r="N1325" s="20">
        <f t="shared" si="58"/>
        <v>0</v>
      </c>
      <c r="O1325" s="16" t="s">
        <v>1225</v>
      </c>
      <c r="P1325" s="16" t="s">
        <v>1267</v>
      </c>
      <c r="Q1325" s="16" t="s">
        <v>1274</v>
      </c>
      <c r="R1325" s="16" t="s">
        <v>3103</v>
      </c>
    </row>
    <row r="1326" spans="13:18" x14ac:dyDescent="0.2">
      <c r="M1326" s="20" t="str">
        <f t="shared" si="57"/>
        <v>LIMA HUAROCHIRI LANGA</v>
      </c>
      <c r="N1326" s="20">
        <f t="shared" si="58"/>
        <v>0</v>
      </c>
      <c r="O1326" s="16" t="s">
        <v>1225</v>
      </c>
      <c r="P1326" s="16" t="s">
        <v>1267</v>
      </c>
      <c r="Q1326" s="16" t="s">
        <v>1275</v>
      </c>
      <c r="R1326" s="16" t="s">
        <v>3104</v>
      </c>
    </row>
    <row r="1327" spans="13:18" x14ac:dyDescent="0.2">
      <c r="M1327" s="20" t="str">
        <f t="shared" si="57"/>
        <v>LIMA HUAROCHIRI LARAOS</v>
      </c>
      <c r="N1327" s="20">
        <f t="shared" si="58"/>
        <v>0</v>
      </c>
      <c r="O1327" s="16" t="s">
        <v>1225</v>
      </c>
      <c r="P1327" s="16" t="s">
        <v>1267</v>
      </c>
      <c r="Q1327" s="16" t="s">
        <v>1276</v>
      </c>
      <c r="R1327" s="16" t="s">
        <v>3105</v>
      </c>
    </row>
    <row r="1328" spans="13:18" x14ac:dyDescent="0.2">
      <c r="M1328" s="20" t="str">
        <f t="shared" si="57"/>
        <v>LIMA HUAROCHIRI MARIATANA</v>
      </c>
      <c r="N1328" s="20">
        <f t="shared" si="58"/>
        <v>0</v>
      </c>
      <c r="O1328" s="16" t="s">
        <v>1225</v>
      </c>
      <c r="P1328" s="16" t="s">
        <v>1267</v>
      </c>
      <c r="Q1328" s="16" t="s">
        <v>1277</v>
      </c>
      <c r="R1328" s="16" t="s">
        <v>3106</v>
      </c>
    </row>
    <row r="1329" spans="13:18" x14ac:dyDescent="0.2">
      <c r="M1329" s="20" t="str">
        <f t="shared" si="57"/>
        <v>LIMA HUAROCHIRI MATUCANA</v>
      </c>
      <c r="N1329" s="20">
        <f t="shared" si="58"/>
        <v>0</v>
      </c>
      <c r="O1329" s="16" t="s">
        <v>1225</v>
      </c>
      <c r="P1329" s="16" t="s">
        <v>1267</v>
      </c>
      <c r="Q1329" s="16" t="s">
        <v>1278</v>
      </c>
      <c r="R1329" s="16" t="s">
        <v>3107</v>
      </c>
    </row>
    <row r="1330" spans="13:18" x14ac:dyDescent="0.2">
      <c r="M1330" s="20" t="str">
        <f t="shared" si="57"/>
        <v>LIMA HUAROCHIRI RICARDO PALMA</v>
      </c>
      <c r="N1330" s="20">
        <f t="shared" si="58"/>
        <v>0</v>
      </c>
      <c r="O1330" s="16" t="s">
        <v>1225</v>
      </c>
      <c r="P1330" s="16" t="s">
        <v>1267</v>
      </c>
      <c r="Q1330" s="16" t="s">
        <v>1279</v>
      </c>
      <c r="R1330" s="16" t="s">
        <v>3108</v>
      </c>
    </row>
    <row r="1331" spans="13:18" x14ac:dyDescent="0.2">
      <c r="M1331" s="20" t="str">
        <f t="shared" si="57"/>
        <v>LIMA HUAROCHIRI SAN ANDRES DE TUPICOCHA</v>
      </c>
      <c r="N1331" s="20">
        <f t="shared" si="58"/>
        <v>0</v>
      </c>
      <c r="O1331" s="16" t="s">
        <v>1225</v>
      </c>
      <c r="P1331" s="16" t="s">
        <v>1267</v>
      </c>
      <c r="Q1331" s="16" t="s">
        <v>1280</v>
      </c>
      <c r="R1331" s="16" t="s">
        <v>3109</v>
      </c>
    </row>
    <row r="1332" spans="13:18" x14ac:dyDescent="0.2">
      <c r="M1332" s="20" t="str">
        <f t="shared" si="57"/>
        <v>LIMA HUAROCHIRI SAN ANTONIO</v>
      </c>
      <c r="N1332" s="20">
        <f t="shared" si="58"/>
        <v>0</v>
      </c>
      <c r="O1332" s="16" t="s">
        <v>1225</v>
      </c>
      <c r="P1332" s="16" t="s">
        <v>1267</v>
      </c>
      <c r="Q1332" s="16" t="s">
        <v>345</v>
      </c>
      <c r="R1332" s="16" t="s">
        <v>3110</v>
      </c>
    </row>
    <row r="1333" spans="13:18" x14ac:dyDescent="0.2">
      <c r="M1333" s="20" t="str">
        <f t="shared" si="57"/>
        <v>LIMA HUAROCHIRI SAN BARTOLOME</v>
      </c>
      <c r="N1333" s="20">
        <f t="shared" si="58"/>
        <v>0</v>
      </c>
      <c r="O1333" s="16" t="s">
        <v>1225</v>
      </c>
      <c r="P1333" s="16" t="s">
        <v>1267</v>
      </c>
      <c r="Q1333" s="16" t="s">
        <v>1281</v>
      </c>
      <c r="R1333" s="16" t="s">
        <v>3111</v>
      </c>
    </row>
    <row r="1334" spans="13:18" x14ac:dyDescent="0.2">
      <c r="M1334" s="20" t="str">
        <f t="shared" si="57"/>
        <v>LIMA HUAROCHIRI SAN DAMIAN</v>
      </c>
      <c r="N1334" s="20">
        <f t="shared" si="58"/>
        <v>0</v>
      </c>
      <c r="O1334" s="16" t="s">
        <v>1225</v>
      </c>
      <c r="P1334" s="16" t="s">
        <v>1267</v>
      </c>
      <c r="Q1334" s="16" t="s">
        <v>1282</v>
      </c>
      <c r="R1334" s="16" t="s">
        <v>3112</v>
      </c>
    </row>
    <row r="1335" spans="13:18" x14ac:dyDescent="0.2">
      <c r="M1335" s="20" t="str">
        <f t="shared" si="57"/>
        <v>LIMA HUAROCHIRI SAN JUAN DE IRIS</v>
      </c>
      <c r="N1335" s="20">
        <f t="shared" si="58"/>
        <v>0</v>
      </c>
      <c r="O1335" s="16" t="s">
        <v>1225</v>
      </c>
      <c r="P1335" s="16" t="s">
        <v>1267</v>
      </c>
      <c r="Q1335" s="16" t="s">
        <v>1283</v>
      </c>
      <c r="R1335" s="16" t="s">
        <v>3113</v>
      </c>
    </row>
    <row r="1336" spans="13:18" x14ac:dyDescent="0.2">
      <c r="M1336" s="20" t="str">
        <f t="shared" si="57"/>
        <v>LIMA HUAROCHIRI SAN JUAN DE TANTARANCHE</v>
      </c>
      <c r="N1336" s="20">
        <f t="shared" si="58"/>
        <v>0</v>
      </c>
      <c r="O1336" s="16" t="s">
        <v>1225</v>
      </c>
      <c r="P1336" s="16" t="s">
        <v>1267</v>
      </c>
      <c r="Q1336" s="16" t="s">
        <v>1284</v>
      </c>
      <c r="R1336" s="16" t="s">
        <v>3114</v>
      </c>
    </row>
    <row r="1337" spans="13:18" x14ac:dyDescent="0.2">
      <c r="M1337" s="20" t="str">
        <f t="shared" si="57"/>
        <v>LIMA HUAROCHIRI SAN LORENZO DE QUINTI</v>
      </c>
      <c r="N1337" s="20">
        <f t="shared" si="58"/>
        <v>0</v>
      </c>
      <c r="O1337" s="16" t="s">
        <v>1225</v>
      </c>
      <c r="P1337" s="16" t="s">
        <v>1267</v>
      </c>
      <c r="Q1337" s="16" t="s">
        <v>1285</v>
      </c>
      <c r="R1337" s="16" t="s">
        <v>3115</v>
      </c>
    </row>
    <row r="1338" spans="13:18" x14ac:dyDescent="0.2">
      <c r="M1338" s="20" t="str">
        <f t="shared" si="57"/>
        <v>LIMA HUAROCHIRI SAN MATEO</v>
      </c>
      <c r="N1338" s="20">
        <f t="shared" si="58"/>
        <v>0</v>
      </c>
      <c r="O1338" s="16" t="s">
        <v>1225</v>
      </c>
      <c r="P1338" s="16" t="s">
        <v>1267</v>
      </c>
      <c r="Q1338" s="16" t="s">
        <v>1040</v>
      </c>
      <c r="R1338" s="16" t="s">
        <v>3116</v>
      </c>
    </row>
    <row r="1339" spans="13:18" x14ac:dyDescent="0.2">
      <c r="M1339" s="20" t="str">
        <f t="shared" si="57"/>
        <v>LIMA HUAROCHIRI SAN MATEO DE OTAO</v>
      </c>
      <c r="N1339" s="20">
        <f t="shared" si="58"/>
        <v>0</v>
      </c>
      <c r="O1339" s="16" t="s">
        <v>1225</v>
      </c>
      <c r="P1339" s="16" t="s">
        <v>1267</v>
      </c>
      <c r="Q1339" s="16" t="s">
        <v>1286</v>
      </c>
      <c r="R1339" s="16" t="s">
        <v>3117</v>
      </c>
    </row>
    <row r="1340" spans="13:18" x14ac:dyDescent="0.2">
      <c r="M1340" s="20" t="str">
        <f t="shared" si="57"/>
        <v>LIMA HUAROCHIRI SAN PEDRO DE CASTA</v>
      </c>
      <c r="N1340" s="20">
        <f t="shared" si="58"/>
        <v>0</v>
      </c>
      <c r="O1340" s="16" t="s">
        <v>1225</v>
      </c>
      <c r="P1340" s="16" t="s">
        <v>1267</v>
      </c>
      <c r="Q1340" s="16" t="s">
        <v>1287</v>
      </c>
      <c r="R1340" s="16" t="s">
        <v>3118</v>
      </c>
    </row>
    <row r="1341" spans="13:18" x14ac:dyDescent="0.2">
      <c r="M1341" s="20" t="str">
        <f t="shared" si="57"/>
        <v>LIMA HUAROCHIRI SAN PEDRO DE HUANCAYRE</v>
      </c>
      <c r="N1341" s="20">
        <f t="shared" si="58"/>
        <v>0</v>
      </c>
      <c r="O1341" s="16" t="s">
        <v>1225</v>
      </c>
      <c r="P1341" s="16" t="s">
        <v>1267</v>
      </c>
      <c r="Q1341" s="16" t="s">
        <v>1288</v>
      </c>
      <c r="R1341" s="16" t="s">
        <v>3119</v>
      </c>
    </row>
    <row r="1342" spans="13:18" x14ac:dyDescent="0.2">
      <c r="M1342" s="20" t="str">
        <f t="shared" si="57"/>
        <v>LIMA HUAROCHIRI SANGALLAYA</v>
      </c>
      <c r="N1342" s="20">
        <f t="shared" si="58"/>
        <v>0</v>
      </c>
      <c r="O1342" s="16" t="s">
        <v>1225</v>
      </c>
      <c r="P1342" s="16" t="s">
        <v>1267</v>
      </c>
      <c r="Q1342" s="16" t="s">
        <v>1289</v>
      </c>
      <c r="R1342" s="16" t="s">
        <v>3120</v>
      </c>
    </row>
    <row r="1343" spans="13:18" x14ac:dyDescent="0.2">
      <c r="M1343" s="20" t="str">
        <f t="shared" si="57"/>
        <v>LIMA HUAROCHIRI SANTA CRUZ DE COCACHACRA</v>
      </c>
      <c r="N1343" s="20">
        <f t="shared" si="58"/>
        <v>0</v>
      </c>
      <c r="O1343" s="16" t="s">
        <v>1225</v>
      </c>
      <c r="P1343" s="16" t="s">
        <v>1267</v>
      </c>
      <c r="Q1343" s="16" t="s">
        <v>1290</v>
      </c>
      <c r="R1343" s="16" t="s">
        <v>3121</v>
      </c>
    </row>
    <row r="1344" spans="13:18" x14ac:dyDescent="0.2">
      <c r="M1344" s="20" t="str">
        <f t="shared" si="57"/>
        <v>LIMA HUAROCHIRI SANTA EULALIA</v>
      </c>
      <c r="N1344" s="20">
        <f t="shared" si="58"/>
        <v>0</v>
      </c>
      <c r="O1344" s="16" t="s">
        <v>1225</v>
      </c>
      <c r="P1344" s="16" t="s">
        <v>1267</v>
      </c>
      <c r="Q1344" s="16" t="s">
        <v>1291</v>
      </c>
      <c r="R1344" s="16" t="s">
        <v>3122</v>
      </c>
    </row>
    <row r="1345" spans="13:18" x14ac:dyDescent="0.2">
      <c r="M1345" s="20" t="str">
        <f t="shared" si="57"/>
        <v>LIMA HUAROCHIRI SANTIAGO DE ANCHUCAYA</v>
      </c>
      <c r="N1345" s="20">
        <f t="shared" si="58"/>
        <v>0</v>
      </c>
      <c r="O1345" s="16" t="s">
        <v>1225</v>
      </c>
      <c r="P1345" s="16" t="s">
        <v>1267</v>
      </c>
      <c r="Q1345" s="16" t="s">
        <v>1292</v>
      </c>
      <c r="R1345" s="16" t="s">
        <v>3123</v>
      </c>
    </row>
    <row r="1346" spans="13:18" x14ac:dyDescent="0.2">
      <c r="M1346" s="20" t="str">
        <f t="shared" si="57"/>
        <v>LIMA HUAROCHIRI SANTIAGO DE TUNA</v>
      </c>
      <c r="N1346" s="20">
        <f t="shared" si="58"/>
        <v>0</v>
      </c>
      <c r="O1346" s="16" t="s">
        <v>1225</v>
      </c>
      <c r="P1346" s="16" t="s">
        <v>1267</v>
      </c>
      <c r="Q1346" s="16" t="s">
        <v>1293</v>
      </c>
      <c r="R1346" s="16" t="s">
        <v>3124</v>
      </c>
    </row>
    <row r="1347" spans="13:18" x14ac:dyDescent="0.2">
      <c r="M1347" s="20" t="str">
        <f t="shared" ref="M1347:M1410" si="59">O1347&amp;" "&amp;P1347&amp;" "&amp;Q1347</f>
        <v>LIMA HUAROCHIRI SANTO DOMINGO DE LOS OLLEROS</v>
      </c>
      <c r="N1347" s="20">
        <f t="shared" ref="N1347:N1410" si="60">IF(AND($D$9=O1347,$D$10=P1347),N1346+1,0)</f>
        <v>0</v>
      </c>
      <c r="O1347" s="16" t="s">
        <v>1225</v>
      </c>
      <c r="P1347" s="16" t="s">
        <v>1267</v>
      </c>
      <c r="Q1347" s="16" t="s">
        <v>1294</v>
      </c>
      <c r="R1347" s="16" t="s">
        <v>3125</v>
      </c>
    </row>
    <row r="1348" spans="13:18" x14ac:dyDescent="0.2">
      <c r="M1348" s="20" t="str">
        <f t="shared" si="59"/>
        <v>LIMA HUAROCHIRI SURCO</v>
      </c>
      <c r="N1348" s="20">
        <f t="shared" si="60"/>
        <v>0</v>
      </c>
      <c r="O1348" s="16" t="s">
        <v>1225</v>
      </c>
      <c r="P1348" s="16" t="s">
        <v>1267</v>
      </c>
      <c r="Q1348" s="16" t="s">
        <v>1295</v>
      </c>
      <c r="R1348" s="16" t="s">
        <v>3126</v>
      </c>
    </row>
    <row r="1349" spans="13:18" x14ac:dyDescent="0.2">
      <c r="M1349" s="20" t="str">
        <f t="shared" si="59"/>
        <v>LIMA HUAURA AMBAR</v>
      </c>
      <c r="N1349" s="20">
        <f t="shared" si="60"/>
        <v>0</v>
      </c>
      <c r="O1349" s="16" t="s">
        <v>1225</v>
      </c>
      <c r="P1349" s="16" t="s">
        <v>1296</v>
      </c>
      <c r="Q1349" s="16" t="s">
        <v>1297</v>
      </c>
      <c r="R1349" s="16" t="s">
        <v>3127</v>
      </c>
    </row>
    <row r="1350" spans="13:18" x14ac:dyDescent="0.2">
      <c r="M1350" s="20" t="str">
        <f t="shared" si="59"/>
        <v>LIMA HUAURA CALETA DE CARQUIN</v>
      </c>
      <c r="N1350" s="20">
        <f t="shared" si="60"/>
        <v>0</v>
      </c>
      <c r="O1350" s="16" t="s">
        <v>1225</v>
      </c>
      <c r="P1350" s="16" t="s">
        <v>1296</v>
      </c>
      <c r="Q1350" s="16" t="s">
        <v>1298</v>
      </c>
      <c r="R1350" s="16" t="s">
        <v>3128</v>
      </c>
    </row>
    <row r="1351" spans="13:18" x14ac:dyDescent="0.2">
      <c r="M1351" s="20" t="str">
        <f t="shared" si="59"/>
        <v>LIMA HUAURA CHECRAS</v>
      </c>
      <c r="N1351" s="20">
        <f t="shared" si="60"/>
        <v>0</v>
      </c>
      <c r="O1351" s="16" t="s">
        <v>1225</v>
      </c>
      <c r="P1351" s="16" t="s">
        <v>1296</v>
      </c>
      <c r="Q1351" s="16" t="s">
        <v>1299</v>
      </c>
      <c r="R1351" s="16" t="s">
        <v>3129</v>
      </c>
    </row>
    <row r="1352" spans="13:18" x14ac:dyDescent="0.2">
      <c r="M1352" s="20" t="str">
        <f t="shared" si="59"/>
        <v>LIMA HUAURA HUACHO</v>
      </c>
      <c r="N1352" s="20">
        <f t="shared" si="60"/>
        <v>0</v>
      </c>
      <c r="O1352" s="16" t="s">
        <v>1225</v>
      </c>
      <c r="P1352" s="16" t="s">
        <v>1296</v>
      </c>
      <c r="Q1352" s="16" t="s">
        <v>1300</v>
      </c>
      <c r="R1352" s="16" t="s">
        <v>3130</v>
      </c>
    </row>
    <row r="1353" spans="13:18" x14ac:dyDescent="0.2">
      <c r="M1353" s="20" t="str">
        <f t="shared" si="59"/>
        <v>LIMA HUAURA HUALMAY</v>
      </c>
      <c r="N1353" s="20">
        <f t="shared" si="60"/>
        <v>0</v>
      </c>
      <c r="O1353" s="16" t="s">
        <v>1225</v>
      </c>
      <c r="P1353" s="16" t="s">
        <v>1296</v>
      </c>
      <c r="Q1353" s="16" t="s">
        <v>1301</v>
      </c>
      <c r="R1353" s="16" t="s">
        <v>3131</v>
      </c>
    </row>
    <row r="1354" spans="13:18" x14ac:dyDescent="0.2">
      <c r="M1354" s="20" t="str">
        <f t="shared" si="59"/>
        <v>LIMA HUAURA HUAURA</v>
      </c>
      <c r="N1354" s="20">
        <f t="shared" si="60"/>
        <v>0</v>
      </c>
      <c r="O1354" s="16" t="s">
        <v>1225</v>
      </c>
      <c r="P1354" s="16" t="s">
        <v>1296</v>
      </c>
      <c r="Q1354" s="16" t="s">
        <v>1296</v>
      </c>
      <c r="R1354" s="16" t="s">
        <v>3132</v>
      </c>
    </row>
    <row r="1355" spans="13:18" x14ac:dyDescent="0.2">
      <c r="M1355" s="20" t="str">
        <f t="shared" si="59"/>
        <v>LIMA HUAURA LEONCIO PRADO</v>
      </c>
      <c r="N1355" s="20">
        <f t="shared" si="60"/>
        <v>0</v>
      </c>
      <c r="O1355" s="16" t="s">
        <v>1225</v>
      </c>
      <c r="P1355" s="16" t="s">
        <v>1296</v>
      </c>
      <c r="Q1355" s="16" t="s">
        <v>513</v>
      </c>
      <c r="R1355" s="16" t="s">
        <v>3133</v>
      </c>
    </row>
    <row r="1356" spans="13:18" x14ac:dyDescent="0.2">
      <c r="M1356" s="20" t="str">
        <f t="shared" si="59"/>
        <v>LIMA HUAURA PACCHO</v>
      </c>
      <c r="N1356" s="20">
        <f t="shared" si="60"/>
        <v>0</v>
      </c>
      <c r="O1356" s="16" t="s">
        <v>1225</v>
      </c>
      <c r="P1356" s="16" t="s">
        <v>1296</v>
      </c>
      <c r="Q1356" s="16" t="s">
        <v>1302</v>
      </c>
      <c r="R1356" s="16" t="s">
        <v>3134</v>
      </c>
    </row>
    <row r="1357" spans="13:18" x14ac:dyDescent="0.2">
      <c r="M1357" s="20" t="str">
        <f t="shared" si="59"/>
        <v>LIMA HUAURA SANTA LEONOR</v>
      </c>
      <c r="N1357" s="20">
        <f t="shared" si="60"/>
        <v>0</v>
      </c>
      <c r="O1357" s="16" t="s">
        <v>1225</v>
      </c>
      <c r="P1357" s="16" t="s">
        <v>1296</v>
      </c>
      <c r="Q1357" s="16" t="s">
        <v>1303</v>
      </c>
      <c r="R1357" s="16" t="s">
        <v>3135</v>
      </c>
    </row>
    <row r="1358" spans="13:18" x14ac:dyDescent="0.2">
      <c r="M1358" s="20" t="str">
        <f t="shared" si="59"/>
        <v>LIMA HUAURA SANTA MARIA</v>
      </c>
      <c r="N1358" s="20">
        <f t="shared" si="60"/>
        <v>0</v>
      </c>
      <c r="O1358" s="16" t="s">
        <v>1225</v>
      </c>
      <c r="P1358" s="16" t="s">
        <v>1296</v>
      </c>
      <c r="Q1358" s="16" t="s">
        <v>1304</v>
      </c>
      <c r="R1358" s="16" t="s">
        <v>3136</v>
      </c>
    </row>
    <row r="1359" spans="13:18" x14ac:dyDescent="0.2">
      <c r="M1359" s="20" t="str">
        <f t="shared" si="59"/>
        <v>LIMA HUAURA SAYAN</v>
      </c>
      <c r="N1359" s="20">
        <f t="shared" si="60"/>
        <v>0</v>
      </c>
      <c r="O1359" s="16" t="s">
        <v>1225</v>
      </c>
      <c r="P1359" s="16" t="s">
        <v>1296</v>
      </c>
      <c r="Q1359" s="16" t="s">
        <v>1305</v>
      </c>
      <c r="R1359" s="16" t="s">
        <v>3137</v>
      </c>
    </row>
    <row r="1360" spans="13:18" x14ac:dyDescent="0.2">
      <c r="M1360" s="20" t="str">
        <f t="shared" si="59"/>
        <v>LIMA HUAURA VEGUETA</v>
      </c>
      <c r="N1360" s="20">
        <f t="shared" si="60"/>
        <v>0</v>
      </c>
      <c r="O1360" s="16" t="s">
        <v>1225</v>
      </c>
      <c r="P1360" s="16" t="s">
        <v>1296</v>
      </c>
      <c r="Q1360" s="16" t="s">
        <v>1306</v>
      </c>
      <c r="R1360" s="16" t="s">
        <v>3138</v>
      </c>
    </row>
    <row r="1361" spans="13:18" x14ac:dyDescent="0.2">
      <c r="M1361" s="20" t="str">
        <f t="shared" si="59"/>
        <v>LIMA LIMA ANCON</v>
      </c>
      <c r="N1361" s="20">
        <f t="shared" si="60"/>
        <v>0</v>
      </c>
      <c r="O1361" s="16" t="s">
        <v>1225</v>
      </c>
      <c r="P1361" s="16" t="s">
        <v>1225</v>
      </c>
      <c r="Q1361" s="16" t="s">
        <v>1307</v>
      </c>
      <c r="R1361" s="16" t="s">
        <v>3139</v>
      </c>
    </row>
    <row r="1362" spans="13:18" x14ac:dyDescent="0.2">
      <c r="M1362" s="20" t="str">
        <f t="shared" si="59"/>
        <v>LIMA LIMA ATE</v>
      </c>
      <c r="N1362" s="20">
        <f t="shared" si="60"/>
        <v>0</v>
      </c>
      <c r="O1362" s="16" t="s">
        <v>1225</v>
      </c>
      <c r="P1362" s="16" t="s">
        <v>1225</v>
      </c>
      <c r="Q1362" s="16" t="s">
        <v>1308</v>
      </c>
      <c r="R1362" s="16" t="s">
        <v>3140</v>
      </c>
    </row>
    <row r="1363" spans="13:18" x14ac:dyDescent="0.2">
      <c r="M1363" s="20" t="str">
        <f t="shared" si="59"/>
        <v>LIMA LIMA BARRANCO</v>
      </c>
      <c r="N1363" s="20">
        <f t="shared" si="60"/>
        <v>0</v>
      </c>
      <c r="O1363" s="16" t="s">
        <v>1225</v>
      </c>
      <c r="P1363" s="16" t="s">
        <v>1225</v>
      </c>
      <c r="Q1363" s="16" t="s">
        <v>1309</v>
      </c>
      <c r="R1363" s="16" t="s">
        <v>3141</v>
      </c>
    </row>
    <row r="1364" spans="13:18" x14ac:dyDescent="0.2">
      <c r="M1364" s="20" t="str">
        <f t="shared" si="59"/>
        <v>LIMA LIMA BREÑA</v>
      </c>
      <c r="N1364" s="20">
        <f t="shared" si="60"/>
        <v>0</v>
      </c>
      <c r="O1364" s="16" t="s">
        <v>1225</v>
      </c>
      <c r="P1364" s="16" t="s">
        <v>1225</v>
      </c>
      <c r="Q1364" s="16" t="s">
        <v>1310</v>
      </c>
      <c r="R1364" s="16" t="s">
        <v>3142</v>
      </c>
    </row>
    <row r="1365" spans="13:18" x14ac:dyDescent="0.2">
      <c r="M1365" s="20" t="str">
        <f t="shared" si="59"/>
        <v>LIMA LIMA CARABAYLLO</v>
      </c>
      <c r="N1365" s="20">
        <f t="shared" si="60"/>
        <v>0</v>
      </c>
      <c r="O1365" s="16" t="s">
        <v>1225</v>
      </c>
      <c r="P1365" s="16" t="s">
        <v>1225</v>
      </c>
      <c r="Q1365" s="16" t="s">
        <v>1311</v>
      </c>
      <c r="R1365" s="16" t="s">
        <v>3143</v>
      </c>
    </row>
    <row r="1366" spans="13:18" x14ac:dyDescent="0.2">
      <c r="M1366" s="20" t="str">
        <f t="shared" si="59"/>
        <v>LIMA LIMA CHACLACAYO</v>
      </c>
      <c r="N1366" s="20">
        <f t="shared" si="60"/>
        <v>0</v>
      </c>
      <c r="O1366" s="16" t="s">
        <v>1225</v>
      </c>
      <c r="P1366" s="16" t="s">
        <v>1225</v>
      </c>
      <c r="Q1366" s="16" t="s">
        <v>1312</v>
      </c>
      <c r="R1366" s="16" t="s">
        <v>3144</v>
      </c>
    </row>
    <row r="1367" spans="13:18" x14ac:dyDescent="0.2">
      <c r="M1367" s="20" t="str">
        <f t="shared" si="59"/>
        <v>LIMA LIMA CHORRILLOS</v>
      </c>
      <c r="N1367" s="20">
        <f t="shared" si="60"/>
        <v>0</v>
      </c>
      <c r="O1367" s="16" t="s">
        <v>1225</v>
      </c>
      <c r="P1367" s="16" t="s">
        <v>1225</v>
      </c>
      <c r="Q1367" s="16" t="s">
        <v>1313</v>
      </c>
      <c r="R1367" s="16" t="s">
        <v>3145</v>
      </c>
    </row>
    <row r="1368" spans="13:18" x14ac:dyDescent="0.2">
      <c r="M1368" s="20" t="str">
        <f t="shared" si="59"/>
        <v>LIMA LIMA CIENEGUILLA</v>
      </c>
      <c r="N1368" s="20">
        <f t="shared" si="60"/>
        <v>0</v>
      </c>
      <c r="O1368" s="16" t="s">
        <v>1225</v>
      </c>
      <c r="P1368" s="16" t="s">
        <v>1225</v>
      </c>
      <c r="Q1368" s="16" t="s">
        <v>1314</v>
      </c>
      <c r="R1368" s="16" t="s">
        <v>3146</v>
      </c>
    </row>
    <row r="1369" spans="13:18" x14ac:dyDescent="0.2">
      <c r="M1369" s="20" t="str">
        <f t="shared" si="59"/>
        <v>LIMA LIMA COMAS</v>
      </c>
      <c r="N1369" s="20">
        <f t="shared" si="60"/>
        <v>0</v>
      </c>
      <c r="O1369" s="16" t="s">
        <v>1225</v>
      </c>
      <c r="P1369" s="16" t="s">
        <v>1225</v>
      </c>
      <c r="Q1369" s="16" t="s">
        <v>1024</v>
      </c>
      <c r="R1369" s="16" t="s">
        <v>3147</v>
      </c>
    </row>
    <row r="1370" spans="13:18" x14ac:dyDescent="0.2">
      <c r="M1370" s="20" t="str">
        <f t="shared" si="59"/>
        <v>LIMA LIMA EL AGUSTINO</v>
      </c>
      <c r="N1370" s="20">
        <f t="shared" si="60"/>
        <v>0</v>
      </c>
      <c r="O1370" s="16" t="s">
        <v>1225</v>
      </c>
      <c r="P1370" s="16" t="s">
        <v>1225</v>
      </c>
      <c r="Q1370" s="16" t="s">
        <v>1315</v>
      </c>
      <c r="R1370" s="16" t="s">
        <v>3148</v>
      </c>
    </row>
    <row r="1371" spans="13:18" x14ac:dyDescent="0.2">
      <c r="M1371" s="20" t="str">
        <f t="shared" si="59"/>
        <v>LIMA LIMA INDEPENDENCIA</v>
      </c>
      <c r="N1371" s="20">
        <f t="shared" si="60"/>
        <v>0</v>
      </c>
      <c r="O1371" s="16" t="s">
        <v>1225</v>
      </c>
      <c r="P1371" s="16" t="s">
        <v>1225</v>
      </c>
      <c r="Q1371" s="16" t="s">
        <v>157</v>
      </c>
      <c r="R1371" s="16" t="s">
        <v>3149</v>
      </c>
    </row>
    <row r="1372" spans="13:18" x14ac:dyDescent="0.2">
      <c r="M1372" s="20" t="str">
        <f t="shared" si="59"/>
        <v>LIMA LIMA JESUS MARIA</v>
      </c>
      <c r="N1372" s="20">
        <f t="shared" si="60"/>
        <v>0</v>
      </c>
      <c r="O1372" s="16" t="s">
        <v>1225</v>
      </c>
      <c r="P1372" s="16" t="s">
        <v>1225</v>
      </c>
      <c r="Q1372" s="16" t="s">
        <v>1316</v>
      </c>
      <c r="R1372" s="16" t="s">
        <v>3150</v>
      </c>
    </row>
    <row r="1373" spans="13:18" x14ac:dyDescent="0.2">
      <c r="M1373" s="20" t="str">
        <f t="shared" si="59"/>
        <v>LIMA LIMA LA MOLINA</v>
      </c>
      <c r="N1373" s="20">
        <f t="shared" si="60"/>
        <v>0</v>
      </c>
      <c r="O1373" s="16" t="s">
        <v>1225</v>
      </c>
      <c r="P1373" s="16" t="s">
        <v>1225</v>
      </c>
      <c r="Q1373" s="16" t="s">
        <v>1317</v>
      </c>
      <c r="R1373" s="16" t="s">
        <v>3151</v>
      </c>
    </row>
    <row r="1374" spans="13:18" x14ac:dyDescent="0.2">
      <c r="M1374" s="20" t="str">
        <f t="shared" si="59"/>
        <v>LIMA LIMA LA VICTORIA</v>
      </c>
      <c r="N1374" s="20">
        <f t="shared" si="60"/>
        <v>0</v>
      </c>
      <c r="O1374" s="16" t="s">
        <v>1225</v>
      </c>
      <c r="P1374" s="16" t="s">
        <v>1225</v>
      </c>
      <c r="Q1374" s="16" t="s">
        <v>1198</v>
      </c>
      <c r="R1374" s="16" t="s">
        <v>3152</v>
      </c>
    </row>
    <row r="1375" spans="13:18" x14ac:dyDescent="0.2">
      <c r="M1375" s="20" t="str">
        <f t="shared" si="59"/>
        <v>LIMA LIMA LIMA</v>
      </c>
      <c r="N1375" s="20">
        <f t="shared" si="60"/>
        <v>0</v>
      </c>
      <c r="O1375" s="16" t="s">
        <v>1225</v>
      </c>
      <c r="P1375" s="16" t="s">
        <v>1225</v>
      </c>
      <c r="Q1375" s="16" t="s">
        <v>1225</v>
      </c>
      <c r="R1375" s="16" t="s">
        <v>3153</v>
      </c>
    </row>
    <row r="1376" spans="13:18" x14ac:dyDescent="0.2">
      <c r="M1376" s="20" t="str">
        <f t="shared" si="59"/>
        <v>LIMA LIMA LINCE</v>
      </c>
      <c r="N1376" s="20">
        <f t="shared" si="60"/>
        <v>0</v>
      </c>
      <c r="O1376" s="16" t="s">
        <v>1225</v>
      </c>
      <c r="P1376" s="16" t="s">
        <v>1225</v>
      </c>
      <c r="Q1376" s="16" t="s">
        <v>1318</v>
      </c>
      <c r="R1376" s="16" t="s">
        <v>3154</v>
      </c>
    </row>
    <row r="1377" spans="13:18" x14ac:dyDescent="0.2">
      <c r="M1377" s="20" t="str">
        <f t="shared" si="59"/>
        <v>LIMA LIMA LOS OLIVOS</v>
      </c>
      <c r="N1377" s="20">
        <f t="shared" si="60"/>
        <v>0</v>
      </c>
      <c r="O1377" s="16" t="s">
        <v>1225</v>
      </c>
      <c r="P1377" s="16" t="s">
        <v>1225</v>
      </c>
      <c r="Q1377" s="16" t="s">
        <v>1319</v>
      </c>
      <c r="R1377" s="16" t="s">
        <v>3155</v>
      </c>
    </row>
    <row r="1378" spans="13:18" x14ac:dyDescent="0.2">
      <c r="M1378" s="20" t="str">
        <f t="shared" si="59"/>
        <v>LIMA LIMA LURIGANCHO</v>
      </c>
      <c r="N1378" s="20">
        <f t="shared" si="60"/>
        <v>0</v>
      </c>
      <c r="O1378" s="16" t="s">
        <v>1225</v>
      </c>
      <c r="P1378" s="16" t="s">
        <v>1225</v>
      </c>
      <c r="Q1378" s="16" t="s">
        <v>1320</v>
      </c>
      <c r="R1378" s="16" t="s">
        <v>3156</v>
      </c>
    </row>
    <row r="1379" spans="13:18" x14ac:dyDescent="0.2">
      <c r="M1379" s="20" t="str">
        <f t="shared" si="59"/>
        <v>LIMA LIMA LURIN</v>
      </c>
      <c r="N1379" s="20">
        <f t="shared" si="60"/>
        <v>0</v>
      </c>
      <c r="O1379" s="16" t="s">
        <v>1225</v>
      </c>
      <c r="P1379" s="16" t="s">
        <v>1225</v>
      </c>
      <c r="Q1379" s="16" t="s">
        <v>1321</v>
      </c>
      <c r="R1379" s="16" t="s">
        <v>3157</v>
      </c>
    </row>
    <row r="1380" spans="13:18" x14ac:dyDescent="0.2">
      <c r="M1380" s="20" t="str">
        <f t="shared" si="59"/>
        <v>LIMA LIMA MAGDALENA DEL MAR</v>
      </c>
      <c r="N1380" s="20">
        <f t="shared" si="60"/>
        <v>0</v>
      </c>
      <c r="O1380" s="16" t="s">
        <v>1225</v>
      </c>
      <c r="P1380" s="16" t="s">
        <v>1225</v>
      </c>
      <c r="Q1380" s="16" t="s">
        <v>1322</v>
      </c>
      <c r="R1380" s="16" t="s">
        <v>3158</v>
      </c>
    </row>
    <row r="1381" spans="13:18" x14ac:dyDescent="0.2">
      <c r="M1381" s="20" t="str">
        <f t="shared" si="59"/>
        <v>LIMA LIMA MIRAFLORES</v>
      </c>
      <c r="N1381" s="20">
        <f t="shared" si="60"/>
        <v>0</v>
      </c>
      <c r="O1381" s="16" t="s">
        <v>1225</v>
      </c>
      <c r="P1381" s="16" t="s">
        <v>1225</v>
      </c>
      <c r="Q1381" s="16" t="s">
        <v>359</v>
      </c>
      <c r="R1381" s="16" t="s">
        <v>3159</v>
      </c>
    </row>
    <row r="1382" spans="13:18" x14ac:dyDescent="0.2">
      <c r="M1382" s="20" t="str">
        <f t="shared" si="59"/>
        <v>LIMA LIMA PACHACAMAC</v>
      </c>
      <c r="N1382" s="20">
        <f t="shared" si="60"/>
        <v>0</v>
      </c>
      <c r="O1382" s="16" t="s">
        <v>1225</v>
      </c>
      <c r="P1382" s="16" t="s">
        <v>1225</v>
      </c>
      <c r="Q1382" s="16" t="s">
        <v>1323</v>
      </c>
      <c r="R1382" s="16" t="s">
        <v>3160</v>
      </c>
    </row>
    <row r="1383" spans="13:18" x14ac:dyDescent="0.2">
      <c r="M1383" s="20" t="str">
        <f t="shared" si="59"/>
        <v>LIMA LIMA PUCUSANA</v>
      </c>
      <c r="N1383" s="20">
        <f t="shared" si="60"/>
        <v>0</v>
      </c>
      <c r="O1383" s="16" t="s">
        <v>1225</v>
      </c>
      <c r="P1383" s="16" t="s">
        <v>1225</v>
      </c>
      <c r="Q1383" s="16" t="s">
        <v>1324</v>
      </c>
      <c r="R1383" s="16" t="s">
        <v>3161</v>
      </c>
    </row>
    <row r="1384" spans="13:18" x14ac:dyDescent="0.2">
      <c r="M1384" s="20" t="str">
        <f t="shared" si="59"/>
        <v>LIMA LIMA PUEBLO LIBRE</v>
      </c>
      <c r="N1384" s="20">
        <f t="shared" si="60"/>
        <v>0</v>
      </c>
      <c r="O1384" s="16" t="s">
        <v>1225</v>
      </c>
      <c r="P1384" s="16" t="s">
        <v>1225</v>
      </c>
      <c r="Q1384" s="16" t="s">
        <v>189</v>
      </c>
      <c r="R1384" s="16" t="s">
        <v>3162</v>
      </c>
    </row>
    <row r="1385" spans="13:18" x14ac:dyDescent="0.2">
      <c r="M1385" s="20" t="str">
        <f t="shared" si="59"/>
        <v>LIMA LIMA PUENTE PIEDRA</v>
      </c>
      <c r="N1385" s="20">
        <f t="shared" si="60"/>
        <v>0</v>
      </c>
      <c r="O1385" s="16" t="s">
        <v>1225</v>
      </c>
      <c r="P1385" s="16" t="s">
        <v>1225</v>
      </c>
      <c r="Q1385" s="16" t="s">
        <v>1325</v>
      </c>
      <c r="R1385" s="16" t="s">
        <v>3163</v>
      </c>
    </row>
    <row r="1386" spans="13:18" x14ac:dyDescent="0.2">
      <c r="M1386" s="20" t="str">
        <f t="shared" si="59"/>
        <v>LIMA LIMA PUNTA HERMOSA</v>
      </c>
      <c r="N1386" s="20">
        <f t="shared" si="60"/>
        <v>0</v>
      </c>
      <c r="O1386" s="16" t="s">
        <v>1225</v>
      </c>
      <c r="P1386" s="16" t="s">
        <v>1225</v>
      </c>
      <c r="Q1386" s="16" t="s">
        <v>1326</v>
      </c>
      <c r="R1386" s="16" t="s">
        <v>3164</v>
      </c>
    </row>
    <row r="1387" spans="13:18" x14ac:dyDescent="0.2">
      <c r="M1387" s="20" t="str">
        <f t="shared" si="59"/>
        <v>LIMA LIMA PUNTA NEGRA</v>
      </c>
      <c r="N1387" s="20">
        <f t="shared" si="60"/>
        <v>0</v>
      </c>
      <c r="O1387" s="16" t="s">
        <v>1225</v>
      </c>
      <c r="P1387" s="16" t="s">
        <v>1225</v>
      </c>
      <c r="Q1387" s="16" t="s">
        <v>1327</v>
      </c>
      <c r="R1387" s="16" t="s">
        <v>3165</v>
      </c>
    </row>
    <row r="1388" spans="13:18" x14ac:dyDescent="0.2">
      <c r="M1388" s="20" t="str">
        <f t="shared" si="59"/>
        <v>LIMA LIMA RIMAC</v>
      </c>
      <c r="N1388" s="20">
        <f t="shared" si="60"/>
        <v>0</v>
      </c>
      <c r="O1388" s="16" t="s">
        <v>1225</v>
      </c>
      <c r="P1388" s="16" t="s">
        <v>1225</v>
      </c>
      <c r="Q1388" s="16" t="s">
        <v>1328</v>
      </c>
      <c r="R1388" s="16" t="s">
        <v>3166</v>
      </c>
    </row>
    <row r="1389" spans="13:18" x14ac:dyDescent="0.2">
      <c r="M1389" s="20" t="str">
        <f t="shared" si="59"/>
        <v>LIMA LIMA SAN BARTOLO</v>
      </c>
      <c r="N1389" s="20">
        <f t="shared" si="60"/>
        <v>0</v>
      </c>
      <c r="O1389" s="16" t="s">
        <v>1225</v>
      </c>
      <c r="P1389" s="16" t="s">
        <v>1225</v>
      </c>
      <c r="Q1389" s="16" t="s">
        <v>1329</v>
      </c>
      <c r="R1389" s="16" t="s">
        <v>3167</v>
      </c>
    </row>
    <row r="1390" spans="13:18" x14ac:dyDescent="0.2">
      <c r="M1390" s="20" t="str">
        <f t="shared" si="59"/>
        <v>LIMA LIMA SAN BORJA</v>
      </c>
      <c r="N1390" s="20">
        <f t="shared" si="60"/>
        <v>0</v>
      </c>
      <c r="O1390" s="16" t="s">
        <v>1225</v>
      </c>
      <c r="P1390" s="16" t="s">
        <v>1225</v>
      </c>
      <c r="Q1390" s="16" t="s">
        <v>1330</v>
      </c>
      <c r="R1390" s="16" t="s">
        <v>3168</v>
      </c>
    </row>
    <row r="1391" spans="13:18" x14ac:dyDescent="0.2">
      <c r="M1391" s="20" t="str">
        <f t="shared" si="59"/>
        <v>LIMA LIMA SAN ISIDRO</v>
      </c>
      <c r="N1391" s="20">
        <f t="shared" si="60"/>
        <v>0</v>
      </c>
      <c r="O1391" s="16" t="s">
        <v>1225</v>
      </c>
      <c r="P1391" s="16" t="s">
        <v>1225</v>
      </c>
      <c r="Q1391" s="16" t="s">
        <v>865</v>
      </c>
      <c r="R1391" s="16" t="s">
        <v>3169</v>
      </c>
    </row>
    <row r="1392" spans="13:18" x14ac:dyDescent="0.2">
      <c r="M1392" s="20" t="str">
        <f t="shared" si="59"/>
        <v>LIMA LIMA SAN JUAN DE LURIGANCHO</v>
      </c>
      <c r="N1392" s="20">
        <f t="shared" si="60"/>
        <v>0</v>
      </c>
      <c r="O1392" s="16" t="s">
        <v>1225</v>
      </c>
      <c r="P1392" s="16" t="s">
        <v>1225</v>
      </c>
      <c r="Q1392" s="16" t="s">
        <v>1331</v>
      </c>
      <c r="R1392" s="16" t="s">
        <v>3170</v>
      </c>
    </row>
    <row r="1393" spans="13:18" x14ac:dyDescent="0.2">
      <c r="M1393" s="20" t="str">
        <f t="shared" si="59"/>
        <v>LIMA LIMA SAN JUAN DE MIRAFLORES</v>
      </c>
      <c r="N1393" s="20">
        <f t="shared" si="60"/>
        <v>0</v>
      </c>
      <c r="O1393" s="16" t="s">
        <v>1225</v>
      </c>
      <c r="P1393" s="16" t="s">
        <v>1225</v>
      </c>
      <c r="Q1393" s="16" t="s">
        <v>1332</v>
      </c>
      <c r="R1393" s="16" t="s">
        <v>3171</v>
      </c>
    </row>
    <row r="1394" spans="13:18" x14ac:dyDescent="0.2">
      <c r="M1394" s="20" t="str">
        <f t="shared" si="59"/>
        <v>LIMA LIMA SAN LUIS</v>
      </c>
      <c r="N1394" s="20">
        <f t="shared" si="60"/>
        <v>0</v>
      </c>
      <c r="O1394" s="16" t="s">
        <v>1225</v>
      </c>
      <c r="P1394" s="16" t="s">
        <v>1225</v>
      </c>
      <c r="Q1394" s="16" t="s">
        <v>139</v>
      </c>
      <c r="R1394" s="16" t="s">
        <v>3172</v>
      </c>
    </row>
    <row r="1395" spans="13:18" x14ac:dyDescent="0.2">
      <c r="M1395" s="20" t="str">
        <f t="shared" si="59"/>
        <v>LIMA LIMA SAN MARTIN DE PORRES</v>
      </c>
      <c r="N1395" s="20">
        <f t="shared" si="60"/>
        <v>0</v>
      </c>
      <c r="O1395" s="16" t="s">
        <v>1225</v>
      </c>
      <c r="P1395" s="16" t="s">
        <v>1225</v>
      </c>
      <c r="Q1395" s="16" t="s">
        <v>1333</v>
      </c>
      <c r="R1395" s="16" t="s">
        <v>3173</v>
      </c>
    </row>
    <row r="1396" spans="13:18" x14ac:dyDescent="0.2">
      <c r="M1396" s="20" t="str">
        <f t="shared" si="59"/>
        <v>LIMA LIMA SAN MIGUEL</v>
      </c>
      <c r="N1396" s="20">
        <f t="shared" si="60"/>
        <v>0</v>
      </c>
      <c r="O1396" s="16" t="s">
        <v>1225</v>
      </c>
      <c r="P1396" s="16" t="s">
        <v>1225</v>
      </c>
      <c r="Q1396" s="16" t="s">
        <v>504</v>
      </c>
      <c r="R1396" s="16" t="s">
        <v>3174</v>
      </c>
    </row>
    <row r="1397" spans="13:18" x14ac:dyDescent="0.2">
      <c r="M1397" s="20" t="str">
        <f t="shared" si="59"/>
        <v>LIMA LIMA SANTA ANITA</v>
      </c>
      <c r="N1397" s="20">
        <f t="shared" si="60"/>
        <v>0</v>
      </c>
      <c r="O1397" s="16" t="s">
        <v>1225</v>
      </c>
      <c r="P1397" s="16" t="s">
        <v>1225</v>
      </c>
      <c r="Q1397" s="16" t="s">
        <v>1334</v>
      </c>
      <c r="R1397" s="16" t="s">
        <v>3175</v>
      </c>
    </row>
    <row r="1398" spans="13:18" x14ac:dyDescent="0.2">
      <c r="M1398" s="20" t="str">
        <f t="shared" si="59"/>
        <v>LIMA LIMA SANTA MARIA DEL MAR</v>
      </c>
      <c r="N1398" s="20">
        <f t="shared" si="60"/>
        <v>0</v>
      </c>
      <c r="O1398" s="16" t="s">
        <v>1225</v>
      </c>
      <c r="P1398" s="16" t="s">
        <v>1225</v>
      </c>
      <c r="Q1398" s="16" t="s">
        <v>1335</v>
      </c>
      <c r="R1398" s="16" t="s">
        <v>3176</v>
      </c>
    </row>
    <row r="1399" spans="13:18" x14ac:dyDescent="0.2">
      <c r="M1399" s="20" t="str">
        <f t="shared" si="59"/>
        <v>LIMA LIMA SANTA ROSA</v>
      </c>
      <c r="N1399" s="20">
        <f t="shared" si="60"/>
        <v>0</v>
      </c>
      <c r="O1399" s="16" t="s">
        <v>1225</v>
      </c>
      <c r="P1399" s="16" t="s">
        <v>1225</v>
      </c>
      <c r="Q1399" s="16" t="s">
        <v>85</v>
      </c>
      <c r="R1399" s="16" t="s">
        <v>3177</v>
      </c>
    </row>
    <row r="1400" spans="13:18" x14ac:dyDescent="0.2">
      <c r="M1400" s="20" t="str">
        <f t="shared" si="59"/>
        <v>LIMA LIMA SANTIAGO DE SURCO</v>
      </c>
      <c r="N1400" s="20">
        <f t="shared" si="60"/>
        <v>0</v>
      </c>
      <c r="O1400" s="16" t="s">
        <v>1225</v>
      </c>
      <c r="P1400" s="16" t="s">
        <v>1225</v>
      </c>
      <c r="Q1400" s="16" t="s">
        <v>1336</v>
      </c>
      <c r="R1400" s="16" t="s">
        <v>3178</v>
      </c>
    </row>
    <row r="1401" spans="13:18" x14ac:dyDescent="0.2">
      <c r="M1401" s="20" t="str">
        <f t="shared" si="59"/>
        <v>LIMA LIMA SURQUILLO</v>
      </c>
      <c r="N1401" s="20">
        <f t="shared" si="60"/>
        <v>0</v>
      </c>
      <c r="O1401" s="16" t="s">
        <v>1225</v>
      </c>
      <c r="P1401" s="16" t="s">
        <v>1225</v>
      </c>
      <c r="Q1401" s="16" t="s">
        <v>1337</v>
      </c>
      <c r="R1401" s="16" t="s">
        <v>3179</v>
      </c>
    </row>
    <row r="1402" spans="13:18" x14ac:dyDescent="0.2">
      <c r="M1402" s="20" t="str">
        <f t="shared" si="59"/>
        <v>LIMA LIMA VILLA EL SALVADOR</v>
      </c>
      <c r="N1402" s="20">
        <f t="shared" si="60"/>
        <v>0</v>
      </c>
      <c r="O1402" s="16" t="s">
        <v>1225</v>
      </c>
      <c r="P1402" s="16" t="s">
        <v>1225</v>
      </c>
      <c r="Q1402" s="16" t="s">
        <v>1338</v>
      </c>
      <c r="R1402" s="16" t="s">
        <v>3180</v>
      </c>
    </row>
    <row r="1403" spans="13:18" x14ac:dyDescent="0.2">
      <c r="M1403" s="20" t="str">
        <f t="shared" si="59"/>
        <v>LIMA LIMA VILLA MARIA DEL TRIUNFO</v>
      </c>
      <c r="N1403" s="20">
        <f t="shared" si="60"/>
        <v>0</v>
      </c>
      <c r="O1403" s="16" t="s">
        <v>1225</v>
      </c>
      <c r="P1403" s="16" t="s">
        <v>1225</v>
      </c>
      <c r="Q1403" s="16" t="s">
        <v>1339</v>
      </c>
      <c r="R1403" s="16" t="s">
        <v>3181</v>
      </c>
    </row>
    <row r="1404" spans="13:18" x14ac:dyDescent="0.2">
      <c r="M1404" s="20" t="str">
        <f t="shared" si="59"/>
        <v>LIMA OYON ANDAJES</v>
      </c>
      <c r="N1404" s="20">
        <f t="shared" si="60"/>
        <v>0</v>
      </c>
      <c r="O1404" s="16" t="s">
        <v>1225</v>
      </c>
      <c r="P1404" s="16" t="s">
        <v>1340</v>
      </c>
      <c r="Q1404" s="16" t="s">
        <v>1341</v>
      </c>
      <c r="R1404" s="16" t="s">
        <v>3182</v>
      </c>
    </row>
    <row r="1405" spans="13:18" x14ac:dyDescent="0.2">
      <c r="M1405" s="20" t="str">
        <f t="shared" si="59"/>
        <v>LIMA OYON CAUJUL</v>
      </c>
      <c r="N1405" s="20">
        <f t="shared" si="60"/>
        <v>0</v>
      </c>
      <c r="O1405" s="16" t="s">
        <v>1225</v>
      </c>
      <c r="P1405" s="16" t="s">
        <v>1340</v>
      </c>
      <c r="Q1405" s="16" t="s">
        <v>1342</v>
      </c>
      <c r="R1405" s="16" t="s">
        <v>3183</v>
      </c>
    </row>
    <row r="1406" spans="13:18" x14ac:dyDescent="0.2">
      <c r="M1406" s="20" t="str">
        <f t="shared" si="59"/>
        <v>LIMA OYON COCHAMARCA</v>
      </c>
      <c r="N1406" s="20">
        <f t="shared" si="60"/>
        <v>0</v>
      </c>
      <c r="O1406" s="16" t="s">
        <v>1225</v>
      </c>
      <c r="P1406" s="16" t="s">
        <v>1340</v>
      </c>
      <c r="Q1406" s="16" t="s">
        <v>1343</v>
      </c>
      <c r="R1406" s="16" t="s">
        <v>3184</v>
      </c>
    </row>
    <row r="1407" spans="13:18" x14ac:dyDescent="0.2">
      <c r="M1407" s="20" t="str">
        <f t="shared" si="59"/>
        <v>LIMA OYON NAVAN</v>
      </c>
      <c r="N1407" s="20">
        <f t="shared" si="60"/>
        <v>0</v>
      </c>
      <c r="O1407" s="16" t="s">
        <v>1225</v>
      </c>
      <c r="P1407" s="16" t="s">
        <v>1340</v>
      </c>
      <c r="Q1407" s="16" t="s">
        <v>1344</v>
      </c>
      <c r="R1407" s="16" t="s">
        <v>3185</v>
      </c>
    </row>
    <row r="1408" spans="13:18" x14ac:dyDescent="0.2">
      <c r="M1408" s="20" t="str">
        <f t="shared" si="59"/>
        <v>LIMA OYON OYON</v>
      </c>
      <c r="N1408" s="20">
        <f t="shared" si="60"/>
        <v>0</v>
      </c>
      <c r="O1408" s="16" t="s">
        <v>1225</v>
      </c>
      <c r="P1408" s="16" t="s">
        <v>1340</v>
      </c>
      <c r="Q1408" s="16" t="s">
        <v>1340</v>
      </c>
      <c r="R1408" s="16" t="s">
        <v>3186</v>
      </c>
    </row>
    <row r="1409" spans="13:18" x14ac:dyDescent="0.2">
      <c r="M1409" s="20" t="str">
        <f t="shared" si="59"/>
        <v>LIMA OYON PACHANGARA</v>
      </c>
      <c r="N1409" s="20">
        <f t="shared" si="60"/>
        <v>0</v>
      </c>
      <c r="O1409" s="16" t="s">
        <v>1225</v>
      </c>
      <c r="P1409" s="16" t="s">
        <v>1340</v>
      </c>
      <c r="Q1409" s="16" t="s">
        <v>1345</v>
      </c>
      <c r="R1409" s="16" t="s">
        <v>3187</v>
      </c>
    </row>
    <row r="1410" spans="13:18" x14ac:dyDescent="0.2">
      <c r="M1410" s="20" t="str">
        <f t="shared" si="59"/>
        <v>LIMA YAUYOS ALIS</v>
      </c>
      <c r="N1410" s="20">
        <f t="shared" si="60"/>
        <v>0</v>
      </c>
      <c r="O1410" s="16" t="s">
        <v>1225</v>
      </c>
      <c r="P1410" s="16" t="s">
        <v>1089</v>
      </c>
      <c r="Q1410" s="16" t="s">
        <v>1346</v>
      </c>
      <c r="R1410" s="16" t="s">
        <v>3188</v>
      </c>
    </row>
    <row r="1411" spans="13:18" x14ac:dyDescent="0.2">
      <c r="M1411" s="20" t="str">
        <f t="shared" ref="M1411:M1474" si="61">O1411&amp;" "&amp;P1411&amp;" "&amp;Q1411</f>
        <v>LIMA YAUYOS ALLAUCA</v>
      </c>
      <c r="N1411" s="20">
        <f t="shared" ref="N1411:N1474" si="62">IF(AND($D$9=O1411,$D$10=P1411),N1410+1,0)</f>
        <v>0</v>
      </c>
      <c r="O1411" s="16" t="s">
        <v>1225</v>
      </c>
      <c r="P1411" s="16" t="s">
        <v>1089</v>
      </c>
      <c r="Q1411" s="16" t="s">
        <v>1347</v>
      </c>
      <c r="R1411" s="16" t="s">
        <v>3189</v>
      </c>
    </row>
    <row r="1412" spans="13:18" x14ac:dyDescent="0.2">
      <c r="M1412" s="20" t="str">
        <f t="shared" si="61"/>
        <v>LIMA YAUYOS AYAVIRI</v>
      </c>
      <c r="N1412" s="20">
        <f t="shared" si="62"/>
        <v>0</v>
      </c>
      <c r="O1412" s="16" t="s">
        <v>1225</v>
      </c>
      <c r="P1412" s="16" t="s">
        <v>1089</v>
      </c>
      <c r="Q1412" s="16" t="s">
        <v>1348</v>
      </c>
      <c r="R1412" s="16" t="s">
        <v>3190</v>
      </c>
    </row>
    <row r="1413" spans="13:18" x14ac:dyDescent="0.2">
      <c r="M1413" s="20" t="str">
        <f t="shared" si="61"/>
        <v>LIMA YAUYOS AZANGARO</v>
      </c>
      <c r="N1413" s="20">
        <f t="shared" si="62"/>
        <v>0</v>
      </c>
      <c r="O1413" s="16" t="s">
        <v>1225</v>
      </c>
      <c r="P1413" s="16" t="s">
        <v>1089</v>
      </c>
      <c r="Q1413" s="16" t="s">
        <v>1349</v>
      </c>
      <c r="R1413" s="16" t="s">
        <v>3191</v>
      </c>
    </row>
    <row r="1414" spans="13:18" x14ac:dyDescent="0.2">
      <c r="M1414" s="20" t="str">
        <f t="shared" si="61"/>
        <v>LIMA YAUYOS CACRA</v>
      </c>
      <c r="N1414" s="20">
        <f t="shared" si="62"/>
        <v>0</v>
      </c>
      <c r="O1414" s="16" t="s">
        <v>1225</v>
      </c>
      <c r="P1414" s="16" t="s">
        <v>1089</v>
      </c>
      <c r="Q1414" s="16" t="s">
        <v>1350</v>
      </c>
      <c r="R1414" s="16" t="s">
        <v>3192</v>
      </c>
    </row>
    <row r="1415" spans="13:18" x14ac:dyDescent="0.2">
      <c r="M1415" s="20" t="str">
        <f t="shared" si="61"/>
        <v>LIMA YAUYOS CARANIA</v>
      </c>
      <c r="N1415" s="20">
        <f t="shared" si="62"/>
        <v>0</v>
      </c>
      <c r="O1415" s="16" t="s">
        <v>1225</v>
      </c>
      <c r="P1415" s="16" t="s">
        <v>1089</v>
      </c>
      <c r="Q1415" s="16" t="s">
        <v>1351</v>
      </c>
      <c r="R1415" s="16" t="s">
        <v>3193</v>
      </c>
    </row>
    <row r="1416" spans="13:18" x14ac:dyDescent="0.2">
      <c r="M1416" s="20" t="str">
        <f t="shared" si="61"/>
        <v>LIMA YAUYOS CATAHUASI</v>
      </c>
      <c r="N1416" s="20">
        <f t="shared" si="62"/>
        <v>0</v>
      </c>
      <c r="O1416" s="16" t="s">
        <v>1225</v>
      </c>
      <c r="P1416" s="16" t="s">
        <v>1089</v>
      </c>
      <c r="Q1416" s="16" t="s">
        <v>1352</v>
      </c>
      <c r="R1416" s="16" t="s">
        <v>3194</v>
      </c>
    </row>
    <row r="1417" spans="13:18" x14ac:dyDescent="0.2">
      <c r="M1417" s="20" t="str">
        <f t="shared" si="61"/>
        <v>LIMA YAUYOS CHOCOS</v>
      </c>
      <c r="N1417" s="20">
        <f t="shared" si="62"/>
        <v>0</v>
      </c>
      <c r="O1417" s="16" t="s">
        <v>1225</v>
      </c>
      <c r="P1417" s="16" t="s">
        <v>1089</v>
      </c>
      <c r="Q1417" s="16" t="s">
        <v>1353</v>
      </c>
      <c r="R1417" s="16" t="s">
        <v>3195</v>
      </c>
    </row>
    <row r="1418" spans="13:18" x14ac:dyDescent="0.2">
      <c r="M1418" s="20" t="str">
        <f t="shared" si="61"/>
        <v>LIMA YAUYOS COCHAS</v>
      </c>
      <c r="N1418" s="20">
        <f t="shared" si="62"/>
        <v>0</v>
      </c>
      <c r="O1418" s="16" t="s">
        <v>1225</v>
      </c>
      <c r="P1418" s="16" t="s">
        <v>1089</v>
      </c>
      <c r="Q1418" s="16" t="s">
        <v>208</v>
      </c>
      <c r="R1418" s="16" t="s">
        <v>3196</v>
      </c>
    </row>
    <row r="1419" spans="13:18" x14ac:dyDescent="0.2">
      <c r="M1419" s="20" t="str">
        <f t="shared" si="61"/>
        <v>LIMA YAUYOS COLONIA</v>
      </c>
      <c r="N1419" s="20">
        <f t="shared" si="62"/>
        <v>0</v>
      </c>
      <c r="O1419" s="16" t="s">
        <v>1225</v>
      </c>
      <c r="P1419" s="16" t="s">
        <v>1089</v>
      </c>
      <c r="Q1419" s="16" t="s">
        <v>1354</v>
      </c>
      <c r="R1419" s="16" t="s">
        <v>3197</v>
      </c>
    </row>
    <row r="1420" spans="13:18" x14ac:dyDescent="0.2">
      <c r="M1420" s="20" t="str">
        <f t="shared" si="61"/>
        <v>LIMA YAUYOS HONGOS</v>
      </c>
      <c r="N1420" s="20">
        <f t="shared" si="62"/>
        <v>0</v>
      </c>
      <c r="O1420" s="16" t="s">
        <v>1225</v>
      </c>
      <c r="P1420" s="16" t="s">
        <v>1089</v>
      </c>
      <c r="Q1420" s="16" t="s">
        <v>1355</v>
      </c>
      <c r="R1420" s="16" t="s">
        <v>3198</v>
      </c>
    </row>
    <row r="1421" spans="13:18" x14ac:dyDescent="0.2">
      <c r="M1421" s="20" t="str">
        <f t="shared" si="61"/>
        <v>LIMA YAUYOS HUAMPARA</v>
      </c>
      <c r="N1421" s="20">
        <f t="shared" si="62"/>
        <v>0</v>
      </c>
      <c r="O1421" s="16" t="s">
        <v>1225</v>
      </c>
      <c r="P1421" s="16" t="s">
        <v>1089</v>
      </c>
      <c r="Q1421" s="16" t="s">
        <v>1356</v>
      </c>
      <c r="R1421" s="16" t="s">
        <v>3199</v>
      </c>
    </row>
    <row r="1422" spans="13:18" x14ac:dyDescent="0.2">
      <c r="M1422" s="20" t="str">
        <f t="shared" si="61"/>
        <v>LIMA YAUYOS HUANCAYA</v>
      </c>
      <c r="N1422" s="20">
        <f t="shared" si="62"/>
        <v>0</v>
      </c>
      <c r="O1422" s="16" t="s">
        <v>1225</v>
      </c>
      <c r="P1422" s="16" t="s">
        <v>1089</v>
      </c>
      <c r="Q1422" s="16" t="s">
        <v>1357</v>
      </c>
      <c r="R1422" s="16" t="s">
        <v>3200</v>
      </c>
    </row>
    <row r="1423" spans="13:18" x14ac:dyDescent="0.2">
      <c r="M1423" s="20" t="str">
        <f t="shared" si="61"/>
        <v>LIMA YAUYOS HUANGASCAR</v>
      </c>
      <c r="N1423" s="20">
        <f t="shared" si="62"/>
        <v>0</v>
      </c>
      <c r="O1423" s="16" t="s">
        <v>1225</v>
      </c>
      <c r="P1423" s="16" t="s">
        <v>1089</v>
      </c>
      <c r="Q1423" s="16" t="s">
        <v>1358</v>
      </c>
      <c r="R1423" s="16" t="s">
        <v>3201</v>
      </c>
    </row>
    <row r="1424" spans="13:18" x14ac:dyDescent="0.2">
      <c r="M1424" s="20" t="str">
        <f t="shared" si="61"/>
        <v>LIMA YAUYOS HUANTAN</v>
      </c>
      <c r="N1424" s="20">
        <f t="shared" si="62"/>
        <v>0</v>
      </c>
      <c r="O1424" s="16" t="s">
        <v>1225</v>
      </c>
      <c r="P1424" s="16" t="s">
        <v>1089</v>
      </c>
      <c r="Q1424" s="16" t="s">
        <v>1359</v>
      </c>
      <c r="R1424" s="16" t="s">
        <v>3202</v>
      </c>
    </row>
    <row r="1425" spans="13:18" x14ac:dyDescent="0.2">
      <c r="M1425" s="20" t="str">
        <f t="shared" si="61"/>
        <v>LIMA YAUYOS HUAÑEC</v>
      </c>
      <c r="N1425" s="20">
        <f t="shared" si="62"/>
        <v>0</v>
      </c>
      <c r="O1425" s="16" t="s">
        <v>1225</v>
      </c>
      <c r="P1425" s="16" t="s">
        <v>1089</v>
      </c>
      <c r="Q1425" s="16" t="s">
        <v>1360</v>
      </c>
      <c r="R1425" s="16" t="s">
        <v>3202</v>
      </c>
    </row>
    <row r="1426" spans="13:18" x14ac:dyDescent="0.2">
      <c r="M1426" s="20" t="str">
        <f t="shared" si="61"/>
        <v>LIMA YAUYOS LARAOS</v>
      </c>
      <c r="N1426" s="20">
        <f t="shared" si="62"/>
        <v>0</v>
      </c>
      <c r="O1426" s="16" t="s">
        <v>1225</v>
      </c>
      <c r="P1426" s="16" t="s">
        <v>1089</v>
      </c>
      <c r="Q1426" s="16" t="s">
        <v>1276</v>
      </c>
      <c r="R1426" s="16" t="s">
        <v>3203</v>
      </c>
    </row>
    <row r="1427" spans="13:18" x14ac:dyDescent="0.2">
      <c r="M1427" s="20" t="str">
        <f t="shared" si="61"/>
        <v>LIMA YAUYOS LINCHA</v>
      </c>
      <c r="N1427" s="20">
        <f t="shared" si="62"/>
        <v>0</v>
      </c>
      <c r="O1427" s="16" t="s">
        <v>1225</v>
      </c>
      <c r="P1427" s="16" t="s">
        <v>1089</v>
      </c>
      <c r="Q1427" s="16" t="s">
        <v>1361</v>
      </c>
      <c r="R1427" s="16" t="s">
        <v>3204</v>
      </c>
    </row>
    <row r="1428" spans="13:18" x14ac:dyDescent="0.2">
      <c r="M1428" s="20" t="str">
        <f t="shared" si="61"/>
        <v>LIMA YAUYOS MADEAN</v>
      </c>
      <c r="N1428" s="20">
        <f t="shared" si="62"/>
        <v>0</v>
      </c>
      <c r="O1428" s="16" t="s">
        <v>1225</v>
      </c>
      <c r="P1428" s="16" t="s">
        <v>1089</v>
      </c>
      <c r="Q1428" s="16" t="s">
        <v>1362</v>
      </c>
      <c r="R1428" s="16" t="s">
        <v>3205</v>
      </c>
    </row>
    <row r="1429" spans="13:18" x14ac:dyDescent="0.2">
      <c r="M1429" s="20" t="str">
        <f t="shared" si="61"/>
        <v>LIMA YAUYOS MIRAFLORES</v>
      </c>
      <c r="N1429" s="20">
        <f t="shared" si="62"/>
        <v>0</v>
      </c>
      <c r="O1429" s="16" t="s">
        <v>1225</v>
      </c>
      <c r="P1429" s="16" t="s">
        <v>1089</v>
      </c>
      <c r="Q1429" s="16" t="s">
        <v>359</v>
      </c>
      <c r="R1429" s="16" t="s">
        <v>3206</v>
      </c>
    </row>
    <row r="1430" spans="13:18" x14ac:dyDescent="0.2">
      <c r="M1430" s="20" t="str">
        <f t="shared" si="61"/>
        <v>LIMA YAUYOS OMAS</v>
      </c>
      <c r="N1430" s="20">
        <f t="shared" si="62"/>
        <v>0</v>
      </c>
      <c r="O1430" s="16" t="s">
        <v>1225</v>
      </c>
      <c r="P1430" s="16" t="s">
        <v>1089</v>
      </c>
      <c r="Q1430" s="16" t="s">
        <v>1363</v>
      </c>
      <c r="R1430" s="16" t="s">
        <v>3207</v>
      </c>
    </row>
    <row r="1431" spans="13:18" x14ac:dyDescent="0.2">
      <c r="M1431" s="20" t="str">
        <f t="shared" si="61"/>
        <v>LIMA YAUYOS PUTINZA</v>
      </c>
      <c r="N1431" s="20">
        <f t="shared" si="62"/>
        <v>0</v>
      </c>
      <c r="O1431" s="16" t="s">
        <v>1225</v>
      </c>
      <c r="P1431" s="16" t="s">
        <v>1089</v>
      </c>
      <c r="Q1431" s="16" t="s">
        <v>1364</v>
      </c>
      <c r="R1431" s="16" t="s">
        <v>3208</v>
      </c>
    </row>
    <row r="1432" spans="13:18" x14ac:dyDescent="0.2">
      <c r="M1432" s="20" t="str">
        <f t="shared" si="61"/>
        <v>LIMA YAUYOS QUINCHES</v>
      </c>
      <c r="N1432" s="20">
        <f t="shared" si="62"/>
        <v>0</v>
      </c>
      <c r="O1432" s="16" t="s">
        <v>1225</v>
      </c>
      <c r="P1432" s="16" t="s">
        <v>1089</v>
      </c>
      <c r="Q1432" s="16" t="s">
        <v>1365</v>
      </c>
      <c r="R1432" s="16" t="s">
        <v>3209</v>
      </c>
    </row>
    <row r="1433" spans="13:18" x14ac:dyDescent="0.2">
      <c r="M1433" s="20" t="str">
        <f t="shared" si="61"/>
        <v>LIMA YAUYOS QUINOCAY</v>
      </c>
      <c r="N1433" s="20">
        <f t="shared" si="62"/>
        <v>0</v>
      </c>
      <c r="O1433" s="16" t="s">
        <v>1225</v>
      </c>
      <c r="P1433" s="16" t="s">
        <v>1089</v>
      </c>
      <c r="Q1433" s="16" t="s">
        <v>1366</v>
      </c>
      <c r="R1433" s="16" t="s">
        <v>3210</v>
      </c>
    </row>
    <row r="1434" spans="13:18" x14ac:dyDescent="0.2">
      <c r="M1434" s="20" t="str">
        <f t="shared" si="61"/>
        <v>LIMA YAUYOS SAN JOAQUIN</v>
      </c>
      <c r="N1434" s="20">
        <f t="shared" si="62"/>
        <v>0</v>
      </c>
      <c r="O1434" s="16" t="s">
        <v>1225</v>
      </c>
      <c r="P1434" s="16" t="s">
        <v>1089</v>
      </c>
      <c r="Q1434" s="16" t="s">
        <v>1367</v>
      </c>
      <c r="R1434" s="16" t="s">
        <v>3211</v>
      </c>
    </row>
    <row r="1435" spans="13:18" x14ac:dyDescent="0.2">
      <c r="M1435" s="20" t="str">
        <f t="shared" si="61"/>
        <v>LIMA YAUYOS SAN PEDRO DE PILAS</v>
      </c>
      <c r="N1435" s="20">
        <f t="shared" si="62"/>
        <v>0</v>
      </c>
      <c r="O1435" s="16" t="s">
        <v>1225</v>
      </c>
      <c r="P1435" s="16" t="s">
        <v>1089</v>
      </c>
      <c r="Q1435" s="16" t="s">
        <v>1368</v>
      </c>
      <c r="R1435" s="16" t="s">
        <v>3212</v>
      </c>
    </row>
    <row r="1436" spans="13:18" x14ac:dyDescent="0.2">
      <c r="M1436" s="20" t="str">
        <f t="shared" si="61"/>
        <v>LIMA YAUYOS TANTA</v>
      </c>
      <c r="N1436" s="20">
        <f t="shared" si="62"/>
        <v>0</v>
      </c>
      <c r="O1436" s="16" t="s">
        <v>1225</v>
      </c>
      <c r="P1436" s="16" t="s">
        <v>1089</v>
      </c>
      <c r="Q1436" s="16" t="s">
        <v>1369</v>
      </c>
      <c r="R1436" s="16" t="s">
        <v>3213</v>
      </c>
    </row>
    <row r="1437" spans="13:18" x14ac:dyDescent="0.2">
      <c r="M1437" s="20" t="str">
        <f t="shared" si="61"/>
        <v>LIMA YAUYOS TAURIPAMPA</v>
      </c>
      <c r="N1437" s="20">
        <f t="shared" si="62"/>
        <v>0</v>
      </c>
      <c r="O1437" s="16" t="s">
        <v>1225</v>
      </c>
      <c r="P1437" s="16" t="s">
        <v>1089</v>
      </c>
      <c r="Q1437" s="16" t="s">
        <v>1370</v>
      </c>
      <c r="R1437" s="16" t="s">
        <v>3214</v>
      </c>
    </row>
    <row r="1438" spans="13:18" x14ac:dyDescent="0.2">
      <c r="M1438" s="20" t="str">
        <f t="shared" si="61"/>
        <v>LIMA YAUYOS TOMAS</v>
      </c>
      <c r="N1438" s="20">
        <f t="shared" si="62"/>
        <v>0</v>
      </c>
      <c r="O1438" s="16" t="s">
        <v>1225</v>
      </c>
      <c r="P1438" s="16" t="s">
        <v>1089</v>
      </c>
      <c r="Q1438" s="16" t="s">
        <v>1371</v>
      </c>
      <c r="R1438" s="16" t="s">
        <v>3215</v>
      </c>
    </row>
    <row r="1439" spans="13:18" x14ac:dyDescent="0.2">
      <c r="M1439" s="20" t="str">
        <f t="shared" si="61"/>
        <v>LIMA YAUYOS TUPE</v>
      </c>
      <c r="N1439" s="20">
        <f t="shared" si="62"/>
        <v>0</v>
      </c>
      <c r="O1439" s="16" t="s">
        <v>1225</v>
      </c>
      <c r="P1439" s="16" t="s">
        <v>1089</v>
      </c>
      <c r="Q1439" s="16" t="s">
        <v>1372</v>
      </c>
      <c r="R1439" s="16" t="s">
        <v>3216</v>
      </c>
    </row>
    <row r="1440" spans="13:18" x14ac:dyDescent="0.2">
      <c r="M1440" s="20" t="str">
        <f t="shared" si="61"/>
        <v>LIMA YAUYOS VIÑAC</v>
      </c>
      <c r="N1440" s="20">
        <f t="shared" si="62"/>
        <v>0</v>
      </c>
      <c r="O1440" s="16" t="s">
        <v>1225</v>
      </c>
      <c r="P1440" s="16" t="s">
        <v>1089</v>
      </c>
      <c r="Q1440" s="16" t="s">
        <v>1373</v>
      </c>
      <c r="R1440" s="16" t="s">
        <v>3217</v>
      </c>
    </row>
    <row r="1441" spans="13:18" x14ac:dyDescent="0.2">
      <c r="M1441" s="20" t="str">
        <f t="shared" si="61"/>
        <v>LIMA YAUYOS VITIS</v>
      </c>
      <c r="N1441" s="20">
        <f t="shared" si="62"/>
        <v>0</v>
      </c>
      <c r="O1441" s="16" t="s">
        <v>1225</v>
      </c>
      <c r="P1441" s="16" t="s">
        <v>1089</v>
      </c>
      <c r="Q1441" s="16" t="s">
        <v>1374</v>
      </c>
      <c r="R1441" s="16" t="s">
        <v>3218</v>
      </c>
    </row>
    <row r="1442" spans="13:18" x14ac:dyDescent="0.2">
      <c r="M1442" s="20" t="str">
        <f t="shared" si="61"/>
        <v>LIMA YAUYOS YAUYOS</v>
      </c>
      <c r="N1442" s="20">
        <f t="shared" si="62"/>
        <v>0</v>
      </c>
      <c r="O1442" s="16" t="s">
        <v>1225</v>
      </c>
      <c r="P1442" s="16" t="s">
        <v>1089</v>
      </c>
      <c r="Q1442" s="16" t="s">
        <v>1089</v>
      </c>
      <c r="R1442" s="16" t="s">
        <v>3219</v>
      </c>
    </row>
    <row r="1443" spans="13:18" x14ac:dyDescent="0.2">
      <c r="M1443" s="20" t="str">
        <f t="shared" si="61"/>
        <v>LORETO ALTO AMAZONAS BALSAPUERTO</v>
      </c>
      <c r="N1443" s="20">
        <f t="shared" si="62"/>
        <v>0</v>
      </c>
      <c r="O1443" s="16" t="s">
        <v>1375</v>
      </c>
      <c r="P1443" s="16" t="s">
        <v>1376</v>
      </c>
      <c r="Q1443" s="16" t="s">
        <v>1377</v>
      </c>
      <c r="R1443" s="16" t="s">
        <v>3220</v>
      </c>
    </row>
    <row r="1444" spans="13:18" x14ac:dyDescent="0.2">
      <c r="M1444" s="20" t="str">
        <f t="shared" si="61"/>
        <v>LORETO ALTO AMAZONAS JEBEROS</v>
      </c>
      <c r="N1444" s="20">
        <f t="shared" si="62"/>
        <v>0</v>
      </c>
      <c r="O1444" s="16" t="s">
        <v>1375</v>
      </c>
      <c r="P1444" s="16" t="s">
        <v>1376</v>
      </c>
      <c r="Q1444" s="16" t="s">
        <v>1378</v>
      </c>
      <c r="R1444" s="16" t="s">
        <v>3221</v>
      </c>
    </row>
    <row r="1445" spans="13:18" x14ac:dyDescent="0.2">
      <c r="M1445" s="20" t="str">
        <f t="shared" si="61"/>
        <v>LORETO ALTO AMAZONAS LAGUNAS</v>
      </c>
      <c r="N1445" s="20">
        <f t="shared" si="62"/>
        <v>0</v>
      </c>
      <c r="O1445" s="16" t="s">
        <v>1375</v>
      </c>
      <c r="P1445" s="16" t="s">
        <v>1376</v>
      </c>
      <c r="Q1445" s="16" t="s">
        <v>1199</v>
      </c>
      <c r="R1445" s="16" t="s">
        <v>3222</v>
      </c>
    </row>
    <row r="1446" spans="13:18" x14ac:dyDescent="0.2">
      <c r="M1446" s="20" t="str">
        <f t="shared" si="61"/>
        <v>LORETO ALTO AMAZONAS SANTA CRUZ</v>
      </c>
      <c r="N1446" s="20">
        <f t="shared" si="62"/>
        <v>0</v>
      </c>
      <c r="O1446" s="16" t="s">
        <v>1375</v>
      </c>
      <c r="P1446" s="16" t="s">
        <v>1376</v>
      </c>
      <c r="Q1446" s="16" t="s">
        <v>190</v>
      </c>
      <c r="R1446" s="16" t="s">
        <v>3223</v>
      </c>
    </row>
    <row r="1447" spans="13:18" x14ac:dyDescent="0.2">
      <c r="M1447" s="20" t="str">
        <f t="shared" si="61"/>
        <v>LORETO ALTO AMAZONAS TENIENTE CESAR LOPEZ ROJAS</v>
      </c>
      <c r="N1447" s="20">
        <f t="shared" si="62"/>
        <v>0</v>
      </c>
      <c r="O1447" s="16" t="s">
        <v>1375</v>
      </c>
      <c r="P1447" s="16" t="s">
        <v>1376</v>
      </c>
      <c r="Q1447" s="16" t="s">
        <v>1379</v>
      </c>
      <c r="R1447" s="16" t="s">
        <v>3224</v>
      </c>
    </row>
    <row r="1448" spans="13:18" x14ac:dyDescent="0.2">
      <c r="M1448" s="20" t="str">
        <f t="shared" si="61"/>
        <v>LORETO ALTO AMAZONAS YURIMAGUAS</v>
      </c>
      <c r="N1448" s="20">
        <f t="shared" si="62"/>
        <v>0</v>
      </c>
      <c r="O1448" s="16" t="s">
        <v>1375</v>
      </c>
      <c r="P1448" s="16" t="s">
        <v>1376</v>
      </c>
      <c r="Q1448" s="16" t="s">
        <v>1380</v>
      </c>
      <c r="R1448" s="16" t="s">
        <v>3225</v>
      </c>
    </row>
    <row r="1449" spans="13:18" x14ac:dyDescent="0.2">
      <c r="M1449" s="20" t="str">
        <f t="shared" si="61"/>
        <v>LORETO DATEM DEL MARAÑON ANDOAS</v>
      </c>
      <c r="N1449" s="20">
        <f t="shared" si="62"/>
        <v>0</v>
      </c>
      <c r="O1449" s="16" t="s">
        <v>1375</v>
      </c>
      <c r="P1449" s="16" t="s">
        <v>1381</v>
      </c>
      <c r="Q1449" s="16" t="s">
        <v>1382</v>
      </c>
      <c r="R1449" s="16" t="s">
        <v>3226</v>
      </c>
    </row>
    <row r="1450" spans="13:18" x14ac:dyDescent="0.2">
      <c r="M1450" s="20" t="str">
        <f t="shared" si="61"/>
        <v>LORETO DATEM DEL MARAÑON BARRANCA</v>
      </c>
      <c r="N1450" s="20">
        <f t="shared" si="62"/>
        <v>0</v>
      </c>
      <c r="O1450" s="16" t="s">
        <v>1375</v>
      </c>
      <c r="P1450" s="16" t="s">
        <v>1381</v>
      </c>
      <c r="Q1450" s="16" t="s">
        <v>1226</v>
      </c>
      <c r="R1450" s="16" t="s">
        <v>3227</v>
      </c>
    </row>
    <row r="1451" spans="13:18" x14ac:dyDescent="0.2">
      <c r="M1451" s="20" t="str">
        <f t="shared" si="61"/>
        <v>LORETO DATEM DEL MARAÑON CAHUAPANAS</v>
      </c>
      <c r="N1451" s="20">
        <f t="shared" si="62"/>
        <v>0</v>
      </c>
      <c r="O1451" s="16" t="s">
        <v>1375</v>
      </c>
      <c r="P1451" s="16" t="s">
        <v>1381</v>
      </c>
      <c r="Q1451" s="16" t="s">
        <v>1383</v>
      </c>
      <c r="R1451" s="16" t="s">
        <v>3228</v>
      </c>
    </row>
    <row r="1452" spans="13:18" x14ac:dyDescent="0.2">
      <c r="M1452" s="20" t="str">
        <f t="shared" si="61"/>
        <v>LORETO DATEM DEL MARAÑON MANSERICHE</v>
      </c>
      <c r="N1452" s="20">
        <f t="shared" si="62"/>
        <v>0</v>
      </c>
      <c r="O1452" s="16" t="s">
        <v>1375</v>
      </c>
      <c r="P1452" s="16" t="s">
        <v>1381</v>
      </c>
      <c r="Q1452" s="16" t="s">
        <v>1384</v>
      </c>
      <c r="R1452" s="16" t="s">
        <v>3229</v>
      </c>
    </row>
    <row r="1453" spans="13:18" x14ac:dyDescent="0.2">
      <c r="M1453" s="20" t="str">
        <f t="shared" si="61"/>
        <v>LORETO DATEM DEL MARAÑON MORONA</v>
      </c>
      <c r="N1453" s="20">
        <f t="shared" si="62"/>
        <v>0</v>
      </c>
      <c r="O1453" s="16" t="s">
        <v>1375</v>
      </c>
      <c r="P1453" s="16" t="s">
        <v>1381</v>
      </c>
      <c r="Q1453" s="16" t="s">
        <v>1385</v>
      </c>
      <c r="R1453" s="16" t="s">
        <v>3230</v>
      </c>
    </row>
    <row r="1454" spans="13:18" x14ac:dyDescent="0.2">
      <c r="M1454" s="20" t="str">
        <f t="shared" si="61"/>
        <v>LORETO DATEM DEL MARAÑON PASTAZA</v>
      </c>
      <c r="N1454" s="20">
        <f t="shared" si="62"/>
        <v>0</v>
      </c>
      <c r="O1454" s="16" t="s">
        <v>1375</v>
      </c>
      <c r="P1454" s="16" t="s">
        <v>1381</v>
      </c>
      <c r="Q1454" s="16" t="s">
        <v>1386</v>
      </c>
      <c r="R1454" s="16" t="s">
        <v>3231</v>
      </c>
    </row>
    <row r="1455" spans="13:18" x14ac:dyDescent="0.2">
      <c r="M1455" s="20" t="str">
        <f t="shared" si="61"/>
        <v>LORETO LORETO NAUTA</v>
      </c>
      <c r="N1455" s="20">
        <f t="shared" si="62"/>
        <v>0</v>
      </c>
      <c r="O1455" s="16" t="s">
        <v>1375</v>
      </c>
      <c r="P1455" s="16" t="s">
        <v>1375</v>
      </c>
      <c r="Q1455" s="16" t="s">
        <v>1387</v>
      </c>
      <c r="R1455" s="16" t="s">
        <v>3232</v>
      </c>
    </row>
    <row r="1456" spans="13:18" x14ac:dyDescent="0.2">
      <c r="M1456" s="20" t="str">
        <f t="shared" si="61"/>
        <v>LORETO LORETO PARINARI</v>
      </c>
      <c r="N1456" s="20">
        <f t="shared" si="62"/>
        <v>0</v>
      </c>
      <c r="O1456" s="16" t="s">
        <v>1375</v>
      </c>
      <c r="P1456" s="16" t="s">
        <v>1375</v>
      </c>
      <c r="Q1456" s="16" t="s">
        <v>1388</v>
      </c>
      <c r="R1456" s="16" t="s">
        <v>3233</v>
      </c>
    </row>
    <row r="1457" spans="13:18" x14ac:dyDescent="0.2">
      <c r="M1457" s="20" t="str">
        <f t="shared" si="61"/>
        <v>LORETO LORETO TIGRE</v>
      </c>
      <c r="N1457" s="20">
        <f t="shared" si="62"/>
        <v>0</v>
      </c>
      <c r="O1457" s="16" t="s">
        <v>1375</v>
      </c>
      <c r="P1457" s="16" t="s">
        <v>1375</v>
      </c>
      <c r="Q1457" s="16" t="s">
        <v>1389</v>
      </c>
      <c r="R1457" s="16" t="s">
        <v>3234</v>
      </c>
    </row>
    <row r="1458" spans="13:18" x14ac:dyDescent="0.2">
      <c r="M1458" s="20" t="str">
        <f t="shared" si="61"/>
        <v>LORETO LORETO TROMPETEROS</v>
      </c>
      <c r="N1458" s="20">
        <f t="shared" si="62"/>
        <v>0</v>
      </c>
      <c r="O1458" s="16" t="s">
        <v>1375</v>
      </c>
      <c r="P1458" s="16" t="s">
        <v>1375</v>
      </c>
      <c r="Q1458" s="16" t="s">
        <v>1390</v>
      </c>
      <c r="R1458" s="16" t="s">
        <v>3235</v>
      </c>
    </row>
    <row r="1459" spans="13:18" x14ac:dyDescent="0.2">
      <c r="M1459" s="20" t="str">
        <f t="shared" si="61"/>
        <v>LORETO LORETO URARINAS</v>
      </c>
      <c r="N1459" s="20">
        <f t="shared" si="62"/>
        <v>0</v>
      </c>
      <c r="O1459" s="16" t="s">
        <v>1375</v>
      </c>
      <c r="P1459" s="16" t="s">
        <v>1375</v>
      </c>
      <c r="Q1459" s="16" t="s">
        <v>1391</v>
      </c>
      <c r="R1459" s="16" t="s">
        <v>3236</v>
      </c>
    </row>
    <row r="1460" spans="13:18" x14ac:dyDescent="0.2">
      <c r="M1460" s="20" t="str">
        <f t="shared" si="61"/>
        <v>LORETO MARISCAL RAMON CASTILLA PEBAS</v>
      </c>
      <c r="N1460" s="20">
        <f t="shared" si="62"/>
        <v>0</v>
      </c>
      <c r="O1460" s="16" t="s">
        <v>1375</v>
      </c>
      <c r="P1460" s="16" t="s">
        <v>608</v>
      </c>
      <c r="Q1460" s="16" t="s">
        <v>1392</v>
      </c>
      <c r="R1460" s="16" t="s">
        <v>3237</v>
      </c>
    </row>
    <row r="1461" spans="13:18" x14ac:dyDescent="0.2">
      <c r="M1461" s="20" t="str">
        <f t="shared" si="61"/>
        <v>LORETO MARISCAL RAMON CASTILLA RAMON CASTILLA</v>
      </c>
      <c r="N1461" s="20">
        <f t="shared" si="62"/>
        <v>0</v>
      </c>
      <c r="O1461" s="16" t="s">
        <v>1375</v>
      </c>
      <c r="P1461" s="16" t="s">
        <v>608</v>
      </c>
      <c r="Q1461" s="16" t="s">
        <v>265</v>
      </c>
      <c r="R1461" s="16" t="s">
        <v>3238</v>
      </c>
    </row>
    <row r="1462" spans="13:18" x14ac:dyDescent="0.2">
      <c r="M1462" s="20" t="str">
        <f t="shared" si="61"/>
        <v>LORETO MARISCAL RAMON CASTILLA SAN PABLO</v>
      </c>
      <c r="N1462" s="20">
        <f t="shared" si="62"/>
        <v>0</v>
      </c>
      <c r="O1462" s="16" t="s">
        <v>1375</v>
      </c>
      <c r="P1462" s="16" t="s">
        <v>608</v>
      </c>
      <c r="Q1462" s="16" t="s">
        <v>677</v>
      </c>
      <c r="R1462" s="16" t="s">
        <v>3239</v>
      </c>
    </row>
    <row r="1463" spans="13:18" x14ac:dyDescent="0.2">
      <c r="M1463" s="20" t="str">
        <f t="shared" si="61"/>
        <v>LORETO MARISCAL RAMON CASTILLA YAVARI</v>
      </c>
      <c r="N1463" s="20">
        <f t="shared" si="62"/>
        <v>0</v>
      </c>
      <c r="O1463" s="16" t="s">
        <v>1375</v>
      </c>
      <c r="P1463" s="16" t="s">
        <v>608</v>
      </c>
      <c r="Q1463" s="16" t="s">
        <v>1393</v>
      </c>
      <c r="R1463" s="16" t="s">
        <v>3240</v>
      </c>
    </row>
    <row r="1464" spans="13:18" x14ac:dyDescent="0.2">
      <c r="M1464" s="20" t="str">
        <f t="shared" si="61"/>
        <v>LORETO MAYNAS ALTO NANAY</v>
      </c>
      <c r="N1464" s="20">
        <f t="shared" si="62"/>
        <v>0</v>
      </c>
      <c r="O1464" s="16" t="s">
        <v>1375</v>
      </c>
      <c r="P1464" s="16" t="s">
        <v>1394</v>
      </c>
      <c r="Q1464" s="16" t="s">
        <v>1395</v>
      </c>
      <c r="R1464" s="16" t="s">
        <v>3241</v>
      </c>
    </row>
    <row r="1465" spans="13:18" x14ac:dyDescent="0.2">
      <c r="M1465" s="20" t="str">
        <f t="shared" si="61"/>
        <v>LORETO MAYNAS BELEN</v>
      </c>
      <c r="N1465" s="20">
        <f t="shared" si="62"/>
        <v>0</v>
      </c>
      <c r="O1465" s="16" t="s">
        <v>1375</v>
      </c>
      <c r="P1465" s="16" t="s">
        <v>1394</v>
      </c>
      <c r="Q1465" s="16" t="s">
        <v>543</v>
      </c>
      <c r="R1465" s="16" t="s">
        <v>3242</v>
      </c>
    </row>
    <row r="1466" spans="13:18" x14ac:dyDescent="0.2">
      <c r="M1466" s="20" t="str">
        <f t="shared" si="61"/>
        <v>LORETO MAYNAS FERNANDO LORES</v>
      </c>
      <c r="N1466" s="20">
        <f t="shared" si="62"/>
        <v>0</v>
      </c>
      <c r="O1466" s="16" t="s">
        <v>1375</v>
      </c>
      <c r="P1466" s="16" t="s">
        <v>1394</v>
      </c>
      <c r="Q1466" s="16" t="s">
        <v>1396</v>
      </c>
      <c r="R1466" s="16" t="s">
        <v>3243</v>
      </c>
    </row>
    <row r="1467" spans="13:18" x14ac:dyDescent="0.2">
      <c r="M1467" s="20" t="str">
        <f t="shared" si="61"/>
        <v>LORETO MAYNAS INDIANA</v>
      </c>
      <c r="N1467" s="20">
        <f t="shared" si="62"/>
        <v>0</v>
      </c>
      <c r="O1467" s="16" t="s">
        <v>1375</v>
      </c>
      <c r="P1467" s="16" t="s">
        <v>1394</v>
      </c>
      <c r="Q1467" s="16" t="s">
        <v>1397</v>
      </c>
      <c r="R1467" s="16" t="s">
        <v>3244</v>
      </c>
    </row>
    <row r="1468" spans="13:18" x14ac:dyDescent="0.2">
      <c r="M1468" s="20" t="str">
        <f t="shared" si="61"/>
        <v>LORETO MAYNAS IQUITOS</v>
      </c>
      <c r="N1468" s="20">
        <f t="shared" si="62"/>
        <v>0</v>
      </c>
      <c r="O1468" s="16" t="s">
        <v>1375</v>
      </c>
      <c r="P1468" s="16" t="s">
        <v>1394</v>
      </c>
      <c r="Q1468" s="16" t="s">
        <v>1398</v>
      </c>
      <c r="R1468" s="16" t="s">
        <v>3245</v>
      </c>
    </row>
    <row r="1469" spans="13:18" x14ac:dyDescent="0.2">
      <c r="M1469" s="20" t="str">
        <f t="shared" si="61"/>
        <v>LORETO MAYNAS LAS AMAZONAS</v>
      </c>
      <c r="N1469" s="20">
        <f t="shared" si="62"/>
        <v>0</v>
      </c>
      <c r="O1469" s="16" t="s">
        <v>1375</v>
      </c>
      <c r="P1469" s="16" t="s">
        <v>1394</v>
      </c>
      <c r="Q1469" s="16" t="s">
        <v>1399</v>
      </c>
      <c r="R1469" s="16" t="s">
        <v>3246</v>
      </c>
    </row>
    <row r="1470" spans="13:18" x14ac:dyDescent="0.2">
      <c r="M1470" s="20" t="str">
        <f t="shared" si="61"/>
        <v>LORETO MAYNAS MAZAN</v>
      </c>
      <c r="N1470" s="20">
        <f t="shared" si="62"/>
        <v>0</v>
      </c>
      <c r="O1470" s="16" t="s">
        <v>1375</v>
      </c>
      <c r="P1470" s="16" t="s">
        <v>1394</v>
      </c>
      <c r="Q1470" s="16" t="s">
        <v>1400</v>
      </c>
      <c r="R1470" s="16" t="s">
        <v>3247</v>
      </c>
    </row>
    <row r="1471" spans="13:18" x14ac:dyDescent="0.2">
      <c r="M1471" s="20" t="str">
        <f t="shared" si="61"/>
        <v>LORETO MAYNAS NAPO</v>
      </c>
      <c r="N1471" s="20">
        <f t="shared" si="62"/>
        <v>0</v>
      </c>
      <c r="O1471" s="16" t="s">
        <v>1375</v>
      </c>
      <c r="P1471" s="16" t="s">
        <v>1394</v>
      </c>
      <c r="Q1471" s="16" t="s">
        <v>1401</v>
      </c>
      <c r="R1471" s="16" t="s">
        <v>3248</v>
      </c>
    </row>
    <row r="1472" spans="13:18" x14ac:dyDescent="0.2">
      <c r="M1472" s="20" t="str">
        <f t="shared" si="61"/>
        <v>LORETO MAYNAS PUNCHANA</v>
      </c>
      <c r="N1472" s="20">
        <f t="shared" si="62"/>
        <v>0</v>
      </c>
      <c r="O1472" s="16" t="s">
        <v>1375</v>
      </c>
      <c r="P1472" s="16" t="s">
        <v>1394</v>
      </c>
      <c r="Q1472" s="16" t="s">
        <v>1402</v>
      </c>
      <c r="R1472" s="16" t="s">
        <v>3249</v>
      </c>
    </row>
    <row r="1473" spans="13:18" x14ac:dyDescent="0.2">
      <c r="M1473" s="20" t="str">
        <f t="shared" si="61"/>
        <v>LORETO MAYNAS SAN JUAN BAUTISTA</v>
      </c>
      <c r="N1473" s="20">
        <f t="shared" si="62"/>
        <v>0</v>
      </c>
      <c r="O1473" s="16" t="s">
        <v>1375</v>
      </c>
      <c r="P1473" s="16" t="s">
        <v>1394</v>
      </c>
      <c r="Q1473" s="16" t="s">
        <v>282</v>
      </c>
      <c r="R1473" s="16" t="s">
        <v>3250</v>
      </c>
    </row>
    <row r="1474" spans="13:18" x14ac:dyDescent="0.2">
      <c r="M1474" s="20" t="str">
        <f t="shared" si="61"/>
        <v>LORETO MAYNAS TORRES CAUSANA</v>
      </c>
      <c r="N1474" s="20">
        <f t="shared" si="62"/>
        <v>0</v>
      </c>
      <c r="O1474" s="16" t="s">
        <v>1375</v>
      </c>
      <c r="P1474" s="16" t="s">
        <v>1394</v>
      </c>
      <c r="Q1474" s="16" t="s">
        <v>1403</v>
      </c>
      <c r="R1474" s="16" t="s">
        <v>3251</v>
      </c>
    </row>
    <row r="1475" spans="13:18" x14ac:dyDescent="0.2">
      <c r="M1475" s="20" t="str">
        <f t="shared" ref="M1475:M1538" si="63">O1475&amp;" "&amp;P1475&amp;" "&amp;Q1475</f>
        <v>LORETO PUTUMAYO PUTUMAYO</v>
      </c>
      <c r="N1475" s="20">
        <f t="shared" ref="N1475:N1538" si="64">IF(AND($D$9=O1475,$D$10=P1475),N1474+1,0)</f>
        <v>0</v>
      </c>
      <c r="O1475" s="16" t="s">
        <v>1375</v>
      </c>
      <c r="P1475" s="16" t="s">
        <v>1404</v>
      </c>
      <c r="Q1475" s="16" t="s">
        <v>1404</v>
      </c>
      <c r="R1475" s="16" t="s">
        <v>3252</v>
      </c>
    </row>
    <row r="1476" spans="13:18" x14ac:dyDescent="0.2">
      <c r="M1476" s="20" t="str">
        <f t="shared" si="63"/>
        <v>LORETO PUTUMAYO ROSA PANDURO</v>
      </c>
      <c r="N1476" s="20">
        <f t="shared" si="64"/>
        <v>0</v>
      </c>
      <c r="O1476" s="16" t="s">
        <v>1375</v>
      </c>
      <c r="P1476" s="16" t="s">
        <v>1404</v>
      </c>
      <c r="Q1476" s="16" t="s">
        <v>1405</v>
      </c>
      <c r="R1476" s="16" t="s">
        <v>3253</v>
      </c>
    </row>
    <row r="1477" spans="13:18" x14ac:dyDescent="0.2">
      <c r="M1477" s="20" t="str">
        <f t="shared" si="63"/>
        <v>LORETO PUTUMAYO TENIENTE MANUEL CLAVERO</v>
      </c>
      <c r="N1477" s="20">
        <f t="shared" si="64"/>
        <v>0</v>
      </c>
      <c r="O1477" s="16" t="s">
        <v>1375</v>
      </c>
      <c r="P1477" s="16" t="s">
        <v>1404</v>
      </c>
      <c r="Q1477" s="16" t="s">
        <v>1406</v>
      </c>
      <c r="R1477" s="16" t="s">
        <v>3254</v>
      </c>
    </row>
    <row r="1478" spans="13:18" x14ac:dyDescent="0.2">
      <c r="M1478" s="20" t="str">
        <f t="shared" si="63"/>
        <v>LORETO PUTUMAYO YAGUAS</v>
      </c>
      <c r="N1478" s="20">
        <f t="shared" si="64"/>
        <v>0</v>
      </c>
      <c r="O1478" s="16" t="s">
        <v>1375</v>
      </c>
      <c r="P1478" s="16" t="s">
        <v>1404</v>
      </c>
      <c r="Q1478" s="16" t="s">
        <v>1407</v>
      </c>
      <c r="R1478" s="16" t="s">
        <v>3255</v>
      </c>
    </row>
    <row r="1479" spans="13:18" x14ac:dyDescent="0.2">
      <c r="M1479" s="20" t="str">
        <f t="shared" si="63"/>
        <v>LORETO REQUENA ALTO TAPICHE</v>
      </c>
      <c r="N1479" s="20">
        <f t="shared" si="64"/>
        <v>0</v>
      </c>
      <c r="O1479" s="16" t="s">
        <v>1375</v>
      </c>
      <c r="P1479" s="16" t="s">
        <v>1408</v>
      </c>
      <c r="Q1479" s="16" t="s">
        <v>1409</v>
      </c>
      <c r="R1479" s="16" t="s">
        <v>3256</v>
      </c>
    </row>
    <row r="1480" spans="13:18" x14ac:dyDescent="0.2">
      <c r="M1480" s="20" t="str">
        <f t="shared" si="63"/>
        <v>LORETO REQUENA CAPELO</v>
      </c>
      <c r="N1480" s="20">
        <f t="shared" si="64"/>
        <v>0</v>
      </c>
      <c r="O1480" s="16" t="s">
        <v>1375</v>
      </c>
      <c r="P1480" s="16" t="s">
        <v>1408</v>
      </c>
      <c r="Q1480" s="16" t="s">
        <v>1410</v>
      </c>
      <c r="R1480" s="16" t="s">
        <v>3257</v>
      </c>
    </row>
    <row r="1481" spans="13:18" x14ac:dyDescent="0.2">
      <c r="M1481" s="20" t="str">
        <f t="shared" si="63"/>
        <v>LORETO REQUENA EMILIO SAN MARTIN</v>
      </c>
      <c r="N1481" s="20">
        <f t="shared" si="64"/>
        <v>0</v>
      </c>
      <c r="O1481" s="16" t="s">
        <v>1375</v>
      </c>
      <c r="P1481" s="16" t="s">
        <v>1408</v>
      </c>
      <c r="Q1481" s="16" t="s">
        <v>1411</v>
      </c>
      <c r="R1481" s="16" t="s">
        <v>3258</v>
      </c>
    </row>
    <row r="1482" spans="13:18" x14ac:dyDescent="0.2">
      <c r="M1482" s="20" t="str">
        <f t="shared" si="63"/>
        <v>LORETO REQUENA JENARO HERRERA</v>
      </c>
      <c r="N1482" s="20">
        <f t="shared" si="64"/>
        <v>0</v>
      </c>
      <c r="O1482" s="16" t="s">
        <v>1375</v>
      </c>
      <c r="P1482" s="16" t="s">
        <v>1408</v>
      </c>
      <c r="Q1482" s="16" t="s">
        <v>1412</v>
      </c>
      <c r="R1482" s="16" t="s">
        <v>3259</v>
      </c>
    </row>
    <row r="1483" spans="13:18" x14ac:dyDescent="0.2">
      <c r="M1483" s="20" t="str">
        <f t="shared" si="63"/>
        <v>LORETO REQUENA MAQUIA</v>
      </c>
      <c r="N1483" s="20">
        <f t="shared" si="64"/>
        <v>0</v>
      </c>
      <c r="O1483" s="16" t="s">
        <v>1375</v>
      </c>
      <c r="P1483" s="16" t="s">
        <v>1408</v>
      </c>
      <c r="Q1483" s="16" t="s">
        <v>1413</v>
      </c>
      <c r="R1483" s="16" t="s">
        <v>3260</v>
      </c>
    </row>
    <row r="1484" spans="13:18" x14ac:dyDescent="0.2">
      <c r="M1484" s="20" t="str">
        <f t="shared" si="63"/>
        <v>LORETO REQUENA PUINAHUA</v>
      </c>
      <c r="N1484" s="20">
        <f t="shared" si="64"/>
        <v>0</v>
      </c>
      <c r="O1484" s="16" t="s">
        <v>1375</v>
      </c>
      <c r="P1484" s="16" t="s">
        <v>1408</v>
      </c>
      <c r="Q1484" s="16" t="s">
        <v>1414</v>
      </c>
      <c r="R1484" s="16" t="s">
        <v>3261</v>
      </c>
    </row>
    <row r="1485" spans="13:18" x14ac:dyDescent="0.2">
      <c r="M1485" s="20" t="str">
        <f t="shared" si="63"/>
        <v>LORETO REQUENA REQUENA</v>
      </c>
      <c r="N1485" s="20">
        <f t="shared" si="64"/>
        <v>0</v>
      </c>
      <c r="O1485" s="16" t="s">
        <v>1375</v>
      </c>
      <c r="P1485" s="16" t="s">
        <v>1408</v>
      </c>
      <c r="Q1485" s="16" t="s">
        <v>1408</v>
      </c>
      <c r="R1485" s="16" t="s">
        <v>3262</v>
      </c>
    </row>
    <row r="1486" spans="13:18" x14ac:dyDescent="0.2">
      <c r="M1486" s="20" t="str">
        <f t="shared" si="63"/>
        <v>LORETO REQUENA SAQUENA</v>
      </c>
      <c r="N1486" s="20">
        <f t="shared" si="64"/>
        <v>0</v>
      </c>
      <c r="O1486" s="16" t="s">
        <v>1375</v>
      </c>
      <c r="P1486" s="16" t="s">
        <v>1408</v>
      </c>
      <c r="Q1486" s="16" t="s">
        <v>1415</v>
      </c>
      <c r="R1486" s="16" t="s">
        <v>3263</v>
      </c>
    </row>
    <row r="1487" spans="13:18" x14ac:dyDescent="0.2">
      <c r="M1487" s="20" t="str">
        <f t="shared" si="63"/>
        <v>LORETO REQUENA SOPLIN</v>
      </c>
      <c r="N1487" s="20">
        <f t="shared" si="64"/>
        <v>0</v>
      </c>
      <c r="O1487" s="16" t="s">
        <v>1375</v>
      </c>
      <c r="P1487" s="16" t="s">
        <v>1408</v>
      </c>
      <c r="Q1487" s="16" t="s">
        <v>1416</v>
      </c>
      <c r="R1487" s="16" t="s">
        <v>3264</v>
      </c>
    </row>
    <row r="1488" spans="13:18" x14ac:dyDescent="0.2">
      <c r="M1488" s="20" t="str">
        <f t="shared" si="63"/>
        <v>LORETO REQUENA TAPICHE</v>
      </c>
      <c r="N1488" s="20">
        <f t="shared" si="64"/>
        <v>0</v>
      </c>
      <c r="O1488" s="16" t="s">
        <v>1375</v>
      </c>
      <c r="P1488" s="16" t="s">
        <v>1408</v>
      </c>
      <c r="Q1488" s="16" t="s">
        <v>1417</v>
      </c>
      <c r="R1488" s="16" t="s">
        <v>3265</v>
      </c>
    </row>
    <row r="1489" spans="13:18" x14ac:dyDescent="0.2">
      <c r="M1489" s="20" t="str">
        <f t="shared" si="63"/>
        <v>LORETO REQUENA YAQUERANA</v>
      </c>
      <c r="N1489" s="20">
        <f t="shared" si="64"/>
        <v>0</v>
      </c>
      <c r="O1489" s="16" t="s">
        <v>1375</v>
      </c>
      <c r="P1489" s="16" t="s">
        <v>1408</v>
      </c>
      <c r="Q1489" s="16" t="s">
        <v>1418</v>
      </c>
      <c r="R1489" s="16" t="s">
        <v>3266</v>
      </c>
    </row>
    <row r="1490" spans="13:18" x14ac:dyDescent="0.2">
      <c r="M1490" s="20" t="str">
        <f t="shared" si="63"/>
        <v>LORETO UCAYALI CONTAMANA</v>
      </c>
      <c r="N1490" s="20">
        <f t="shared" si="64"/>
        <v>0</v>
      </c>
      <c r="O1490" s="16" t="s">
        <v>1375</v>
      </c>
      <c r="P1490" s="16" t="s">
        <v>1419</v>
      </c>
      <c r="Q1490" s="16" t="s">
        <v>1420</v>
      </c>
      <c r="R1490" s="16" t="s">
        <v>3267</v>
      </c>
    </row>
    <row r="1491" spans="13:18" x14ac:dyDescent="0.2">
      <c r="M1491" s="20" t="str">
        <f t="shared" si="63"/>
        <v>LORETO UCAYALI INAHUAYA</v>
      </c>
      <c r="N1491" s="20">
        <f t="shared" si="64"/>
        <v>0</v>
      </c>
      <c r="O1491" s="16" t="s">
        <v>1375</v>
      </c>
      <c r="P1491" s="16" t="s">
        <v>1419</v>
      </c>
      <c r="Q1491" s="16" t="s">
        <v>1421</v>
      </c>
      <c r="R1491" s="16" t="s">
        <v>3268</v>
      </c>
    </row>
    <row r="1492" spans="13:18" x14ac:dyDescent="0.2">
      <c r="M1492" s="20" t="str">
        <f t="shared" si="63"/>
        <v>LORETO UCAYALI PADRE MARQUEZ</v>
      </c>
      <c r="N1492" s="20">
        <f t="shared" si="64"/>
        <v>0</v>
      </c>
      <c r="O1492" s="16" t="s">
        <v>1375</v>
      </c>
      <c r="P1492" s="16" t="s">
        <v>1419</v>
      </c>
      <c r="Q1492" s="16" t="s">
        <v>1422</v>
      </c>
      <c r="R1492" s="16" t="s">
        <v>3269</v>
      </c>
    </row>
    <row r="1493" spans="13:18" x14ac:dyDescent="0.2">
      <c r="M1493" s="20" t="str">
        <f t="shared" si="63"/>
        <v>LORETO UCAYALI PAMPA HERMOSA</v>
      </c>
      <c r="N1493" s="20">
        <f t="shared" si="64"/>
        <v>0</v>
      </c>
      <c r="O1493" s="16" t="s">
        <v>1375</v>
      </c>
      <c r="P1493" s="16" t="s">
        <v>1419</v>
      </c>
      <c r="Q1493" s="16" t="s">
        <v>1097</v>
      </c>
      <c r="R1493" s="16" t="s">
        <v>3270</v>
      </c>
    </row>
    <row r="1494" spans="13:18" x14ac:dyDescent="0.2">
      <c r="M1494" s="20" t="str">
        <f t="shared" si="63"/>
        <v>LORETO UCAYALI SARAYACU</v>
      </c>
      <c r="N1494" s="20">
        <f t="shared" si="64"/>
        <v>0</v>
      </c>
      <c r="O1494" s="16" t="s">
        <v>1375</v>
      </c>
      <c r="P1494" s="16" t="s">
        <v>1419</v>
      </c>
      <c r="Q1494" s="16" t="s">
        <v>1423</v>
      </c>
      <c r="R1494" s="16" t="s">
        <v>3271</v>
      </c>
    </row>
    <row r="1495" spans="13:18" x14ac:dyDescent="0.2">
      <c r="M1495" s="20" t="str">
        <f t="shared" si="63"/>
        <v>LORETO UCAYALI VARGAS GUERRA</v>
      </c>
      <c r="N1495" s="20">
        <f t="shared" si="64"/>
        <v>0</v>
      </c>
      <c r="O1495" s="16" t="s">
        <v>1375</v>
      </c>
      <c r="P1495" s="16" t="s">
        <v>1419</v>
      </c>
      <c r="Q1495" s="16" t="s">
        <v>1424</v>
      </c>
      <c r="R1495" s="16" t="s">
        <v>3272</v>
      </c>
    </row>
    <row r="1496" spans="13:18" x14ac:dyDescent="0.2">
      <c r="M1496" s="20" t="str">
        <f t="shared" si="63"/>
        <v>MADRE DE DIOS MANU FITZCARRALD</v>
      </c>
      <c r="N1496" s="20">
        <f t="shared" si="64"/>
        <v>0</v>
      </c>
      <c r="O1496" s="16" t="s">
        <v>1425</v>
      </c>
      <c r="P1496" s="16" t="s">
        <v>1426</v>
      </c>
      <c r="Q1496" s="16" t="s">
        <v>1427</v>
      </c>
      <c r="R1496" s="16" t="s">
        <v>3273</v>
      </c>
    </row>
    <row r="1497" spans="13:18" x14ac:dyDescent="0.2">
      <c r="M1497" s="20" t="str">
        <f t="shared" si="63"/>
        <v>MADRE DE DIOS MANU HUEPETUHE</v>
      </c>
      <c r="N1497" s="20">
        <f t="shared" si="64"/>
        <v>0</v>
      </c>
      <c r="O1497" s="16" t="s">
        <v>1425</v>
      </c>
      <c r="P1497" s="16" t="s">
        <v>1426</v>
      </c>
      <c r="Q1497" s="16" t="s">
        <v>1428</v>
      </c>
      <c r="R1497" s="16" t="s">
        <v>3274</v>
      </c>
    </row>
    <row r="1498" spans="13:18" x14ac:dyDescent="0.2">
      <c r="M1498" s="20" t="str">
        <f t="shared" si="63"/>
        <v>MADRE DE DIOS MANU MADRE DE DIOS</v>
      </c>
      <c r="N1498" s="20">
        <f t="shared" si="64"/>
        <v>0</v>
      </c>
      <c r="O1498" s="16" t="s">
        <v>1425</v>
      </c>
      <c r="P1498" s="16" t="s">
        <v>1426</v>
      </c>
      <c r="Q1498" s="16" t="s">
        <v>1425</v>
      </c>
      <c r="R1498" s="16" t="s">
        <v>3275</v>
      </c>
    </row>
    <row r="1499" spans="13:18" x14ac:dyDescent="0.2">
      <c r="M1499" s="20" t="str">
        <f t="shared" si="63"/>
        <v>MADRE DE DIOS MANU MANU</v>
      </c>
      <c r="N1499" s="20">
        <f t="shared" si="64"/>
        <v>0</v>
      </c>
      <c r="O1499" s="16" t="s">
        <v>1425</v>
      </c>
      <c r="P1499" s="16" t="s">
        <v>1426</v>
      </c>
      <c r="Q1499" s="16" t="s">
        <v>1426</v>
      </c>
      <c r="R1499" s="16" t="s">
        <v>3276</v>
      </c>
    </row>
    <row r="1500" spans="13:18" x14ac:dyDescent="0.2">
      <c r="M1500" s="20" t="str">
        <f t="shared" si="63"/>
        <v>MADRE DE DIOS TAHUAMANU IBERIA</v>
      </c>
      <c r="N1500" s="20">
        <f t="shared" si="64"/>
        <v>0</v>
      </c>
      <c r="O1500" s="16" t="s">
        <v>1425</v>
      </c>
      <c r="P1500" s="16" t="s">
        <v>1429</v>
      </c>
      <c r="Q1500" s="16" t="s">
        <v>1430</v>
      </c>
      <c r="R1500" s="16" t="s">
        <v>3277</v>
      </c>
    </row>
    <row r="1501" spans="13:18" x14ac:dyDescent="0.2">
      <c r="M1501" s="20" t="str">
        <f t="shared" si="63"/>
        <v>MADRE DE DIOS TAHUAMANU IÑAPARI</v>
      </c>
      <c r="N1501" s="20">
        <f t="shared" si="64"/>
        <v>0</v>
      </c>
      <c r="O1501" s="16" t="s">
        <v>1425</v>
      </c>
      <c r="P1501" s="16" t="s">
        <v>1429</v>
      </c>
      <c r="Q1501" s="16" t="s">
        <v>1431</v>
      </c>
      <c r="R1501" s="16" t="s">
        <v>3278</v>
      </c>
    </row>
    <row r="1502" spans="13:18" x14ac:dyDescent="0.2">
      <c r="M1502" s="20" t="str">
        <f t="shared" si="63"/>
        <v>MADRE DE DIOS TAHUAMANU TAHUAMANU</v>
      </c>
      <c r="N1502" s="20">
        <f t="shared" si="64"/>
        <v>0</v>
      </c>
      <c r="O1502" s="16" t="s">
        <v>1425</v>
      </c>
      <c r="P1502" s="16" t="s">
        <v>1429</v>
      </c>
      <c r="Q1502" s="16" t="s">
        <v>1429</v>
      </c>
      <c r="R1502" s="16" t="s">
        <v>3279</v>
      </c>
    </row>
    <row r="1503" spans="13:18" x14ac:dyDescent="0.2">
      <c r="M1503" s="20" t="str">
        <f t="shared" si="63"/>
        <v>MADRE DE DIOS TAMBOPATA INAMBARI</v>
      </c>
      <c r="N1503" s="20">
        <f t="shared" si="64"/>
        <v>0</v>
      </c>
      <c r="O1503" s="16" t="s">
        <v>1425</v>
      </c>
      <c r="P1503" s="16" t="s">
        <v>1432</v>
      </c>
      <c r="Q1503" s="16" t="s">
        <v>1433</v>
      </c>
      <c r="R1503" s="16" t="s">
        <v>3280</v>
      </c>
    </row>
    <row r="1504" spans="13:18" x14ac:dyDescent="0.2">
      <c r="M1504" s="20" t="str">
        <f t="shared" si="63"/>
        <v>MADRE DE DIOS TAMBOPATA LABERINTO</v>
      </c>
      <c r="N1504" s="20">
        <f t="shared" si="64"/>
        <v>0</v>
      </c>
      <c r="O1504" s="16" t="s">
        <v>1425</v>
      </c>
      <c r="P1504" s="16" t="s">
        <v>1432</v>
      </c>
      <c r="Q1504" s="16" t="s">
        <v>1434</v>
      </c>
      <c r="R1504" s="16" t="s">
        <v>3281</v>
      </c>
    </row>
    <row r="1505" spans="13:18" x14ac:dyDescent="0.2">
      <c r="M1505" s="20" t="str">
        <f t="shared" si="63"/>
        <v>MADRE DE DIOS TAMBOPATA LAS PIEDRAS</v>
      </c>
      <c r="N1505" s="20">
        <f t="shared" si="64"/>
        <v>0</v>
      </c>
      <c r="O1505" s="16" t="s">
        <v>1425</v>
      </c>
      <c r="P1505" s="16" t="s">
        <v>1432</v>
      </c>
      <c r="Q1505" s="16" t="s">
        <v>1435</v>
      </c>
      <c r="R1505" s="16" t="s">
        <v>3282</v>
      </c>
    </row>
    <row r="1506" spans="13:18" x14ac:dyDescent="0.2">
      <c r="M1506" s="20" t="str">
        <f t="shared" si="63"/>
        <v>MADRE DE DIOS TAMBOPATA TAMBOPATA</v>
      </c>
      <c r="N1506" s="20">
        <f t="shared" si="64"/>
        <v>0</v>
      </c>
      <c r="O1506" s="16" t="s">
        <v>1425</v>
      </c>
      <c r="P1506" s="16" t="s">
        <v>1432</v>
      </c>
      <c r="Q1506" s="16" t="s">
        <v>1432</v>
      </c>
      <c r="R1506" s="16" t="s">
        <v>3283</v>
      </c>
    </row>
    <row r="1507" spans="13:18" x14ac:dyDescent="0.2">
      <c r="M1507" s="20" t="str">
        <f t="shared" si="63"/>
        <v>MOQUEGUA GENERAL SANCHEZ CERRO CHOJATA</v>
      </c>
      <c r="N1507" s="20">
        <f t="shared" si="64"/>
        <v>0</v>
      </c>
      <c r="O1507" s="16" t="s">
        <v>1436</v>
      </c>
      <c r="P1507" s="16" t="s">
        <v>1437</v>
      </c>
      <c r="Q1507" s="16" t="s">
        <v>1438</v>
      </c>
      <c r="R1507" s="16" t="s">
        <v>3284</v>
      </c>
    </row>
    <row r="1508" spans="13:18" x14ac:dyDescent="0.2">
      <c r="M1508" s="20" t="str">
        <f t="shared" si="63"/>
        <v>MOQUEGUA GENERAL SANCHEZ CERRO COALAQUE</v>
      </c>
      <c r="N1508" s="20">
        <f t="shared" si="64"/>
        <v>0</v>
      </c>
      <c r="O1508" s="16" t="s">
        <v>1436</v>
      </c>
      <c r="P1508" s="16" t="s">
        <v>1437</v>
      </c>
      <c r="Q1508" s="16" t="s">
        <v>1439</v>
      </c>
      <c r="R1508" s="16" t="s">
        <v>3285</v>
      </c>
    </row>
    <row r="1509" spans="13:18" x14ac:dyDescent="0.2">
      <c r="M1509" s="20" t="str">
        <f t="shared" si="63"/>
        <v>MOQUEGUA GENERAL SANCHEZ CERRO ICHUÑA</v>
      </c>
      <c r="N1509" s="20">
        <f t="shared" si="64"/>
        <v>0</v>
      </c>
      <c r="O1509" s="16" t="s">
        <v>1436</v>
      </c>
      <c r="P1509" s="16" t="s">
        <v>1437</v>
      </c>
      <c r="Q1509" s="16" t="s">
        <v>1440</v>
      </c>
      <c r="R1509" s="16" t="s">
        <v>3286</v>
      </c>
    </row>
    <row r="1510" spans="13:18" x14ac:dyDescent="0.2">
      <c r="M1510" s="20" t="str">
        <f t="shared" si="63"/>
        <v>MOQUEGUA GENERAL SANCHEZ CERRO LA CAPILLA</v>
      </c>
      <c r="N1510" s="20">
        <f t="shared" si="64"/>
        <v>0</v>
      </c>
      <c r="O1510" s="16" t="s">
        <v>1436</v>
      </c>
      <c r="P1510" s="16" t="s">
        <v>1437</v>
      </c>
      <c r="Q1510" s="16" t="s">
        <v>1441</v>
      </c>
      <c r="R1510" s="16" t="s">
        <v>3287</v>
      </c>
    </row>
    <row r="1511" spans="13:18" x14ac:dyDescent="0.2">
      <c r="M1511" s="20" t="str">
        <f t="shared" si="63"/>
        <v>MOQUEGUA GENERAL SANCHEZ CERRO LLOQUE</v>
      </c>
      <c r="N1511" s="20">
        <f t="shared" si="64"/>
        <v>0</v>
      </c>
      <c r="O1511" s="16" t="s">
        <v>1436</v>
      </c>
      <c r="P1511" s="16" t="s">
        <v>1437</v>
      </c>
      <c r="Q1511" s="16" t="s">
        <v>1442</v>
      </c>
      <c r="R1511" s="16" t="s">
        <v>3288</v>
      </c>
    </row>
    <row r="1512" spans="13:18" x14ac:dyDescent="0.2">
      <c r="M1512" s="20" t="str">
        <f t="shared" si="63"/>
        <v>MOQUEGUA GENERAL SANCHEZ CERRO MATALAQUE</v>
      </c>
      <c r="N1512" s="20">
        <f t="shared" si="64"/>
        <v>0</v>
      </c>
      <c r="O1512" s="16" t="s">
        <v>1436</v>
      </c>
      <c r="P1512" s="16" t="s">
        <v>1437</v>
      </c>
      <c r="Q1512" s="16" t="s">
        <v>1443</v>
      </c>
      <c r="R1512" s="16" t="s">
        <v>3289</v>
      </c>
    </row>
    <row r="1513" spans="13:18" x14ac:dyDescent="0.2">
      <c r="M1513" s="20" t="str">
        <f t="shared" si="63"/>
        <v>MOQUEGUA GENERAL SANCHEZ CERRO OMATE</v>
      </c>
      <c r="N1513" s="20">
        <f t="shared" si="64"/>
        <v>0</v>
      </c>
      <c r="O1513" s="16" t="s">
        <v>1436</v>
      </c>
      <c r="P1513" s="16" t="s">
        <v>1437</v>
      </c>
      <c r="Q1513" s="16" t="s">
        <v>1444</v>
      </c>
      <c r="R1513" s="16" t="s">
        <v>3290</v>
      </c>
    </row>
    <row r="1514" spans="13:18" x14ac:dyDescent="0.2">
      <c r="M1514" s="20" t="str">
        <f t="shared" si="63"/>
        <v>MOQUEGUA GENERAL SANCHEZ CERRO PUQUINA</v>
      </c>
      <c r="N1514" s="20">
        <f t="shared" si="64"/>
        <v>0</v>
      </c>
      <c r="O1514" s="16" t="s">
        <v>1436</v>
      </c>
      <c r="P1514" s="16" t="s">
        <v>1437</v>
      </c>
      <c r="Q1514" s="16" t="s">
        <v>1445</v>
      </c>
      <c r="R1514" s="16" t="s">
        <v>3291</v>
      </c>
    </row>
    <row r="1515" spans="13:18" x14ac:dyDescent="0.2">
      <c r="M1515" s="20" t="str">
        <f t="shared" si="63"/>
        <v>MOQUEGUA GENERAL SANCHEZ CERRO QUINISTAQUILLAS</v>
      </c>
      <c r="N1515" s="20">
        <f t="shared" si="64"/>
        <v>0</v>
      </c>
      <c r="O1515" s="16" t="s">
        <v>1436</v>
      </c>
      <c r="P1515" s="16" t="s">
        <v>1437</v>
      </c>
      <c r="Q1515" s="16" t="s">
        <v>1446</v>
      </c>
      <c r="R1515" s="16" t="s">
        <v>3292</v>
      </c>
    </row>
    <row r="1516" spans="13:18" x14ac:dyDescent="0.2">
      <c r="M1516" s="20" t="str">
        <f t="shared" si="63"/>
        <v>MOQUEGUA GENERAL SANCHEZ CERRO UBINAS</v>
      </c>
      <c r="N1516" s="20">
        <f t="shared" si="64"/>
        <v>0</v>
      </c>
      <c r="O1516" s="16" t="s">
        <v>1436</v>
      </c>
      <c r="P1516" s="16" t="s">
        <v>1437</v>
      </c>
      <c r="Q1516" s="16" t="s">
        <v>1447</v>
      </c>
      <c r="R1516" s="16" t="s">
        <v>3293</v>
      </c>
    </row>
    <row r="1517" spans="13:18" x14ac:dyDescent="0.2">
      <c r="M1517" s="20" t="str">
        <f t="shared" si="63"/>
        <v>MOQUEGUA GENERAL SANCHEZ CERRO YUNGA</v>
      </c>
      <c r="N1517" s="20">
        <f t="shared" si="64"/>
        <v>0</v>
      </c>
      <c r="O1517" s="16" t="s">
        <v>1436</v>
      </c>
      <c r="P1517" s="16" t="s">
        <v>1437</v>
      </c>
      <c r="Q1517" s="16" t="s">
        <v>1448</v>
      </c>
      <c r="R1517" s="16" t="s">
        <v>3294</v>
      </c>
    </row>
    <row r="1518" spans="13:18" x14ac:dyDescent="0.2">
      <c r="M1518" s="20" t="str">
        <f t="shared" si="63"/>
        <v>MOQUEGUA ILO EL ALGARROBAL</v>
      </c>
      <c r="N1518" s="20">
        <f t="shared" si="64"/>
        <v>0</v>
      </c>
      <c r="O1518" s="16" t="s">
        <v>1436</v>
      </c>
      <c r="P1518" s="16" t="s">
        <v>1449</v>
      </c>
      <c r="Q1518" s="16" t="s">
        <v>1450</v>
      </c>
      <c r="R1518" s="16" t="s">
        <v>3295</v>
      </c>
    </row>
    <row r="1519" spans="13:18" x14ac:dyDescent="0.2">
      <c r="M1519" s="20" t="str">
        <f t="shared" si="63"/>
        <v>MOQUEGUA ILO ILO</v>
      </c>
      <c r="N1519" s="20">
        <f t="shared" si="64"/>
        <v>0</v>
      </c>
      <c r="O1519" s="16" t="s">
        <v>1436</v>
      </c>
      <c r="P1519" s="16" t="s">
        <v>1449</v>
      </c>
      <c r="Q1519" s="16" t="s">
        <v>1449</v>
      </c>
      <c r="R1519" s="16" t="s">
        <v>3296</v>
      </c>
    </row>
    <row r="1520" spans="13:18" x14ac:dyDescent="0.2">
      <c r="M1520" s="20" t="str">
        <f t="shared" si="63"/>
        <v>MOQUEGUA ILO PACOCHA</v>
      </c>
      <c r="N1520" s="20">
        <f t="shared" si="64"/>
        <v>0</v>
      </c>
      <c r="O1520" s="16" t="s">
        <v>1436</v>
      </c>
      <c r="P1520" s="16" t="s">
        <v>1449</v>
      </c>
      <c r="Q1520" s="16" t="s">
        <v>1451</v>
      </c>
      <c r="R1520" s="16" t="s">
        <v>3297</v>
      </c>
    </row>
    <row r="1521" spans="13:18" x14ac:dyDescent="0.2">
      <c r="M1521" s="20" t="str">
        <f t="shared" si="63"/>
        <v>MOQUEGUA MARISCAL NIETO CARUMAS</v>
      </c>
      <c r="N1521" s="20">
        <f t="shared" si="64"/>
        <v>0</v>
      </c>
      <c r="O1521" s="16" t="s">
        <v>1436</v>
      </c>
      <c r="P1521" s="16" t="s">
        <v>1452</v>
      </c>
      <c r="Q1521" s="16" t="s">
        <v>1453</v>
      </c>
      <c r="R1521" s="16" t="s">
        <v>3298</v>
      </c>
    </row>
    <row r="1522" spans="13:18" x14ac:dyDescent="0.2">
      <c r="M1522" s="20" t="str">
        <f t="shared" si="63"/>
        <v>MOQUEGUA MARISCAL NIETO CUCHUMBAYA</v>
      </c>
      <c r="N1522" s="20">
        <f t="shared" si="64"/>
        <v>0</v>
      </c>
      <c r="O1522" s="16" t="s">
        <v>1436</v>
      </c>
      <c r="P1522" s="16" t="s">
        <v>1452</v>
      </c>
      <c r="Q1522" s="16" t="s">
        <v>1454</v>
      </c>
      <c r="R1522" s="16" t="s">
        <v>3299</v>
      </c>
    </row>
    <row r="1523" spans="13:18" x14ac:dyDescent="0.2">
      <c r="M1523" s="20" t="str">
        <f t="shared" si="63"/>
        <v>MOQUEGUA MARISCAL NIETO MOQUEGUA</v>
      </c>
      <c r="N1523" s="20">
        <f t="shared" si="64"/>
        <v>0</v>
      </c>
      <c r="O1523" s="16" t="s">
        <v>1436</v>
      </c>
      <c r="P1523" s="16" t="s">
        <v>1452</v>
      </c>
      <c r="Q1523" s="16" t="s">
        <v>1436</v>
      </c>
      <c r="R1523" s="16" t="s">
        <v>3300</v>
      </c>
    </row>
    <row r="1524" spans="13:18" x14ac:dyDescent="0.2">
      <c r="M1524" s="20" t="str">
        <f t="shared" si="63"/>
        <v>MOQUEGUA MARISCAL NIETO SAMEGUA</v>
      </c>
      <c r="N1524" s="20">
        <f t="shared" si="64"/>
        <v>0</v>
      </c>
      <c r="O1524" s="16" t="s">
        <v>1436</v>
      </c>
      <c r="P1524" s="16" t="s">
        <v>1452</v>
      </c>
      <c r="Q1524" s="16" t="s">
        <v>1455</v>
      </c>
      <c r="R1524" s="16" t="s">
        <v>3301</v>
      </c>
    </row>
    <row r="1525" spans="13:18" x14ac:dyDescent="0.2">
      <c r="M1525" s="20" t="str">
        <f t="shared" si="63"/>
        <v>MOQUEGUA MARISCAL NIETO SAN CRISTOBAL</v>
      </c>
      <c r="N1525" s="20">
        <f t="shared" si="64"/>
        <v>0</v>
      </c>
      <c r="O1525" s="16" t="s">
        <v>1436</v>
      </c>
      <c r="P1525" s="16" t="s">
        <v>1452</v>
      </c>
      <c r="Q1525" s="16" t="s">
        <v>67</v>
      </c>
      <c r="R1525" s="16" t="s">
        <v>3302</v>
      </c>
    </row>
    <row r="1526" spans="13:18" x14ac:dyDescent="0.2">
      <c r="M1526" s="20" t="str">
        <f t="shared" si="63"/>
        <v>MOQUEGUA MARISCAL NIETO TORATA</v>
      </c>
      <c r="N1526" s="20">
        <f t="shared" si="64"/>
        <v>0</v>
      </c>
      <c r="O1526" s="16" t="s">
        <v>1436</v>
      </c>
      <c r="P1526" s="16" t="s">
        <v>1452</v>
      </c>
      <c r="Q1526" s="16" t="s">
        <v>1456</v>
      </c>
      <c r="R1526" s="16" t="s">
        <v>3303</v>
      </c>
    </row>
    <row r="1527" spans="13:18" x14ac:dyDescent="0.2">
      <c r="M1527" s="20" t="str">
        <f t="shared" si="63"/>
        <v>PASCO DANIEL ALCIDES CARRION CHACAYAN</v>
      </c>
      <c r="N1527" s="20">
        <f t="shared" si="64"/>
        <v>0</v>
      </c>
      <c r="O1527" s="16" t="s">
        <v>1457</v>
      </c>
      <c r="P1527" s="16" t="s">
        <v>986</v>
      </c>
      <c r="Q1527" s="16" t="s">
        <v>1458</v>
      </c>
      <c r="R1527" s="16" t="s">
        <v>3304</v>
      </c>
    </row>
    <row r="1528" spans="13:18" x14ac:dyDescent="0.2">
      <c r="M1528" s="20" t="str">
        <f t="shared" si="63"/>
        <v>PASCO DANIEL ALCIDES CARRION GOYLLARISQUIZGA</v>
      </c>
      <c r="N1528" s="20">
        <f t="shared" si="64"/>
        <v>0</v>
      </c>
      <c r="O1528" s="16" t="s">
        <v>1457</v>
      </c>
      <c r="P1528" s="16" t="s">
        <v>986</v>
      </c>
      <c r="Q1528" s="16" t="s">
        <v>1459</v>
      </c>
      <c r="R1528" s="16" t="s">
        <v>3305</v>
      </c>
    </row>
    <row r="1529" spans="13:18" x14ac:dyDescent="0.2">
      <c r="M1529" s="20" t="str">
        <f t="shared" si="63"/>
        <v>PASCO DANIEL ALCIDES CARRION PAUCAR</v>
      </c>
      <c r="N1529" s="20">
        <f t="shared" si="64"/>
        <v>0</v>
      </c>
      <c r="O1529" s="16" t="s">
        <v>1457</v>
      </c>
      <c r="P1529" s="16" t="s">
        <v>986</v>
      </c>
      <c r="Q1529" s="16" t="s">
        <v>1460</v>
      </c>
      <c r="R1529" s="16" t="s">
        <v>3306</v>
      </c>
    </row>
    <row r="1530" spans="13:18" x14ac:dyDescent="0.2">
      <c r="M1530" s="20" t="str">
        <f t="shared" si="63"/>
        <v>PASCO DANIEL ALCIDES CARRION SAN PEDRO DE PILLAO</v>
      </c>
      <c r="N1530" s="20">
        <f t="shared" si="64"/>
        <v>0</v>
      </c>
      <c r="O1530" s="16" t="s">
        <v>1457</v>
      </c>
      <c r="P1530" s="16" t="s">
        <v>986</v>
      </c>
      <c r="Q1530" s="16" t="s">
        <v>1461</v>
      </c>
      <c r="R1530" s="16" t="s">
        <v>3307</v>
      </c>
    </row>
    <row r="1531" spans="13:18" x14ac:dyDescent="0.2">
      <c r="M1531" s="20" t="str">
        <f t="shared" si="63"/>
        <v>PASCO DANIEL ALCIDES CARRION SANTA ANA DE TUSI</v>
      </c>
      <c r="N1531" s="20">
        <f t="shared" si="64"/>
        <v>0</v>
      </c>
      <c r="O1531" s="16" t="s">
        <v>1457</v>
      </c>
      <c r="P1531" s="16" t="s">
        <v>986</v>
      </c>
      <c r="Q1531" s="16" t="s">
        <v>1462</v>
      </c>
      <c r="R1531" s="16" t="s">
        <v>3308</v>
      </c>
    </row>
    <row r="1532" spans="13:18" x14ac:dyDescent="0.2">
      <c r="M1532" s="20" t="str">
        <f t="shared" si="63"/>
        <v>PASCO DANIEL ALCIDES CARRION TAPUC</v>
      </c>
      <c r="N1532" s="20">
        <f t="shared" si="64"/>
        <v>0</v>
      </c>
      <c r="O1532" s="16" t="s">
        <v>1457</v>
      </c>
      <c r="P1532" s="16" t="s">
        <v>986</v>
      </c>
      <c r="Q1532" s="16" t="s">
        <v>1463</v>
      </c>
      <c r="R1532" s="16" t="s">
        <v>3309</v>
      </c>
    </row>
    <row r="1533" spans="13:18" x14ac:dyDescent="0.2">
      <c r="M1533" s="20" t="str">
        <f t="shared" si="63"/>
        <v>PASCO DANIEL ALCIDES CARRION VILCABAMBA</v>
      </c>
      <c r="N1533" s="20">
        <f t="shared" si="64"/>
        <v>0</v>
      </c>
      <c r="O1533" s="16" t="s">
        <v>1457</v>
      </c>
      <c r="P1533" s="16" t="s">
        <v>986</v>
      </c>
      <c r="Q1533" s="16" t="s">
        <v>347</v>
      </c>
      <c r="R1533" s="16" t="s">
        <v>3310</v>
      </c>
    </row>
    <row r="1534" spans="13:18" x14ac:dyDescent="0.2">
      <c r="M1534" s="20" t="str">
        <f t="shared" si="63"/>
        <v>PASCO DANIEL ALCIDES CARRION YANAHUANCA</v>
      </c>
      <c r="N1534" s="20">
        <f t="shared" si="64"/>
        <v>0</v>
      </c>
      <c r="O1534" s="16" t="s">
        <v>1457</v>
      </c>
      <c r="P1534" s="16" t="s">
        <v>986</v>
      </c>
      <c r="Q1534" s="16" t="s">
        <v>1464</v>
      </c>
      <c r="R1534" s="16" t="s">
        <v>3311</v>
      </c>
    </row>
    <row r="1535" spans="13:18" x14ac:dyDescent="0.2">
      <c r="M1535" s="20" t="str">
        <f t="shared" si="63"/>
        <v>PASCO OXAPAMPA CHONTABAMBA</v>
      </c>
      <c r="N1535" s="20">
        <f t="shared" si="64"/>
        <v>0</v>
      </c>
      <c r="O1535" s="16" t="s">
        <v>1457</v>
      </c>
      <c r="P1535" s="16" t="s">
        <v>1465</v>
      </c>
      <c r="Q1535" s="16" t="s">
        <v>1466</v>
      </c>
      <c r="R1535" s="16" t="s">
        <v>3312</v>
      </c>
    </row>
    <row r="1536" spans="13:18" x14ac:dyDescent="0.2">
      <c r="M1536" s="20" t="str">
        <f t="shared" si="63"/>
        <v>PASCO OXAPAMPA CONSTITUCIÓN</v>
      </c>
      <c r="N1536" s="20">
        <f t="shared" si="64"/>
        <v>0</v>
      </c>
      <c r="O1536" s="16" t="s">
        <v>1457</v>
      </c>
      <c r="P1536" s="16" t="s">
        <v>1465</v>
      </c>
      <c r="Q1536" s="16" t="s">
        <v>1467</v>
      </c>
      <c r="R1536" s="16" t="s">
        <v>3313</v>
      </c>
    </row>
    <row r="1537" spans="13:18" x14ac:dyDescent="0.2">
      <c r="M1537" s="20" t="str">
        <f t="shared" si="63"/>
        <v>PASCO OXAPAMPA HUANCABAMBA</v>
      </c>
      <c r="N1537" s="20">
        <f t="shared" si="64"/>
        <v>0</v>
      </c>
      <c r="O1537" s="16" t="s">
        <v>1457</v>
      </c>
      <c r="P1537" s="16" t="s">
        <v>1465</v>
      </c>
      <c r="Q1537" s="16" t="s">
        <v>1468</v>
      </c>
      <c r="R1537" s="16" t="s">
        <v>3314</v>
      </c>
    </row>
    <row r="1538" spans="13:18" x14ac:dyDescent="0.2">
      <c r="M1538" s="20" t="str">
        <f t="shared" si="63"/>
        <v>PASCO OXAPAMPA OXAPAMPA</v>
      </c>
      <c r="N1538" s="20">
        <f t="shared" si="64"/>
        <v>0</v>
      </c>
      <c r="O1538" s="16" t="s">
        <v>1457</v>
      </c>
      <c r="P1538" s="16" t="s">
        <v>1465</v>
      </c>
      <c r="Q1538" s="16" t="s">
        <v>1465</v>
      </c>
      <c r="R1538" s="16" t="s">
        <v>3315</v>
      </c>
    </row>
    <row r="1539" spans="13:18" x14ac:dyDescent="0.2">
      <c r="M1539" s="20" t="str">
        <f t="shared" ref="M1539:M1602" si="65">O1539&amp;" "&amp;P1539&amp;" "&amp;Q1539</f>
        <v>PASCO OXAPAMPA PALCAZU</v>
      </c>
      <c r="N1539" s="20">
        <f t="shared" ref="N1539:N1602" si="66">IF(AND($D$9=O1539,$D$10=P1539),N1538+1,0)</f>
        <v>0</v>
      </c>
      <c r="O1539" s="16" t="s">
        <v>1457</v>
      </c>
      <c r="P1539" s="16" t="s">
        <v>1465</v>
      </c>
      <c r="Q1539" s="16" t="s">
        <v>1469</v>
      </c>
      <c r="R1539" s="16" t="s">
        <v>3316</v>
      </c>
    </row>
    <row r="1540" spans="13:18" x14ac:dyDescent="0.2">
      <c r="M1540" s="20" t="str">
        <f t="shared" si="65"/>
        <v>PASCO OXAPAMPA POZUZO</v>
      </c>
      <c r="N1540" s="20">
        <f t="shared" si="66"/>
        <v>0</v>
      </c>
      <c r="O1540" s="16" t="s">
        <v>1457</v>
      </c>
      <c r="P1540" s="16" t="s">
        <v>1465</v>
      </c>
      <c r="Q1540" s="16" t="s">
        <v>1470</v>
      </c>
      <c r="R1540" s="16" t="s">
        <v>3317</v>
      </c>
    </row>
    <row r="1541" spans="13:18" x14ac:dyDescent="0.2">
      <c r="M1541" s="20" t="str">
        <f t="shared" si="65"/>
        <v>PASCO OXAPAMPA PUERTO BERMUDEZ</v>
      </c>
      <c r="N1541" s="20">
        <f t="shared" si="66"/>
        <v>0</v>
      </c>
      <c r="O1541" s="16" t="s">
        <v>1457</v>
      </c>
      <c r="P1541" s="16" t="s">
        <v>1465</v>
      </c>
      <c r="Q1541" s="16" t="s">
        <v>1471</v>
      </c>
      <c r="R1541" s="16" t="s">
        <v>3318</v>
      </c>
    </row>
    <row r="1542" spans="13:18" x14ac:dyDescent="0.2">
      <c r="M1542" s="20" t="str">
        <f t="shared" si="65"/>
        <v>PASCO OXAPAMPA VILLA RICA</v>
      </c>
      <c r="N1542" s="20">
        <f t="shared" si="66"/>
        <v>0</v>
      </c>
      <c r="O1542" s="16" t="s">
        <v>1457</v>
      </c>
      <c r="P1542" s="16" t="s">
        <v>1465</v>
      </c>
      <c r="Q1542" s="16" t="s">
        <v>1472</v>
      </c>
      <c r="R1542" s="16" t="s">
        <v>3319</v>
      </c>
    </row>
    <row r="1543" spans="13:18" x14ac:dyDescent="0.2">
      <c r="M1543" s="20" t="str">
        <f t="shared" si="65"/>
        <v>PASCO PASCO CHAUPIMARCA</v>
      </c>
      <c r="N1543" s="20">
        <f t="shared" si="66"/>
        <v>0</v>
      </c>
      <c r="O1543" s="16" t="s">
        <v>1457</v>
      </c>
      <c r="P1543" s="16" t="s">
        <v>1457</v>
      </c>
      <c r="Q1543" s="16" t="s">
        <v>1473</v>
      </c>
      <c r="R1543" s="16" t="s">
        <v>3320</v>
      </c>
    </row>
    <row r="1544" spans="13:18" x14ac:dyDescent="0.2">
      <c r="M1544" s="20" t="str">
        <f t="shared" si="65"/>
        <v>PASCO PASCO HUACHON</v>
      </c>
      <c r="N1544" s="20">
        <f t="shared" si="66"/>
        <v>0</v>
      </c>
      <c r="O1544" s="16" t="s">
        <v>1457</v>
      </c>
      <c r="P1544" s="16" t="s">
        <v>1457</v>
      </c>
      <c r="Q1544" s="16" t="s">
        <v>1474</v>
      </c>
      <c r="R1544" s="16" t="s">
        <v>3321</v>
      </c>
    </row>
    <row r="1545" spans="13:18" x14ac:dyDescent="0.2">
      <c r="M1545" s="20" t="str">
        <f t="shared" si="65"/>
        <v>PASCO PASCO HUARIACA</v>
      </c>
      <c r="N1545" s="20">
        <f t="shared" si="66"/>
        <v>0</v>
      </c>
      <c r="O1545" s="16" t="s">
        <v>1457</v>
      </c>
      <c r="P1545" s="16" t="s">
        <v>1457</v>
      </c>
      <c r="Q1545" s="16" t="s">
        <v>1475</v>
      </c>
      <c r="R1545" s="16" t="s">
        <v>3322</v>
      </c>
    </row>
    <row r="1546" spans="13:18" x14ac:dyDescent="0.2">
      <c r="M1546" s="20" t="str">
        <f t="shared" si="65"/>
        <v>PASCO PASCO HUAYLLAY</v>
      </c>
      <c r="N1546" s="20">
        <f t="shared" si="66"/>
        <v>0</v>
      </c>
      <c r="O1546" s="16" t="s">
        <v>1457</v>
      </c>
      <c r="P1546" s="16" t="s">
        <v>1457</v>
      </c>
      <c r="Q1546" s="16" t="s">
        <v>1476</v>
      </c>
      <c r="R1546" s="16" t="s">
        <v>3323</v>
      </c>
    </row>
    <row r="1547" spans="13:18" x14ac:dyDescent="0.2">
      <c r="M1547" s="20" t="str">
        <f t="shared" si="65"/>
        <v>PASCO PASCO NINACACA</v>
      </c>
      <c r="N1547" s="20">
        <f t="shared" si="66"/>
        <v>0</v>
      </c>
      <c r="O1547" s="16" t="s">
        <v>1457</v>
      </c>
      <c r="P1547" s="16" t="s">
        <v>1457</v>
      </c>
      <c r="Q1547" s="16" t="s">
        <v>1477</v>
      </c>
      <c r="R1547" s="16" t="s">
        <v>3324</v>
      </c>
    </row>
    <row r="1548" spans="13:18" x14ac:dyDescent="0.2">
      <c r="M1548" s="20" t="str">
        <f t="shared" si="65"/>
        <v>PASCO PASCO PALLANCHACRA</v>
      </c>
      <c r="N1548" s="20">
        <f t="shared" si="66"/>
        <v>0</v>
      </c>
      <c r="O1548" s="16" t="s">
        <v>1457</v>
      </c>
      <c r="P1548" s="16" t="s">
        <v>1457</v>
      </c>
      <c r="Q1548" s="16" t="s">
        <v>1478</v>
      </c>
      <c r="R1548" s="16" t="s">
        <v>3325</v>
      </c>
    </row>
    <row r="1549" spans="13:18" x14ac:dyDescent="0.2">
      <c r="M1549" s="20" t="str">
        <f t="shared" si="65"/>
        <v>PASCO PASCO PAUCARTAMBO</v>
      </c>
      <c r="N1549" s="20">
        <f t="shared" si="66"/>
        <v>0</v>
      </c>
      <c r="O1549" s="16" t="s">
        <v>1457</v>
      </c>
      <c r="P1549" s="16" t="s">
        <v>1457</v>
      </c>
      <c r="Q1549" s="16" t="s">
        <v>775</v>
      </c>
      <c r="R1549" s="16" t="s">
        <v>3326</v>
      </c>
    </row>
    <row r="1550" spans="13:18" x14ac:dyDescent="0.2">
      <c r="M1550" s="20" t="str">
        <f t="shared" si="65"/>
        <v>PASCO PASCO SAN FRANCISCO DE ASIS DE YARUSYACAN</v>
      </c>
      <c r="N1550" s="20">
        <f t="shared" si="66"/>
        <v>0</v>
      </c>
      <c r="O1550" s="16" t="s">
        <v>1457</v>
      </c>
      <c r="P1550" s="16" t="s">
        <v>1457</v>
      </c>
      <c r="Q1550" s="16" t="s">
        <v>1479</v>
      </c>
      <c r="R1550" s="16" t="s">
        <v>3327</v>
      </c>
    </row>
    <row r="1551" spans="13:18" x14ac:dyDescent="0.2">
      <c r="M1551" s="20" t="str">
        <f t="shared" si="65"/>
        <v>PASCO PASCO SIMON BOLIVAR</v>
      </c>
      <c r="N1551" s="20">
        <f t="shared" si="66"/>
        <v>0</v>
      </c>
      <c r="O1551" s="16" t="s">
        <v>1457</v>
      </c>
      <c r="P1551" s="16" t="s">
        <v>1457</v>
      </c>
      <c r="Q1551" s="16" t="s">
        <v>998</v>
      </c>
      <c r="R1551" s="16" t="s">
        <v>3328</v>
      </c>
    </row>
    <row r="1552" spans="13:18" x14ac:dyDescent="0.2">
      <c r="M1552" s="20" t="str">
        <f t="shared" si="65"/>
        <v>PASCO PASCO TICLACAYAN</v>
      </c>
      <c r="N1552" s="20">
        <f t="shared" si="66"/>
        <v>0</v>
      </c>
      <c r="O1552" s="16" t="s">
        <v>1457</v>
      </c>
      <c r="P1552" s="16" t="s">
        <v>1457</v>
      </c>
      <c r="Q1552" s="16" t="s">
        <v>1480</v>
      </c>
      <c r="R1552" s="16" t="s">
        <v>3329</v>
      </c>
    </row>
    <row r="1553" spans="13:18" x14ac:dyDescent="0.2">
      <c r="M1553" s="20" t="str">
        <f t="shared" si="65"/>
        <v>PASCO PASCO TINYAHUARCO</v>
      </c>
      <c r="N1553" s="20">
        <f t="shared" si="66"/>
        <v>0</v>
      </c>
      <c r="O1553" s="16" t="s">
        <v>1457</v>
      </c>
      <c r="P1553" s="16" t="s">
        <v>1457</v>
      </c>
      <c r="Q1553" s="16" t="s">
        <v>1481</v>
      </c>
      <c r="R1553" s="16" t="s">
        <v>3330</v>
      </c>
    </row>
    <row r="1554" spans="13:18" x14ac:dyDescent="0.2">
      <c r="M1554" s="20" t="str">
        <f t="shared" si="65"/>
        <v>PASCO PASCO VICCO</v>
      </c>
      <c r="N1554" s="20">
        <f t="shared" si="66"/>
        <v>0</v>
      </c>
      <c r="O1554" s="16" t="s">
        <v>1457</v>
      </c>
      <c r="P1554" s="16" t="s">
        <v>1457</v>
      </c>
      <c r="Q1554" s="16" t="s">
        <v>1482</v>
      </c>
      <c r="R1554" s="16" t="s">
        <v>3331</v>
      </c>
    </row>
    <row r="1555" spans="13:18" x14ac:dyDescent="0.2">
      <c r="M1555" s="20" t="str">
        <f t="shared" si="65"/>
        <v>PASCO PASCO YANACANCHA</v>
      </c>
      <c r="N1555" s="20">
        <f t="shared" si="66"/>
        <v>0</v>
      </c>
      <c r="O1555" s="16" t="s">
        <v>1457</v>
      </c>
      <c r="P1555" s="16" t="s">
        <v>1457</v>
      </c>
      <c r="Q1555" s="16" t="s">
        <v>1021</v>
      </c>
      <c r="R1555" s="16" t="s">
        <v>3332</v>
      </c>
    </row>
    <row r="1556" spans="13:18" x14ac:dyDescent="0.2">
      <c r="M1556" s="20" t="str">
        <f t="shared" si="65"/>
        <v>PIURA AYABACA AYABACA</v>
      </c>
      <c r="N1556" s="20">
        <f t="shared" si="66"/>
        <v>0</v>
      </c>
      <c r="O1556" s="16" t="s">
        <v>1483</v>
      </c>
      <c r="P1556" s="16" t="s">
        <v>1484</v>
      </c>
      <c r="Q1556" s="16" t="s">
        <v>1484</v>
      </c>
      <c r="R1556" s="16" t="s">
        <v>3333</v>
      </c>
    </row>
    <row r="1557" spans="13:18" x14ac:dyDescent="0.2">
      <c r="M1557" s="20" t="str">
        <f t="shared" si="65"/>
        <v>PIURA AYABACA FRIAS</v>
      </c>
      <c r="N1557" s="20">
        <f t="shared" si="66"/>
        <v>0</v>
      </c>
      <c r="O1557" s="16" t="s">
        <v>1483</v>
      </c>
      <c r="P1557" s="16" t="s">
        <v>1484</v>
      </c>
      <c r="Q1557" s="16" t="s">
        <v>1485</v>
      </c>
      <c r="R1557" s="16" t="s">
        <v>3334</v>
      </c>
    </row>
    <row r="1558" spans="13:18" x14ac:dyDescent="0.2">
      <c r="M1558" s="20" t="str">
        <f t="shared" si="65"/>
        <v>PIURA AYABACA JILILI</v>
      </c>
      <c r="N1558" s="20">
        <f t="shared" si="66"/>
        <v>0</v>
      </c>
      <c r="O1558" s="16" t="s">
        <v>1483</v>
      </c>
      <c r="P1558" s="16" t="s">
        <v>1484</v>
      </c>
      <c r="Q1558" s="16" t="s">
        <v>1486</v>
      </c>
      <c r="R1558" s="16" t="s">
        <v>3335</v>
      </c>
    </row>
    <row r="1559" spans="13:18" x14ac:dyDescent="0.2">
      <c r="M1559" s="20" t="str">
        <f t="shared" si="65"/>
        <v>PIURA AYABACA LAGUNAS</v>
      </c>
      <c r="N1559" s="20">
        <f t="shared" si="66"/>
        <v>0</v>
      </c>
      <c r="O1559" s="16" t="s">
        <v>1483</v>
      </c>
      <c r="P1559" s="16" t="s">
        <v>1484</v>
      </c>
      <c r="Q1559" s="16" t="s">
        <v>1199</v>
      </c>
      <c r="R1559" s="16" t="s">
        <v>3336</v>
      </c>
    </row>
    <row r="1560" spans="13:18" x14ac:dyDescent="0.2">
      <c r="M1560" s="20" t="str">
        <f t="shared" si="65"/>
        <v>PIURA AYABACA MONTERO</v>
      </c>
      <c r="N1560" s="20">
        <f t="shared" si="66"/>
        <v>0</v>
      </c>
      <c r="O1560" s="16" t="s">
        <v>1483</v>
      </c>
      <c r="P1560" s="16" t="s">
        <v>1484</v>
      </c>
      <c r="Q1560" s="16" t="s">
        <v>1487</v>
      </c>
      <c r="R1560" s="16" t="s">
        <v>3337</v>
      </c>
    </row>
    <row r="1561" spans="13:18" x14ac:dyDescent="0.2">
      <c r="M1561" s="20" t="str">
        <f t="shared" si="65"/>
        <v>PIURA AYABACA PACAIPAMPA</v>
      </c>
      <c r="N1561" s="20">
        <f t="shared" si="66"/>
        <v>0</v>
      </c>
      <c r="O1561" s="16" t="s">
        <v>1483</v>
      </c>
      <c r="P1561" s="16" t="s">
        <v>1484</v>
      </c>
      <c r="Q1561" s="16" t="s">
        <v>1488</v>
      </c>
      <c r="R1561" s="16" t="s">
        <v>3338</v>
      </c>
    </row>
    <row r="1562" spans="13:18" x14ac:dyDescent="0.2">
      <c r="M1562" s="20" t="str">
        <f t="shared" si="65"/>
        <v>PIURA AYABACA PAIMAS</v>
      </c>
      <c r="N1562" s="20">
        <f t="shared" si="66"/>
        <v>0</v>
      </c>
      <c r="O1562" s="16" t="s">
        <v>1483</v>
      </c>
      <c r="P1562" s="16" t="s">
        <v>1484</v>
      </c>
      <c r="Q1562" s="16" t="s">
        <v>1489</v>
      </c>
      <c r="R1562" s="16" t="s">
        <v>3339</v>
      </c>
    </row>
    <row r="1563" spans="13:18" x14ac:dyDescent="0.2">
      <c r="M1563" s="20" t="str">
        <f t="shared" si="65"/>
        <v>PIURA AYABACA SAPILLICA</v>
      </c>
      <c r="N1563" s="20">
        <f t="shared" si="66"/>
        <v>0</v>
      </c>
      <c r="O1563" s="16" t="s">
        <v>1483</v>
      </c>
      <c r="P1563" s="16" t="s">
        <v>1484</v>
      </c>
      <c r="Q1563" s="16" t="s">
        <v>1490</v>
      </c>
      <c r="R1563" s="16" t="s">
        <v>3340</v>
      </c>
    </row>
    <row r="1564" spans="13:18" x14ac:dyDescent="0.2">
      <c r="M1564" s="20" t="str">
        <f t="shared" si="65"/>
        <v>PIURA AYABACA SICCHEZ</v>
      </c>
      <c r="N1564" s="20">
        <f t="shared" si="66"/>
        <v>0</v>
      </c>
      <c r="O1564" s="16" t="s">
        <v>1483</v>
      </c>
      <c r="P1564" s="16" t="s">
        <v>1484</v>
      </c>
      <c r="Q1564" s="16" t="s">
        <v>1491</v>
      </c>
      <c r="R1564" s="16" t="s">
        <v>3341</v>
      </c>
    </row>
    <row r="1565" spans="13:18" x14ac:dyDescent="0.2">
      <c r="M1565" s="20" t="str">
        <f t="shared" si="65"/>
        <v>PIURA AYABACA SUYO</v>
      </c>
      <c r="N1565" s="20">
        <f t="shared" si="66"/>
        <v>0</v>
      </c>
      <c r="O1565" s="16" t="s">
        <v>1483</v>
      </c>
      <c r="P1565" s="16" t="s">
        <v>1484</v>
      </c>
      <c r="Q1565" s="16" t="s">
        <v>1492</v>
      </c>
      <c r="R1565" s="16" t="s">
        <v>3342</v>
      </c>
    </row>
    <row r="1566" spans="13:18" x14ac:dyDescent="0.2">
      <c r="M1566" s="20" t="str">
        <f t="shared" si="65"/>
        <v>PIURA HUANCABAMBA CANCHAQUE</v>
      </c>
      <c r="N1566" s="20">
        <f t="shared" si="66"/>
        <v>0</v>
      </c>
      <c r="O1566" s="16" t="s">
        <v>1483</v>
      </c>
      <c r="P1566" s="16" t="s">
        <v>1468</v>
      </c>
      <c r="Q1566" s="16" t="s">
        <v>1493</v>
      </c>
      <c r="R1566" s="16" t="s">
        <v>3343</v>
      </c>
    </row>
    <row r="1567" spans="13:18" x14ac:dyDescent="0.2">
      <c r="M1567" s="20" t="str">
        <f t="shared" si="65"/>
        <v>PIURA HUANCABAMBA EL CARMEN DE LA FRONTERA</v>
      </c>
      <c r="N1567" s="20">
        <f t="shared" si="66"/>
        <v>0</v>
      </c>
      <c r="O1567" s="16" t="s">
        <v>1483</v>
      </c>
      <c r="P1567" s="16" t="s">
        <v>1468</v>
      </c>
      <c r="Q1567" s="16" t="s">
        <v>1494</v>
      </c>
      <c r="R1567" s="16" t="s">
        <v>3344</v>
      </c>
    </row>
    <row r="1568" spans="13:18" x14ac:dyDescent="0.2">
      <c r="M1568" s="20" t="str">
        <f t="shared" si="65"/>
        <v>PIURA HUANCABAMBA HUANCABAMBA</v>
      </c>
      <c r="N1568" s="20">
        <f t="shared" si="66"/>
        <v>0</v>
      </c>
      <c r="O1568" s="16" t="s">
        <v>1483</v>
      </c>
      <c r="P1568" s="16" t="s">
        <v>1468</v>
      </c>
      <c r="Q1568" s="16" t="s">
        <v>1468</v>
      </c>
      <c r="R1568" s="16" t="s">
        <v>3345</v>
      </c>
    </row>
    <row r="1569" spans="13:18" x14ac:dyDescent="0.2">
      <c r="M1569" s="20" t="str">
        <f t="shared" si="65"/>
        <v>PIURA HUANCABAMBA HUARMACA</v>
      </c>
      <c r="N1569" s="20">
        <f t="shared" si="66"/>
        <v>0</v>
      </c>
      <c r="O1569" s="16" t="s">
        <v>1483</v>
      </c>
      <c r="P1569" s="16" t="s">
        <v>1468</v>
      </c>
      <c r="Q1569" s="16" t="s">
        <v>1495</v>
      </c>
      <c r="R1569" s="16" t="s">
        <v>3346</v>
      </c>
    </row>
    <row r="1570" spans="13:18" x14ac:dyDescent="0.2">
      <c r="M1570" s="20" t="str">
        <f t="shared" si="65"/>
        <v>PIURA HUANCABAMBA LALAQUIZ</v>
      </c>
      <c r="N1570" s="20">
        <f t="shared" si="66"/>
        <v>0</v>
      </c>
      <c r="O1570" s="16" t="s">
        <v>1483</v>
      </c>
      <c r="P1570" s="16" t="s">
        <v>1468</v>
      </c>
      <c r="Q1570" s="16" t="s">
        <v>1496</v>
      </c>
      <c r="R1570" s="16" t="s">
        <v>3347</v>
      </c>
    </row>
    <row r="1571" spans="13:18" x14ac:dyDescent="0.2">
      <c r="M1571" s="20" t="str">
        <f t="shared" si="65"/>
        <v>PIURA HUANCABAMBA SAN MIGUEL DE EL FAIQUE</v>
      </c>
      <c r="N1571" s="20">
        <f t="shared" si="66"/>
        <v>0</v>
      </c>
      <c r="O1571" s="16" t="s">
        <v>1483</v>
      </c>
      <c r="P1571" s="16" t="s">
        <v>1468</v>
      </c>
      <c r="Q1571" s="16" t="s">
        <v>1497</v>
      </c>
      <c r="R1571" s="16" t="s">
        <v>3348</v>
      </c>
    </row>
    <row r="1572" spans="13:18" x14ac:dyDescent="0.2">
      <c r="M1572" s="20" t="str">
        <f t="shared" si="65"/>
        <v>PIURA HUANCABAMBA SONDOR</v>
      </c>
      <c r="N1572" s="20">
        <f t="shared" si="66"/>
        <v>0</v>
      </c>
      <c r="O1572" s="16" t="s">
        <v>1483</v>
      </c>
      <c r="P1572" s="16" t="s">
        <v>1468</v>
      </c>
      <c r="Q1572" s="16" t="s">
        <v>1498</v>
      </c>
      <c r="R1572" s="16" t="s">
        <v>3349</v>
      </c>
    </row>
    <row r="1573" spans="13:18" x14ac:dyDescent="0.2">
      <c r="M1573" s="20" t="str">
        <f t="shared" si="65"/>
        <v>PIURA HUANCABAMBA SONDORILLO</v>
      </c>
      <c r="N1573" s="20">
        <f t="shared" si="66"/>
        <v>0</v>
      </c>
      <c r="O1573" s="16" t="s">
        <v>1483</v>
      </c>
      <c r="P1573" s="16" t="s">
        <v>1468</v>
      </c>
      <c r="Q1573" s="16" t="s">
        <v>1499</v>
      </c>
      <c r="R1573" s="16" t="s">
        <v>3350</v>
      </c>
    </row>
    <row r="1574" spans="13:18" x14ac:dyDescent="0.2">
      <c r="M1574" s="20" t="str">
        <f t="shared" si="65"/>
        <v>PIURA MORROPON BUENOS AIRES</v>
      </c>
      <c r="N1574" s="20">
        <f t="shared" si="66"/>
        <v>0</v>
      </c>
      <c r="O1574" s="16" t="s">
        <v>1483</v>
      </c>
      <c r="P1574" s="16" t="s">
        <v>1500</v>
      </c>
      <c r="Q1574" s="16" t="s">
        <v>1501</v>
      </c>
      <c r="R1574" s="16" t="s">
        <v>3351</v>
      </c>
    </row>
    <row r="1575" spans="13:18" x14ac:dyDescent="0.2">
      <c r="M1575" s="20" t="str">
        <f t="shared" si="65"/>
        <v>PIURA MORROPON CHALACO</v>
      </c>
      <c r="N1575" s="20">
        <f t="shared" si="66"/>
        <v>0</v>
      </c>
      <c r="O1575" s="16" t="s">
        <v>1483</v>
      </c>
      <c r="P1575" s="16" t="s">
        <v>1500</v>
      </c>
      <c r="Q1575" s="16" t="s">
        <v>1502</v>
      </c>
      <c r="R1575" s="16" t="s">
        <v>3352</v>
      </c>
    </row>
    <row r="1576" spans="13:18" x14ac:dyDescent="0.2">
      <c r="M1576" s="20" t="str">
        <f t="shared" si="65"/>
        <v>PIURA MORROPON CHULUCANAS</v>
      </c>
      <c r="N1576" s="20">
        <f t="shared" si="66"/>
        <v>0</v>
      </c>
      <c r="O1576" s="16" t="s">
        <v>1483</v>
      </c>
      <c r="P1576" s="16" t="s">
        <v>1500</v>
      </c>
      <c r="Q1576" s="16" t="s">
        <v>1503</v>
      </c>
      <c r="R1576" s="16" t="s">
        <v>3353</v>
      </c>
    </row>
    <row r="1577" spans="13:18" x14ac:dyDescent="0.2">
      <c r="M1577" s="20" t="str">
        <f t="shared" si="65"/>
        <v>PIURA MORROPON LA MATANZA</v>
      </c>
      <c r="N1577" s="20">
        <f t="shared" si="66"/>
        <v>0</v>
      </c>
      <c r="O1577" s="16" t="s">
        <v>1483</v>
      </c>
      <c r="P1577" s="16" t="s">
        <v>1500</v>
      </c>
      <c r="Q1577" s="16" t="s">
        <v>1504</v>
      </c>
      <c r="R1577" s="16" t="s">
        <v>3354</v>
      </c>
    </row>
    <row r="1578" spans="13:18" x14ac:dyDescent="0.2">
      <c r="M1578" s="20" t="str">
        <f t="shared" si="65"/>
        <v>PIURA MORROPON MORROPON</v>
      </c>
      <c r="N1578" s="20">
        <f t="shared" si="66"/>
        <v>0</v>
      </c>
      <c r="O1578" s="16" t="s">
        <v>1483</v>
      </c>
      <c r="P1578" s="16" t="s">
        <v>1500</v>
      </c>
      <c r="Q1578" s="16" t="s">
        <v>1500</v>
      </c>
      <c r="R1578" s="16" t="s">
        <v>3355</v>
      </c>
    </row>
    <row r="1579" spans="13:18" x14ac:dyDescent="0.2">
      <c r="M1579" s="20" t="str">
        <f t="shared" si="65"/>
        <v>PIURA MORROPON SALITRAL</v>
      </c>
      <c r="N1579" s="20">
        <f t="shared" si="66"/>
        <v>0</v>
      </c>
      <c r="O1579" s="16" t="s">
        <v>1483</v>
      </c>
      <c r="P1579" s="16" t="s">
        <v>1500</v>
      </c>
      <c r="Q1579" s="16" t="s">
        <v>1505</v>
      </c>
      <c r="R1579" s="16" t="s">
        <v>3356</v>
      </c>
    </row>
    <row r="1580" spans="13:18" x14ac:dyDescent="0.2">
      <c r="M1580" s="20" t="str">
        <f t="shared" si="65"/>
        <v>PIURA MORROPON SAN JUAN DE BIGOTE</v>
      </c>
      <c r="N1580" s="20">
        <f t="shared" si="66"/>
        <v>0</v>
      </c>
      <c r="O1580" s="16" t="s">
        <v>1483</v>
      </c>
      <c r="P1580" s="16" t="s">
        <v>1500</v>
      </c>
      <c r="Q1580" s="16" t="s">
        <v>1506</v>
      </c>
      <c r="R1580" s="16" t="s">
        <v>3357</v>
      </c>
    </row>
    <row r="1581" spans="13:18" x14ac:dyDescent="0.2">
      <c r="M1581" s="20" t="str">
        <f t="shared" si="65"/>
        <v>PIURA MORROPON SANTA CATALINA DE MOSSA</v>
      </c>
      <c r="N1581" s="20">
        <f t="shared" si="66"/>
        <v>0</v>
      </c>
      <c r="O1581" s="16" t="s">
        <v>1483</v>
      </c>
      <c r="P1581" s="16" t="s">
        <v>1500</v>
      </c>
      <c r="Q1581" s="16" t="s">
        <v>1507</v>
      </c>
      <c r="R1581" s="16" t="s">
        <v>3358</v>
      </c>
    </row>
    <row r="1582" spans="13:18" x14ac:dyDescent="0.2">
      <c r="M1582" s="20" t="str">
        <f t="shared" si="65"/>
        <v>PIURA MORROPON SANTO DOMINGO</v>
      </c>
      <c r="N1582" s="20">
        <f t="shared" si="66"/>
        <v>0</v>
      </c>
      <c r="O1582" s="16" t="s">
        <v>1483</v>
      </c>
      <c r="P1582" s="16" t="s">
        <v>1500</v>
      </c>
      <c r="Q1582" s="16" t="s">
        <v>7</v>
      </c>
      <c r="R1582" s="16" t="s">
        <v>3359</v>
      </c>
    </row>
    <row r="1583" spans="13:18" x14ac:dyDescent="0.2">
      <c r="M1583" s="20" t="str">
        <f t="shared" si="65"/>
        <v>PIURA MORROPON YAMANGO</v>
      </c>
      <c r="N1583" s="20">
        <f t="shared" si="66"/>
        <v>0</v>
      </c>
      <c r="O1583" s="16" t="s">
        <v>1483</v>
      </c>
      <c r="P1583" s="16" t="s">
        <v>1500</v>
      </c>
      <c r="Q1583" s="16" t="s">
        <v>1508</v>
      </c>
      <c r="R1583" s="16" t="s">
        <v>3360</v>
      </c>
    </row>
    <row r="1584" spans="13:18" x14ac:dyDescent="0.2">
      <c r="M1584" s="20" t="str">
        <f t="shared" si="65"/>
        <v>PIURA PAITA AMOTAPE</v>
      </c>
      <c r="N1584" s="20">
        <f t="shared" si="66"/>
        <v>0</v>
      </c>
      <c r="O1584" s="16" t="s">
        <v>1483</v>
      </c>
      <c r="P1584" s="16" t="s">
        <v>1509</v>
      </c>
      <c r="Q1584" s="16" t="s">
        <v>1510</v>
      </c>
      <c r="R1584" s="16" t="s">
        <v>3361</v>
      </c>
    </row>
    <row r="1585" spans="13:18" x14ac:dyDescent="0.2">
      <c r="M1585" s="20" t="str">
        <f t="shared" si="65"/>
        <v>PIURA PAITA ARENAL</v>
      </c>
      <c r="N1585" s="20">
        <f t="shared" si="66"/>
        <v>0</v>
      </c>
      <c r="O1585" s="16" t="s">
        <v>1483</v>
      </c>
      <c r="P1585" s="16" t="s">
        <v>1509</v>
      </c>
      <c r="Q1585" s="16" t="s">
        <v>1511</v>
      </c>
      <c r="R1585" s="16" t="s">
        <v>3362</v>
      </c>
    </row>
    <row r="1586" spans="13:18" x14ac:dyDescent="0.2">
      <c r="M1586" s="20" t="str">
        <f t="shared" si="65"/>
        <v>PIURA PAITA COLAN</v>
      </c>
      <c r="N1586" s="20">
        <f t="shared" si="66"/>
        <v>0</v>
      </c>
      <c r="O1586" s="16" t="s">
        <v>1483</v>
      </c>
      <c r="P1586" s="16" t="s">
        <v>1509</v>
      </c>
      <c r="Q1586" s="16" t="s">
        <v>1512</v>
      </c>
      <c r="R1586" s="16" t="s">
        <v>3363</v>
      </c>
    </row>
    <row r="1587" spans="13:18" x14ac:dyDescent="0.2">
      <c r="M1587" s="20" t="str">
        <f t="shared" si="65"/>
        <v>PIURA PAITA LA HUACA</v>
      </c>
      <c r="N1587" s="20">
        <f t="shared" si="66"/>
        <v>0</v>
      </c>
      <c r="O1587" s="16" t="s">
        <v>1483</v>
      </c>
      <c r="P1587" s="16" t="s">
        <v>1509</v>
      </c>
      <c r="Q1587" s="16" t="s">
        <v>1513</v>
      </c>
      <c r="R1587" s="16" t="s">
        <v>3364</v>
      </c>
    </row>
    <row r="1588" spans="13:18" x14ac:dyDescent="0.2">
      <c r="M1588" s="20" t="str">
        <f t="shared" si="65"/>
        <v>PIURA PAITA PAITA</v>
      </c>
      <c r="N1588" s="20">
        <f t="shared" si="66"/>
        <v>0</v>
      </c>
      <c r="O1588" s="16" t="s">
        <v>1483</v>
      </c>
      <c r="P1588" s="16" t="s">
        <v>1509</v>
      </c>
      <c r="Q1588" s="16" t="s">
        <v>1509</v>
      </c>
      <c r="R1588" s="16" t="s">
        <v>3365</v>
      </c>
    </row>
    <row r="1589" spans="13:18" x14ac:dyDescent="0.2">
      <c r="M1589" s="20" t="str">
        <f t="shared" si="65"/>
        <v>PIURA PAITA TAMARINDO</v>
      </c>
      <c r="N1589" s="20">
        <f t="shared" si="66"/>
        <v>0</v>
      </c>
      <c r="O1589" s="16" t="s">
        <v>1483</v>
      </c>
      <c r="P1589" s="16" t="s">
        <v>1509</v>
      </c>
      <c r="Q1589" s="16" t="s">
        <v>1514</v>
      </c>
      <c r="R1589" s="16" t="s">
        <v>3366</v>
      </c>
    </row>
    <row r="1590" spans="13:18" x14ac:dyDescent="0.2">
      <c r="M1590" s="20" t="str">
        <f t="shared" si="65"/>
        <v>PIURA PAITA VICHAYAL</v>
      </c>
      <c r="N1590" s="20">
        <f t="shared" si="66"/>
        <v>0</v>
      </c>
      <c r="O1590" s="16" t="s">
        <v>1483</v>
      </c>
      <c r="P1590" s="16" t="s">
        <v>1509</v>
      </c>
      <c r="Q1590" s="16" t="s">
        <v>1515</v>
      </c>
      <c r="R1590" s="16" t="s">
        <v>3367</v>
      </c>
    </row>
    <row r="1591" spans="13:18" x14ac:dyDescent="0.2">
      <c r="M1591" s="20" t="str">
        <f t="shared" si="65"/>
        <v>PIURA PIURA CASTILLA</v>
      </c>
      <c r="N1591" s="20">
        <f t="shared" si="66"/>
        <v>0</v>
      </c>
      <c r="O1591" s="16" t="s">
        <v>1483</v>
      </c>
      <c r="P1591" s="16" t="s">
        <v>1483</v>
      </c>
      <c r="Q1591" s="16" t="s">
        <v>399</v>
      </c>
      <c r="R1591" s="16" t="s">
        <v>3368</v>
      </c>
    </row>
    <row r="1592" spans="13:18" x14ac:dyDescent="0.2">
      <c r="M1592" s="20" t="str">
        <f t="shared" si="65"/>
        <v>PIURA PIURA CATACAOS</v>
      </c>
      <c r="N1592" s="20">
        <f t="shared" si="66"/>
        <v>0</v>
      </c>
      <c r="O1592" s="16" t="s">
        <v>1483</v>
      </c>
      <c r="P1592" s="16" t="s">
        <v>1483</v>
      </c>
      <c r="Q1592" s="16" t="s">
        <v>1516</v>
      </c>
      <c r="R1592" s="16" t="s">
        <v>3369</v>
      </c>
    </row>
    <row r="1593" spans="13:18" x14ac:dyDescent="0.2">
      <c r="M1593" s="20" t="str">
        <f t="shared" si="65"/>
        <v>PIURA PIURA CURA MORI</v>
      </c>
      <c r="N1593" s="20">
        <f t="shared" si="66"/>
        <v>0</v>
      </c>
      <c r="O1593" s="16" t="s">
        <v>1483</v>
      </c>
      <c r="P1593" s="16" t="s">
        <v>1483</v>
      </c>
      <c r="Q1593" s="16" t="s">
        <v>1517</v>
      </c>
      <c r="R1593" s="16" t="s">
        <v>3370</v>
      </c>
    </row>
    <row r="1594" spans="13:18" x14ac:dyDescent="0.2">
      <c r="M1594" s="20" t="str">
        <f t="shared" si="65"/>
        <v>PIURA PIURA EL TALLÁN</v>
      </c>
      <c r="N1594" s="20">
        <f t="shared" si="66"/>
        <v>0</v>
      </c>
      <c r="O1594" s="16" t="s">
        <v>1483</v>
      </c>
      <c r="P1594" s="16" t="s">
        <v>1483</v>
      </c>
      <c r="Q1594" s="16" t="s">
        <v>1518</v>
      </c>
      <c r="R1594" s="16" t="s">
        <v>3371</v>
      </c>
    </row>
    <row r="1595" spans="13:18" x14ac:dyDescent="0.2">
      <c r="M1595" s="20" t="str">
        <f t="shared" si="65"/>
        <v>PIURA PIURA LA ARENA</v>
      </c>
      <c r="N1595" s="20">
        <f t="shared" si="66"/>
        <v>0</v>
      </c>
      <c r="O1595" s="16" t="s">
        <v>1483</v>
      </c>
      <c r="P1595" s="16" t="s">
        <v>1483</v>
      </c>
      <c r="Q1595" s="16" t="s">
        <v>1519</v>
      </c>
      <c r="R1595" s="16" t="s">
        <v>3372</v>
      </c>
    </row>
    <row r="1596" spans="13:18" x14ac:dyDescent="0.2">
      <c r="M1596" s="20" t="str">
        <f t="shared" si="65"/>
        <v>PIURA PIURA LA UNION</v>
      </c>
      <c r="N1596" s="20">
        <f t="shared" si="66"/>
        <v>0</v>
      </c>
      <c r="O1596" s="16" t="s">
        <v>1483</v>
      </c>
      <c r="P1596" s="16" t="s">
        <v>1483</v>
      </c>
      <c r="Q1596" s="16" t="s">
        <v>447</v>
      </c>
      <c r="R1596" s="16" t="s">
        <v>3373</v>
      </c>
    </row>
    <row r="1597" spans="13:18" x14ac:dyDescent="0.2">
      <c r="M1597" s="20" t="str">
        <f t="shared" si="65"/>
        <v>PIURA PIURA LAS LOMAS</v>
      </c>
      <c r="N1597" s="20">
        <f t="shared" si="66"/>
        <v>0</v>
      </c>
      <c r="O1597" s="16" t="s">
        <v>1483</v>
      </c>
      <c r="P1597" s="16" t="s">
        <v>1483</v>
      </c>
      <c r="Q1597" s="16" t="s">
        <v>1520</v>
      </c>
      <c r="R1597" s="16" t="s">
        <v>3374</v>
      </c>
    </row>
    <row r="1598" spans="13:18" x14ac:dyDescent="0.2">
      <c r="M1598" s="20" t="str">
        <f t="shared" si="65"/>
        <v>PIURA PIURA PIURA</v>
      </c>
      <c r="N1598" s="20">
        <f t="shared" si="66"/>
        <v>0</v>
      </c>
      <c r="O1598" s="16" t="s">
        <v>1483</v>
      </c>
      <c r="P1598" s="16" t="s">
        <v>1483</v>
      </c>
      <c r="Q1598" s="16" t="s">
        <v>1483</v>
      </c>
      <c r="R1598" s="16" t="s">
        <v>3375</v>
      </c>
    </row>
    <row r="1599" spans="13:18" x14ac:dyDescent="0.2">
      <c r="M1599" s="20" t="str">
        <f t="shared" si="65"/>
        <v>PIURA PIURA TAMBO GRANDE</v>
      </c>
      <c r="N1599" s="20">
        <f t="shared" si="66"/>
        <v>0</v>
      </c>
      <c r="O1599" s="16" t="s">
        <v>1483</v>
      </c>
      <c r="P1599" s="16" t="s">
        <v>1483</v>
      </c>
      <c r="Q1599" s="16" t="s">
        <v>1521</v>
      </c>
      <c r="R1599" s="16" t="s">
        <v>3376</v>
      </c>
    </row>
    <row r="1600" spans="13:18" x14ac:dyDescent="0.2">
      <c r="M1600" s="20" t="str">
        <f t="shared" si="65"/>
        <v>PIURA PIURA VEINTISÉIS DE OCTUBRE</v>
      </c>
      <c r="N1600" s="20">
        <f t="shared" si="66"/>
        <v>0</v>
      </c>
      <c r="O1600" s="16" t="s">
        <v>1483</v>
      </c>
      <c r="P1600" s="16" t="s">
        <v>1483</v>
      </c>
      <c r="Q1600" s="16" t="s">
        <v>1522</v>
      </c>
      <c r="R1600" s="16" t="s">
        <v>3377</v>
      </c>
    </row>
    <row r="1601" spans="13:18" x14ac:dyDescent="0.2">
      <c r="M1601" s="20" t="str">
        <f t="shared" si="65"/>
        <v>PIURA SECHURA BELLAVISTA DE LA UNION</v>
      </c>
      <c r="N1601" s="20">
        <f t="shared" si="66"/>
        <v>0</v>
      </c>
      <c r="O1601" s="16" t="s">
        <v>1483</v>
      </c>
      <c r="P1601" s="16" t="s">
        <v>1523</v>
      </c>
      <c r="Q1601" s="16" t="s">
        <v>1524</v>
      </c>
      <c r="R1601" s="16" t="s">
        <v>3378</v>
      </c>
    </row>
    <row r="1602" spans="13:18" x14ac:dyDescent="0.2">
      <c r="M1602" s="20" t="str">
        <f t="shared" si="65"/>
        <v>PIURA SECHURA BERNAL</v>
      </c>
      <c r="N1602" s="20">
        <f t="shared" si="66"/>
        <v>0</v>
      </c>
      <c r="O1602" s="16" t="s">
        <v>1483</v>
      </c>
      <c r="P1602" s="16" t="s">
        <v>1523</v>
      </c>
      <c r="Q1602" s="16" t="s">
        <v>1525</v>
      </c>
      <c r="R1602" s="16" t="s">
        <v>3379</v>
      </c>
    </row>
    <row r="1603" spans="13:18" x14ac:dyDescent="0.2">
      <c r="M1603" s="20" t="str">
        <f t="shared" ref="M1603:M1666" si="67">O1603&amp;" "&amp;P1603&amp;" "&amp;Q1603</f>
        <v>PIURA SECHURA CRISTO NOS VALGA</v>
      </c>
      <c r="N1603" s="20">
        <f t="shared" ref="N1603:N1666" si="68">IF(AND($D$9=O1603,$D$10=P1603),N1602+1,0)</f>
        <v>0</v>
      </c>
      <c r="O1603" s="16" t="s">
        <v>1483</v>
      </c>
      <c r="P1603" s="16" t="s">
        <v>1523</v>
      </c>
      <c r="Q1603" s="16" t="s">
        <v>1526</v>
      </c>
      <c r="R1603" s="16" t="s">
        <v>3380</v>
      </c>
    </row>
    <row r="1604" spans="13:18" x14ac:dyDescent="0.2">
      <c r="M1604" s="20" t="str">
        <f t="shared" si="67"/>
        <v>PIURA SECHURA RINCONADA LLICUAR</v>
      </c>
      <c r="N1604" s="20">
        <f t="shared" si="68"/>
        <v>0</v>
      </c>
      <c r="O1604" s="16" t="s">
        <v>1483</v>
      </c>
      <c r="P1604" s="16" t="s">
        <v>1523</v>
      </c>
      <c r="Q1604" s="16" t="s">
        <v>1527</v>
      </c>
      <c r="R1604" s="16" t="s">
        <v>3381</v>
      </c>
    </row>
    <row r="1605" spans="13:18" x14ac:dyDescent="0.2">
      <c r="M1605" s="20" t="str">
        <f t="shared" si="67"/>
        <v>PIURA SECHURA SECHURA</v>
      </c>
      <c r="N1605" s="20">
        <f t="shared" si="68"/>
        <v>0</v>
      </c>
      <c r="O1605" s="16" t="s">
        <v>1483</v>
      </c>
      <c r="P1605" s="16" t="s">
        <v>1523</v>
      </c>
      <c r="Q1605" s="16" t="s">
        <v>1523</v>
      </c>
      <c r="R1605" s="16" t="s">
        <v>3382</v>
      </c>
    </row>
    <row r="1606" spans="13:18" x14ac:dyDescent="0.2">
      <c r="M1606" s="20" t="str">
        <f t="shared" si="67"/>
        <v>PIURA SECHURA VICE</v>
      </c>
      <c r="N1606" s="20">
        <f t="shared" si="68"/>
        <v>0</v>
      </c>
      <c r="O1606" s="16" t="s">
        <v>1483</v>
      </c>
      <c r="P1606" s="16" t="s">
        <v>1523</v>
      </c>
      <c r="Q1606" s="16" t="s">
        <v>1528</v>
      </c>
      <c r="R1606" s="16" t="s">
        <v>3383</v>
      </c>
    </row>
    <row r="1607" spans="13:18" x14ac:dyDescent="0.2">
      <c r="M1607" s="20" t="str">
        <f t="shared" si="67"/>
        <v>PIURA SULLANA BELLAVISTA</v>
      </c>
      <c r="N1607" s="20">
        <f t="shared" si="68"/>
        <v>0</v>
      </c>
      <c r="O1607" s="16" t="s">
        <v>1483</v>
      </c>
      <c r="P1607" s="16" t="s">
        <v>1529</v>
      </c>
      <c r="Q1607" s="16" t="s">
        <v>640</v>
      </c>
      <c r="R1607" s="16" t="s">
        <v>3384</v>
      </c>
    </row>
    <row r="1608" spans="13:18" x14ac:dyDescent="0.2">
      <c r="M1608" s="20" t="str">
        <f t="shared" si="67"/>
        <v>PIURA SULLANA IGNACIO ESCUDERO</v>
      </c>
      <c r="N1608" s="20">
        <f t="shared" si="68"/>
        <v>0</v>
      </c>
      <c r="O1608" s="16" t="s">
        <v>1483</v>
      </c>
      <c r="P1608" s="16" t="s">
        <v>1529</v>
      </c>
      <c r="Q1608" s="16" t="s">
        <v>1530</v>
      </c>
      <c r="R1608" s="16" t="s">
        <v>3385</v>
      </c>
    </row>
    <row r="1609" spans="13:18" x14ac:dyDescent="0.2">
      <c r="M1609" s="20" t="str">
        <f t="shared" si="67"/>
        <v>PIURA SULLANA LANCONES</v>
      </c>
      <c r="N1609" s="20">
        <f t="shared" si="68"/>
        <v>0</v>
      </c>
      <c r="O1609" s="16" t="s">
        <v>1483</v>
      </c>
      <c r="P1609" s="16" t="s">
        <v>1529</v>
      </c>
      <c r="Q1609" s="16" t="s">
        <v>1531</v>
      </c>
      <c r="R1609" s="16" t="s">
        <v>3386</v>
      </c>
    </row>
    <row r="1610" spans="13:18" x14ac:dyDescent="0.2">
      <c r="M1610" s="20" t="str">
        <f t="shared" si="67"/>
        <v>PIURA SULLANA MARCAVELICA</v>
      </c>
      <c r="N1610" s="20">
        <f t="shared" si="68"/>
        <v>0</v>
      </c>
      <c r="O1610" s="16" t="s">
        <v>1483</v>
      </c>
      <c r="P1610" s="16" t="s">
        <v>1529</v>
      </c>
      <c r="Q1610" s="16" t="s">
        <v>1532</v>
      </c>
      <c r="R1610" s="16" t="s">
        <v>3387</v>
      </c>
    </row>
    <row r="1611" spans="13:18" x14ac:dyDescent="0.2">
      <c r="M1611" s="20" t="str">
        <f t="shared" si="67"/>
        <v>PIURA SULLANA MIGUEL CHECA</v>
      </c>
      <c r="N1611" s="20">
        <f t="shared" si="68"/>
        <v>0</v>
      </c>
      <c r="O1611" s="16" t="s">
        <v>1483</v>
      </c>
      <c r="P1611" s="16" t="s">
        <v>1529</v>
      </c>
      <c r="Q1611" s="16" t="s">
        <v>1533</v>
      </c>
      <c r="R1611" s="16" t="s">
        <v>3388</v>
      </c>
    </row>
    <row r="1612" spans="13:18" x14ac:dyDescent="0.2">
      <c r="M1612" s="20" t="str">
        <f t="shared" si="67"/>
        <v>PIURA SULLANA QUERECOTILLO</v>
      </c>
      <c r="N1612" s="20">
        <f t="shared" si="68"/>
        <v>0</v>
      </c>
      <c r="O1612" s="16" t="s">
        <v>1483</v>
      </c>
      <c r="P1612" s="16" t="s">
        <v>1529</v>
      </c>
      <c r="Q1612" s="16" t="s">
        <v>1534</v>
      </c>
      <c r="R1612" s="16" t="s">
        <v>3389</v>
      </c>
    </row>
    <row r="1613" spans="13:18" x14ac:dyDescent="0.2">
      <c r="M1613" s="20" t="str">
        <f t="shared" si="67"/>
        <v>PIURA SULLANA SALITRAL</v>
      </c>
      <c r="N1613" s="20">
        <f t="shared" si="68"/>
        <v>0</v>
      </c>
      <c r="O1613" s="16" t="s">
        <v>1483</v>
      </c>
      <c r="P1613" s="16" t="s">
        <v>1529</v>
      </c>
      <c r="Q1613" s="16" t="s">
        <v>1505</v>
      </c>
      <c r="R1613" s="16" t="s">
        <v>3390</v>
      </c>
    </row>
    <row r="1614" spans="13:18" x14ac:dyDescent="0.2">
      <c r="M1614" s="20" t="str">
        <f t="shared" si="67"/>
        <v>PIURA SULLANA SULLANA</v>
      </c>
      <c r="N1614" s="20">
        <f t="shared" si="68"/>
        <v>0</v>
      </c>
      <c r="O1614" s="16" t="s">
        <v>1483</v>
      </c>
      <c r="P1614" s="16" t="s">
        <v>1529</v>
      </c>
      <c r="Q1614" s="16" t="s">
        <v>1529</v>
      </c>
      <c r="R1614" s="16" t="s">
        <v>3391</v>
      </c>
    </row>
    <row r="1615" spans="13:18" x14ac:dyDescent="0.2">
      <c r="M1615" s="20" t="str">
        <f t="shared" si="67"/>
        <v>PIURA TALARA EL ALTO</v>
      </c>
      <c r="N1615" s="20">
        <f t="shared" si="68"/>
        <v>0</v>
      </c>
      <c r="O1615" s="16" t="s">
        <v>1483</v>
      </c>
      <c r="P1615" s="16" t="s">
        <v>1535</v>
      </c>
      <c r="Q1615" s="16" t="s">
        <v>1536</v>
      </c>
      <c r="R1615" s="16" t="s">
        <v>3392</v>
      </c>
    </row>
    <row r="1616" spans="13:18" x14ac:dyDescent="0.2">
      <c r="M1616" s="20" t="str">
        <f t="shared" si="67"/>
        <v>PIURA TALARA LA BREA</v>
      </c>
      <c r="N1616" s="20">
        <f t="shared" si="68"/>
        <v>0</v>
      </c>
      <c r="O1616" s="16" t="s">
        <v>1483</v>
      </c>
      <c r="P1616" s="16" t="s">
        <v>1535</v>
      </c>
      <c r="Q1616" s="16" t="s">
        <v>1537</v>
      </c>
      <c r="R1616" s="16" t="s">
        <v>3393</v>
      </c>
    </row>
    <row r="1617" spans="13:18" x14ac:dyDescent="0.2">
      <c r="M1617" s="20" t="str">
        <f t="shared" si="67"/>
        <v>PIURA TALARA LOBITOS</v>
      </c>
      <c r="N1617" s="20">
        <f t="shared" si="68"/>
        <v>0</v>
      </c>
      <c r="O1617" s="16" t="s">
        <v>1483</v>
      </c>
      <c r="P1617" s="16" t="s">
        <v>1535</v>
      </c>
      <c r="Q1617" s="16" t="s">
        <v>1538</v>
      </c>
      <c r="R1617" s="16" t="s">
        <v>3394</v>
      </c>
    </row>
    <row r="1618" spans="13:18" x14ac:dyDescent="0.2">
      <c r="M1618" s="20" t="str">
        <f t="shared" si="67"/>
        <v>PIURA TALARA LOS ORGANOS</v>
      </c>
      <c r="N1618" s="20">
        <f t="shared" si="68"/>
        <v>0</v>
      </c>
      <c r="O1618" s="16" t="s">
        <v>1483</v>
      </c>
      <c r="P1618" s="16" t="s">
        <v>1535</v>
      </c>
      <c r="Q1618" s="16" t="s">
        <v>1539</v>
      </c>
      <c r="R1618" s="16" t="s">
        <v>3395</v>
      </c>
    </row>
    <row r="1619" spans="13:18" x14ac:dyDescent="0.2">
      <c r="M1619" s="20" t="str">
        <f t="shared" si="67"/>
        <v>PIURA TALARA MANCORA</v>
      </c>
      <c r="N1619" s="20">
        <f t="shared" si="68"/>
        <v>0</v>
      </c>
      <c r="O1619" s="16" t="s">
        <v>1483</v>
      </c>
      <c r="P1619" s="16" t="s">
        <v>1535</v>
      </c>
      <c r="Q1619" s="16" t="s">
        <v>1540</v>
      </c>
      <c r="R1619" s="16" t="s">
        <v>3396</v>
      </c>
    </row>
    <row r="1620" spans="13:18" x14ac:dyDescent="0.2">
      <c r="M1620" s="20" t="str">
        <f t="shared" si="67"/>
        <v>PIURA TALARA PARIÑAS</v>
      </c>
      <c r="N1620" s="20">
        <f t="shared" si="68"/>
        <v>0</v>
      </c>
      <c r="O1620" s="16" t="s">
        <v>1483</v>
      </c>
      <c r="P1620" s="16" t="s">
        <v>1535</v>
      </c>
      <c r="Q1620" s="16" t="s">
        <v>1541</v>
      </c>
      <c r="R1620" s="16" t="s">
        <v>3397</v>
      </c>
    </row>
    <row r="1621" spans="13:18" x14ac:dyDescent="0.2">
      <c r="M1621" s="20" t="str">
        <f t="shared" si="67"/>
        <v>PUNO AZANGARO ACHAYA</v>
      </c>
      <c r="N1621" s="20">
        <f t="shared" si="68"/>
        <v>0</v>
      </c>
      <c r="O1621" s="16" t="s">
        <v>1542</v>
      </c>
      <c r="P1621" s="16" t="s">
        <v>1349</v>
      </c>
      <c r="Q1621" s="16" t="s">
        <v>1543</v>
      </c>
      <c r="R1621" s="16" t="s">
        <v>3398</v>
      </c>
    </row>
    <row r="1622" spans="13:18" x14ac:dyDescent="0.2">
      <c r="M1622" s="20" t="str">
        <f t="shared" si="67"/>
        <v>PUNO AZANGARO ARAPA</v>
      </c>
      <c r="N1622" s="20">
        <f t="shared" si="68"/>
        <v>0</v>
      </c>
      <c r="O1622" s="16" t="s">
        <v>1542</v>
      </c>
      <c r="P1622" s="16" t="s">
        <v>1349</v>
      </c>
      <c r="Q1622" s="16" t="s">
        <v>1544</v>
      </c>
      <c r="R1622" s="16" t="s">
        <v>3399</v>
      </c>
    </row>
    <row r="1623" spans="13:18" x14ac:dyDescent="0.2">
      <c r="M1623" s="20" t="str">
        <f t="shared" si="67"/>
        <v>PUNO AZANGARO ASILLO</v>
      </c>
      <c r="N1623" s="20">
        <f t="shared" si="68"/>
        <v>0</v>
      </c>
      <c r="O1623" s="16" t="s">
        <v>1542</v>
      </c>
      <c r="P1623" s="16" t="s">
        <v>1349</v>
      </c>
      <c r="Q1623" s="16" t="s">
        <v>1545</v>
      </c>
      <c r="R1623" s="16" t="s">
        <v>3400</v>
      </c>
    </row>
    <row r="1624" spans="13:18" x14ac:dyDescent="0.2">
      <c r="M1624" s="20" t="str">
        <f t="shared" si="67"/>
        <v>PUNO AZANGARO AZANGARO</v>
      </c>
      <c r="N1624" s="20">
        <f t="shared" si="68"/>
        <v>0</v>
      </c>
      <c r="O1624" s="16" t="s">
        <v>1542</v>
      </c>
      <c r="P1624" s="16" t="s">
        <v>1349</v>
      </c>
      <c r="Q1624" s="16" t="s">
        <v>1349</v>
      </c>
      <c r="R1624" s="16" t="s">
        <v>3401</v>
      </c>
    </row>
    <row r="1625" spans="13:18" x14ac:dyDescent="0.2">
      <c r="M1625" s="20" t="str">
        <f t="shared" si="67"/>
        <v>PUNO AZANGARO CAMINACA</v>
      </c>
      <c r="N1625" s="20">
        <f t="shared" si="68"/>
        <v>0</v>
      </c>
      <c r="O1625" s="16" t="s">
        <v>1542</v>
      </c>
      <c r="P1625" s="16" t="s">
        <v>1349</v>
      </c>
      <c r="Q1625" s="16" t="s">
        <v>1546</v>
      </c>
      <c r="R1625" s="16" t="s">
        <v>3402</v>
      </c>
    </row>
    <row r="1626" spans="13:18" x14ac:dyDescent="0.2">
      <c r="M1626" s="20" t="str">
        <f t="shared" si="67"/>
        <v>PUNO AZANGARO CHUPA</v>
      </c>
      <c r="N1626" s="20">
        <f t="shared" si="68"/>
        <v>0</v>
      </c>
      <c r="O1626" s="16" t="s">
        <v>1542</v>
      </c>
      <c r="P1626" s="16" t="s">
        <v>1349</v>
      </c>
      <c r="Q1626" s="16" t="s">
        <v>1547</v>
      </c>
      <c r="R1626" s="16" t="s">
        <v>3403</v>
      </c>
    </row>
    <row r="1627" spans="13:18" x14ac:dyDescent="0.2">
      <c r="M1627" s="20" t="str">
        <f t="shared" si="67"/>
        <v>PUNO AZANGARO JOSE DOMINGO CHOQUEHUANCA</v>
      </c>
      <c r="N1627" s="20">
        <f t="shared" si="68"/>
        <v>0</v>
      </c>
      <c r="O1627" s="16" t="s">
        <v>1542</v>
      </c>
      <c r="P1627" s="16" t="s">
        <v>1349</v>
      </c>
      <c r="Q1627" s="16" t="s">
        <v>1548</v>
      </c>
      <c r="R1627" s="16" t="s">
        <v>3404</v>
      </c>
    </row>
    <row r="1628" spans="13:18" x14ac:dyDescent="0.2">
      <c r="M1628" s="20" t="str">
        <f t="shared" si="67"/>
        <v>PUNO AZANGARO MUÑANI</v>
      </c>
      <c r="N1628" s="20">
        <f t="shared" si="68"/>
        <v>0</v>
      </c>
      <c r="O1628" s="16" t="s">
        <v>1542</v>
      </c>
      <c r="P1628" s="16" t="s">
        <v>1349</v>
      </c>
      <c r="Q1628" s="16" t="s">
        <v>1549</v>
      </c>
      <c r="R1628" s="16" t="s">
        <v>3405</v>
      </c>
    </row>
    <row r="1629" spans="13:18" x14ac:dyDescent="0.2">
      <c r="M1629" s="20" t="str">
        <f t="shared" si="67"/>
        <v>PUNO AZANGARO POTONI</v>
      </c>
      <c r="N1629" s="20">
        <f t="shared" si="68"/>
        <v>0</v>
      </c>
      <c r="O1629" s="16" t="s">
        <v>1542</v>
      </c>
      <c r="P1629" s="16" t="s">
        <v>1349</v>
      </c>
      <c r="Q1629" s="16" t="s">
        <v>1550</v>
      </c>
      <c r="R1629" s="16" t="s">
        <v>3406</v>
      </c>
    </row>
    <row r="1630" spans="13:18" x14ac:dyDescent="0.2">
      <c r="M1630" s="20" t="str">
        <f t="shared" si="67"/>
        <v>PUNO AZANGARO SAMAN</v>
      </c>
      <c r="N1630" s="20">
        <f t="shared" si="68"/>
        <v>0</v>
      </c>
      <c r="O1630" s="16" t="s">
        <v>1542</v>
      </c>
      <c r="P1630" s="16" t="s">
        <v>1349</v>
      </c>
      <c r="Q1630" s="16" t="s">
        <v>1551</v>
      </c>
      <c r="R1630" s="16" t="s">
        <v>3407</v>
      </c>
    </row>
    <row r="1631" spans="13:18" x14ac:dyDescent="0.2">
      <c r="M1631" s="20" t="str">
        <f t="shared" si="67"/>
        <v>PUNO AZANGARO SAN ANTON</v>
      </c>
      <c r="N1631" s="20">
        <f t="shared" si="68"/>
        <v>0</v>
      </c>
      <c r="O1631" s="16" t="s">
        <v>1542</v>
      </c>
      <c r="P1631" s="16" t="s">
        <v>1349</v>
      </c>
      <c r="Q1631" s="16" t="s">
        <v>1552</v>
      </c>
      <c r="R1631" s="16" t="s">
        <v>3408</v>
      </c>
    </row>
    <row r="1632" spans="13:18" x14ac:dyDescent="0.2">
      <c r="M1632" s="20" t="str">
        <f t="shared" si="67"/>
        <v>PUNO AZANGARO SAN JOSE</v>
      </c>
      <c r="N1632" s="20">
        <f t="shared" si="68"/>
        <v>0</v>
      </c>
      <c r="O1632" s="16" t="s">
        <v>1542</v>
      </c>
      <c r="P1632" s="16" t="s">
        <v>1349</v>
      </c>
      <c r="Q1632" s="16" t="s">
        <v>947</v>
      </c>
      <c r="R1632" s="16" t="s">
        <v>3409</v>
      </c>
    </row>
    <row r="1633" spans="13:18" x14ac:dyDescent="0.2">
      <c r="M1633" s="20" t="str">
        <f t="shared" si="67"/>
        <v>PUNO AZANGARO SAN JUAN DE SALINAS</v>
      </c>
      <c r="N1633" s="20">
        <f t="shared" si="68"/>
        <v>0</v>
      </c>
      <c r="O1633" s="16" t="s">
        <v>1542</v>
      </c>
      <c r="P1633" s="16" t="s">
        <v>1349</v>
      </c>
      <c r="Q1633" s="16" t="s">
        <v>1553</v>
      </c>
      <c r="R1633" s="16" t="s">
        <v>3410</v>
      </c>
    </row>
    <row r="1634" spans="13:18" x14ac:dyDescent="0.2">
      <c r="M1634" s="20" t="str">
        <f t="shared" si="67"/>
        <v>PUNO AZANGARO SANTIAGO DE PUPUJA</v>
      </c>
      <c r="N1634" s="20">
        <f t="shared" si="68"/>
        <v>0</v>
      </c>
      <c r="O1634" s="16" t="s">
        <v>1542</v>
      </c>
      <c r="P1634" s="16" t="s">
        <v>1349</v>
      </c>
      <c r="Q1634" s="16" t="s">
        <v>1554</v>
      </c>
      <c r="R1634" s="16" t="s">
        <v>3411</v>
      </c>
    </row>
    <row r="1635" spans="13:18" x14ac:dyDescent="0.2">
      <c r="M1635" s="20" t="str">
        <f t="shared" si="67"/>
        <v>PUNO AZANGARO TIRAPATA</v>
      </c>
      <c r="N1635" s="20">
        <f t="shared" si="68"/>
        <v>0</v>
      </c>
      <c r="O1635" s="16" t="s">
        <v>1542</v>
      </c>
      <c r="P1635" s="16" t="s">
        <v>1349</v>
      </c>
      <c r="Q1635" s="16" t="s">
        <v>1555</v>
      </c>
      <c r="R1635" s="16" t="s">
        <v>3412</v>
      </c>
    </row>
    <row r="1636" spans="13:18" x14ac:dyDescent="0.2">
      <c r="M1636" s="20" t="str">
        <f t="shared" si="67"/>
        <v>PUNO CARABAYA AJOYANI</v>
      </c>
      <c r="N1636" s="20">
        <f t="shared" si="68"/>
        <v>0</v>
      </c>
      <c r="O1636" s="16" t="s">
        <v>1542</v>
      </c>
      <c r="P1636" s="16" t="s">
        <v>1556</v>
      </c>
      <c r="Q1636" s="16" t="s">
        <v>1557</v>
      </c>
      <c r="R1636" s="16" t="s">
        <v>3413</v>
      </c>
    </row>
    <row r="1637" spans="13:18" x14ac:dyDescent="0.2">
      <c r="M1637" s="20" t="str">
        <f t="shared" si="67"/>
        <v>PUNO CARABAYA AYAPATA</v>
      </c>
      <c r="N1637" s="20">
        <f t="shared" si="68"/>
        <v>0</v>
      </c>
      <c r="O1637" s="16" t="s">
        <v>1542</v>
      </c>
      <c r="P1637" s="16" t="s">
        <v>1556</v>
      </c>
      <c r="Q1637" s="16" t="s">
        <v>1558</v>
      </c>
      <c r="R1637" s="16" t="s">
        <v>3414</v>
      </c>
    </row>
    <row r="1638" spans="13:18" x14ac:dyDescent="0.2">
      <c r="M1638" s="20" t="str">
        <f t="shared" si="67"/>
        <v>PUNO CARABAYA COASA</v>
      </c>
      <c r="N1638" s="20">
        <f t="shared" si="68"/>
        <v>0</v>
      </c>
      <c r="O1638" s="16" t="s">
        <v>1542</v>
      </c>
      <c r="P1638" s="16" t="s">
        <v>1556</v>
      </c>
      <c r="Q1638" s="16" t="s">
        <v>1559</v>
      </c>
      <c r="R1638" s="16" t="s">
        <v>3415</v>
      </c>
    </row>
    <row r="1639" spans="13:18" x14ac:dyDescent="0.2">
      <c r="M1639" s="20" t="str">
        <f t="shared" si="67"/>
        <v>PUNO CARABAYA CORANI</v>
      </c>
      <c r="N1639" s="20">
        <f t="shared" si="68"/>
        <v>0</v>
      </c>
      <c r="O1639" s="16" t="s">
        <v>1542</v>
      </c>
      <c r="P1639" s="16" t="s">
        <v>1556</v>
      </c>
      <c r="Q1639" s="16" t="s">
        <v>1560</v>
      </c>
      <c r="R1639" s="16" t="s">
        <v>3416</v>
      </c>
    </row>
    <row r="1640" spans="13:18" x14ac:dyDescent="0.2">
      <c r="M1640" s="20" t="str">
        <f t="shared" si="67"/>
        <v>PUNO CARABAYA CRUCERO</v>
      </c>
      <c r="N1640" s="20">
        <f t="shared" si="68"/>
        <v>0</v>
      </c>
      <c r="O1640" s="16" t="s">
        <v>1542</v>
      </c>
      <c r="P1640" s="16" t="s">
        <v>1556</v>
      </c>
      <c r="Q1640" s="16" t="s">
        <v>1561</v>
      </c>
      <c r="R1640" s="16" t="s">
        <v>3417</v>
      </c>
    </row>
    <row r="1641" spans="13:18" x14ac:dyDescent="0.2">
      <c r="M1641" s="20" t="str">
        <f t="shared" si="67"/>
        <v>PUNO CARABAYA ITUATA</v>
      </c>
      <c r="N1641" s="20">
        <f t="shared" si="68"/>
        <v>0</v>
      </c>
      <c r="O1641" s="16" t="s">
        <v>1542</v>
      </c>
      <c r="P1641" s="16" t="s">
        <v>1556</v>
      </c>
      <c r="Q1641" s="16" t="s">
        <v>1562</v>
      </c>
      <c r="R1641" s="16" t="s">
        <v>3418</v>
      </c>
    </row>
    <row r="1642" spans="13:18" x14ac:dyDescent="0.2">
      <c r="M1642" s="20" t="str">
        <f t="shared" si="67"/>
        <v>PUNO CARABAYA MACUSANI</v>
      </c>
      <c r="N1642" s="20">
        <f t="shared" si="68"/>
        <v>0</v>
      </c>
      <c r="O1642" s="16" t="s">
        <v>1542</v>
      </c>
      <c r="P1642" s="16" t="s">
        <v>1556</v>
      </c>
      <c r="Q1642" s="16" t="s">
        <v>1563</v>
      </c>
      <c r="R1642" s="16" t="s">
        <v>3419</v>
      </c>
    </row>
    <row r="1643" spans="13:18" x14ac:dyDescent="0.2">
      <c r="M1643" s="20" t="str">
        <f t="shared" si="67"/>
        <v>PUNO CARABAYA OLLACHEA</v>
      </c>
      <c r="N1643" s="20">
        <f t="shared" si="68"/>
        <v>0</v>
      </c>
      <c r="O1643" s="16" t="s">
        <v>1542</v>
      </c>
      <c r="P1643" s="16" t="s">
        <v>1556</v>
      </c>
      <c r="Q1643" s="16" t="s">
        <v>1564</v>
      </c>
      <c r="R1643" s="16" t="s">
        <v>3420</v>
      </c>
    </row>
    <row r="1644" spans="13:18" x14ac:dyDescent="0.2">
      <c r="M1644" s="20" t="str">
        <f t="shared" si="67"/>
        <v>PUNO CARABAYA SAN GABAN</v>
      </c>
      <c r="N1644" s="20">
        <f t="shared" si="68"/>
        <v>0</v>
      </c>
      <c r="O1644" s="16" t="s">
        <v>1542</v>
      </c>
      <c r="P1644" s="16" t="s">
        <v>1556</v>
      </c>
      <c r="Q1644" s="16" t="s">
        <v>1565</v>
      </c>
      <c r="R1644" s="16" t="s">
        <v>3421</v>
      </c>
    </row>
    <row r="1645" spans="13:18" x14ac:dyDescent="0.2">
      <c r="M1645" s="20" t="str">
        <f t="shared" si="67"/>
        <v>PUNO CARABAYA USICAYOS</v>
      </c>
      <c r="N1645" s="20">
        <f t="shared" si="68"/>
        <v>0</v>
      </c>
      <c r="O1645" s="16" t="s">
        <v>1542</v>
      </c>
      <c r="P1645" s="16" t="s">
        <v>1556</v>
      </c>
      <c r="Q1645" s="16" t="s">
        <v>1566</v>
      </c>
      <c r="R1645" s="16" t="s">
        <v>3422</v>
      </c>
    </row>
    <row r="1646" spans="13:18" x14ac:dyDescent="0.2">
      <c r="M1646" s="20" t="str">
        <f t="shared" si="67"/>
        <v>PUNO CHUCUITO DESAGUADERO</v>
      </c>
      <c r="N1646" s="20">
        <f t="shared" si="68"/>
        <v>0</v>
      </c>
      <c r="O1646" s="16" t="s">
        <v>1542</v>
      </c>
      <c r="P1646" s="16" t="s">
        <v>1567</v>
      </c>
      <c r="Q1646" s="16" t="s">
        <v>1568</v>
      </c>
      <c r="R1646" s="16" t="s">
        <v>3423</v>
      </c>
    </row>
    <row r="1647" spans="13:18" x14ac:dyDescent="0.2">
      <c r="M1647" s="20" t="str">
        <f t="shared" si="67"/>
        <v>PUNO CHUCUITO HUACULLANI</v>
      </c>
      <c r="N1647" s="20">
        <f t="shared" si="68"/>
        <v>0</v>
      </c>
      <c r="O1647" s="16" t="s">
        <v>1542</v>
      </c>
      <c r="P1647" s="16" t="s">
        <v>1567</v>
      </c>
      <c r="Q1647" s="16" t="s">
        <v>1569</v>
      </c>
      <c r="R1647" s="16" t="s">
        <v>3424</v>
      </c>
    </row>
    <row r="1648" spans="13:18" x14ac:dyDescent="0.2">
      <c r="M1648" s="20" t="str">
        <f t="shared" si="67"/>
        <v>PUNO CHUCUITO JULI</v>
      </c>
      <c r="N1648" s="20">
        <f t="shared" si="68"/>
        <v>0</v>
      </c>
      <c r="O1648" s="16" t="s">
        <v>1542</v>
      </c>
      <c r="P1648" s="16" t="s">
        <v>1567</v>
      </c>
      <c r="Q1648" s="16" t="s">
        <v>1570</v>
      </c>
      <c r="R1648" s="16" t="s">
        <v>3425</v>
      </c>
    </row>
    <row r="1649" spans="13:18" x14ac:dyDescent="0.2">
      <c r="M1649" s="20" t="str">
        <f t="shared" si="67"/>
        <v>PUNO CHUCUITO KELLUYO</v>
      </c>
      <c r="N1649" s="20">
        <f t="shared" si="68"/>
        <v>0</v>
      </c>
      <c r="O1649" s="16" t="s">
        <v>1542</v>
      </c>
      <c r="P1649" s="16" t="s">
        <v>1567</v>
      </c>
      <c r="Q1649" s="16" t="s">
        <v>1571</v>
      </c>
      <c r="R1649" s="16" t="s">
        <v>3426</v>
      </c>
    </row>
    <row r="1650" spans="13:18" x14ac:dyDescent="0.2">
      <c r="M1650" s="20" t="str">
        <f t="shared" si="67"/>
        <v>PUNO CHUCUITO PISACOMA</v>
      </c>
      <c r="N1650" s="20">
        <f t="shared" si="68"/>
        <v>0</v>
      </c>
      <c r="O1650" s="16" t="s">
        <v>1542</v>
      </c>
      <c r="P1650" s="16" t="s">
        <v>1567</v>
      </c>
      <c r="Q1650" s="16" t="s">
        <v>1572</v>
      </c>
      <c r="R1650" s="16" t="s">
        <v>3427</v>
      </c>
    </row>
    <row r="1651" spans="13:18" x14ac:dyDescent="0.2">
      <c r="M1651" s="20" t="str">
        <f t="shared" si="67"/>
        <v>PUNO CHUCUITO POMATA</v>
      </c>
      <c r="N1651" s="20">
        <f t="shared" si="68"/>
        <v>0</v>
      </c>
      <c r="O1651" s="16" t="s">
        <v>1542</v>
      </c>
      <c r="P1651" s="16" t="s">
        <v>1567</v>
      </c>
      <c r="Q1651" s="16" t="s">
        <v>1573</v>
      </c>
      <c r="R1651" s="16" t="s">
        <v>3428</v>
      </c>
    </row>
    <row r="1652" spans="13:18" x14ac:dyDescent="0.2">
      <c r="M1652" s="20" t="str">
        <f t="shared" si="67"/>
        <v>PUNO CHUCUITO ZEPITA</v>
      </c>
      <c r="N1652" s="20">
        <f t="shared" si="68"/>
        <v>0</v>
      </c>
      <c r="O1652" s="16" t="s">
        <v>1542</v>
      </c>
      <c r="P1652" s="16" t="s">
        <v>1567</v>
      </c>
      <c r="Q1652" s="16" t="s">
        <v>1574</v>
      </c>
      <c r="R1652" s="16" t="s">
        <v>3429</v>
      </c>
    </row>
    <row r="1653" spans="13:18" x14ac:dyDescent="0.2">
      <c r="M1653" s="20" t="str">
        <f t="shared" si="67"/>
        <v>PUNO EL COLLAO CAPAZO</v>
      </c>
      <c r="N1653" s="20">
        <f t="shared" si="68"/>
        <v>0</v>
      </c>
      <c r="O1653" s="16" t="s">
        <v>1542</v>
      </c>
      <c r="P1653" s="16" t="s">
        <v>1575</v>
      </c>
      <c r="Q1653" s="16" t="s">
        <v>1576</v>
      </c>
      <c r="R1653" s="16" t="s">
        <v>3430</v>
      </c>
    </row>
    <row r="1654" spans="13:18" x14ac:dyDescent="0.2">
      <c r="M1654" s="20" t="str">
        <f t="shared" si="67"/>
        <v>PUNO EL COLLAO CONDURIRI</v>
      </c>
      <c r="N1654" s="20">
        <f t="shared" si="68"/>
        <v>0</v>
      </c>
      <c r="O1654" s="16" t="s">
        <v>1542</v>
      </c>
      <c r="P1654" s="16" t="s">
        <v>1575</v>
      </c>
      <c r="Q1654" s="16" t="s">
        <v>1577</v>
      </c>
      <c r="R1654" s="16" t="s">
        <v>3431</v>
      </c>
    </row>
    <row r="1655" spans="13:18" x14ac:dyDescent="0.2">
      <c r="M1655" s="20" t="str">
        <f t="shared" si="67"/>
        <v>PUNO EL COLLAO ILAVE</v>
      </c>
      <c r="N1655" s="20">
        <f t="shared" si="68"/>
        <v>0</v>
      </c>
      <c r="O1655" s="16" t="s">
        <v>1542</v>
      </c>
      <c r="P1655" s="16" t="s">
        <v>1575</v>
      </c>
      <c r="Q1655" s="16" t="s">
        <v>1578</v>
      </c>
      <c r="R1655" s="16" t="s">
        <v>3432</v>
      </c>
    </row>
    <row r="1656" spans="13:18" x14ac:dyDescent="0.2">
      <c r="M1656" s="20" t="str">
        <f t="shared" si="67"/>
        <v>PUNO EL COLLAO PILCUYO</v>
      </c>
      <c r="N1656" s="20">
        <f t="shared" si="68"/>
        <v>0</v>
      </c>
      <c r="O1656" s="16" t="s">
        <v>1542</v>
      </c>
      <c r="P1656" s="16" t="s">
        <v>1575</v>
      </c>
      <c r="Q1656" s="16" t="s">
        <v>1579</v>
      </c>
      <c r="R1656" s="16" t="s">
        <v>3433</v>
      </c>
    </row>
    <row r="1657" spans="13:18" x14ac:dyDescent="0.2">
      <c r="M1657" s="20" t="str">
        <f t="shared" si="67"/>
        <v>PUNO EL COLLAO SANTA ROSA</v>
      </c>
      <c r="N1657" s="20">
        <f t="shared" si="68"/>
        <v>0</v>
      </c>
      <c r="O1657" s="16" t="s">
        <v>1542</v>
      </c>
      <c r="P1657" s="16" t="s">
        <v>1575</v>
      </c>
      <c r="Q1657" s="16" t="s">
        <v>85</v>
      </c>
      <c r="R1657" s="16" t="s">
        <v>3434</v>
      </c>
    </row>
    <row r="1658" spans="13:18" x14ac:dyDescent="0.2">
      <c r="M1658" s="20" t="str">
        <f t="shared" si="67"/>
        <v>PUNO HUANCANE COJATA</v>
      </c>
      <c r="N1658" s="20">
        <f t="shared" si="68"/>
        <v>0</v>
      </c>
      <c r="O1658" s="16" t="s">
        <v>1542</v>
      </c>
      <c r="P1658" s="16" t="s">
        <v>1580</v>
      </c>
      <c r="Q1658" s="16" t="s">
        <v>1581</v>
      </c>
      <c r="R1658" s="16" t="s">
        <v>3435</v>
      </c>
    </row>
    <row r="1659" spans="13:18" x14ac:dyDescent="0.2">
      <c r="M1659" s="20" t="str">
        <f t="shared" si="67"/>
        <v>PUNO HUANCANE HUANCANE</v>
      </c>
      <c r="N1659" s="20">
        <f t="shared" si="68"/>
        <v>0</v>
      </c>
      <c r="O1659" s="16" t="s">
        <v>1542</v>
      </c>
      <c r="P1659" s="16" t="s">
        <v>1580</v>
      </c>
      <c r="Q1659" s="16" t="s">
        <v>1580</v>
      </c>
      <c r="R1659" s="16" t="s">
        <v>3436</v>
      </c>
    </row>
    <row r="1660" spans="13:18" x14ac:dyDescent="0.2">
      <c r="M1660" s="20" t="str">
        <f t="shared" si="67"/>
        <v>PUNO HUANCANE HUATASANI</v>
      </c>
      <c r="N1660" s="20">
        <f t="shared" si="68"/>
        <v>0</v>
      </c>
      <c r="O1660" s="16" t="s">
        <v>1542</v>
      </c>
      <c r="P1660" s="16" t="s">
        <v>1580</v>
      </c>
      <c r="Q1660" s="16" t="s">
        <v>1582</v>
      </c>
      <c r="R1660" s="16" t="s">
        <v>3437</v>
      </c>
    </row>
    <row r="1661" spans="13:18" x14ac:dyDescent="0.2">
      <c r="M1661" s="20" t="str">
        <f t="shared" si="67"/>
        <v>PUNO HUANCANE INCHUPALLA</v>
      </c>
      <c r="N1661" s="20">
        <f t="shared" si="68"/>
        <v>0</v>
      </c>
      <c r="O1661" s="16" t="s">
        <v>1542</v>
      </c>
      <c r="P1661" s="16" t="s">
        <v>1580</v>
      </c>
      <c r="Q1661" s="16" t="s">
        <v>1583</v>
      </c>
      <c r="R1661" s="16" t="s">
        <v>3438</v>
      </c>
    </row>
    <row r="1662" spans="13:18" x14ac:dyDescent="0.2">
      <c r="M1662" s="20" t="str">
        <f t="shared" si="67"/>
        <v>PUNO HUANCANE PUSI</v>
      </c>
      <c r="N1662" s="20">
        <f t="shared" si="68"/>
        <v>0</v>
      </c>
      <c r="O1662" s="16" t="s">
        <v>1542</v>
      </c>
      <c r="P1662" s="16" t="s">
        <v>1580</v>
      </c>
      <c r="Q1662" s="16" t="s">
        <v>1584</v>
      </c>
      <c r="R1662" s="16" t="s">
        <v>3439</v>
      </c>
    </row>
    <row r="1663" spans="13:18" x14ac:dyDescent="0.2">
      <c r="M1663" s="20" t="str">
        <f t="shared" si="67"/>
        <v>PUNO HUANCANE ROSASPATA</v>
      </c>
      <c r="N1663" s="20">
        <f t="shared" si="68"/>
        <v>0</v>
      </c>
      <c r="O1663" s="16" t="s">
        <v>1542</v>
      </c>
      <c r="P1663" s="16" t="s">
        <v>1580</v>
      </c>
      <c r="Q1663" s="16" t="s">
        <v>1585</v>
      </c>
      <c r="R1663" s="16" t="s">
        <v>3440</v>
      </c>
    </row>
    <row r="1664" spans="13:18" x14ac:dyDescent="0.2">
      <c r="M1664" s="20" t="str">
        <f t="shared" si="67"/>
        <v>PUNO HUANCANE TARACO</v>
      </c>
      <c r="N1664" s="20">
        <f t="shared" si="68"/>
        <v>0</v>
      </c>
      <c r="O1664" s="16" t="s">
        <v>1542</v>
      </c>
      <c r="P1664" s="16" t="s">
        <v>1580</v>
      </c>
      <c r="Q1664" s="16" t="s">
        <v>1586</v>
      </c>
      <c r="R1664" s="16" t="s">
        <v>3441</v>
      </c>
    </row>
    <row r="1665" spans="13:18" x14ac:dyDescent="0.2">
      <c r="M1665" s="20" t="str">
        <f t="shared" si="67"/>
        <v>PUNO HUANCANE VILQUE CHICO</v>
      </c>
      <c r="N1665" s="20">
        <f t="shared" si="68"/>
        <v>0</v>
      </c>
      <c r="O1665" s="16" t="s">
        <v>1542</v>
      </c>
      <c r="P1665" s="16" t="s">
        <v>1580</v>
      </c>
      <c r="Q1665" s="16" t="s">
        <v>1587</v>
      </c>
      <c r="R1665" s="16" t="s">
        <v>3442</v>
      </c>
    </row>
    <row r="1666" spans="13:18" x14ac:dyDescent="0.2">
      <c r="M1666" s="20" t="str">
        <f t="shared" si="67"/>
        <v>PUNO LAMPA CABANILLA</v>
      </c>
      <c r="N1666" s="20">
        <f t="shared" si="68"/>
        <v>0</v>
      </c>
      <c r="O1666" s="16" t="s">
        <v>1542</v>
      </c>
      <c r="P1666" s="16" t="s">
        <v>534</v>
      </c>
      <c r="Q1666" s="16" t="s">
        <v>1588</v>
      </c>
      <c r="R1666" s="16" t="s">
        <v>3443</v>
      </c>
    </row>
    <row r="1667" spans="13:18" x14ac:dyDescent="0.2">
      <c r="M1667" s="20" t="str">
        <f t="shared" ref="M1667:M1730" si="69">O1667&amp;" "&amp;P1667&amp;" "&amp;Q1667</f>
        <v>PUNO LAMPA CALAPUJA</v>
      </c>
      <c r="N1667" s="20">
        <f t="shared" ref="N1667:N1730" si="70">IF(AND($D$9=O1667,$D$10=P1667),N1666+1,0)</f>
        <v>0</v>
      </c>
      <c r="O1667" s="16" t="s">
        <v>1542</v>
      </c>
      <c r="P1667" s="16" t="s">
        <v>534</v>
      </c>
      <c r="Q1667" s="16" t="s">
        <v>1589</v>
      </c>
      <c r="R1667" s="16" t="s">
        <v>3444</v>
      </c>
    </row>
    <row r="1668" spans="13:18" x14ac:dyDescent="0.2">
      <c r="M1668" s="20" t="str">
        <f t="shared" si="69"/>
        <v>PUNO LAMPA LAMPA</v>
      </c>
      <c r="N1668" s="20">
        <f t="shared" si="70"/>
        <v>0</v>
      </c>
      <c r="O1668" s="16" t="s">
        <v>1542</v>
      </c>
      <c r="P1668" s="16" t="s">
        <v>534</v>
      </c>
      <c r="Q1668" s="16" t="s">
        <v>534</v>
      </c>
      <c r="R1668" s="16" t="s">
        <v>3445</v>
      </c>
    </row>
    <row r="1669" spans="13:18" x14ac:dyDescent="0.2">
      <c r="M1669" s="20" t="str">
        <f t="shared" si="69"/>
        <v>PUNO LAMPA NICASIO</v>
      </c>
      <c r="N1669" s="20">
        <f t="shared" si="70"/>
        <v>0</v>
      </c>
      <c r="O1669" s="16" t="s">
        <v>1542</v>
      </c>
      <c r="P1669" s="16" t="s">
        <v>534</v>
      </c>
      <c r="Q1669" s="16" t="s">
        <v>1590</v>
      </c>
      <c r="R1669" s="16" t="s">
        <v>3446</v>
      </c>
    </row>
    <row r="1670" spans="13:18" x14ac:dyDescent="0.2">
      <c r="M1670" s="20" t="str">
        <f t="shared" si="69"/>
        <v>PUNO LAMPA OCUVIRI</v>
      </c>
      <c r="N1670" s="20">
        <f t="shared" si="70"/>
        <v>0</v>
      </c>
      <c r="O1670" s="16" t="s">
        <v>1542</v>
      </c>
      <c r="P1670" s="16" t="s">
        <v>534</v>
      </c>
      <c r="Q1670" s="16" t="s">
        <v>1591</v>
      </c>
      <c r="R1670" s="16" t="s">
        <v>3447</v>
      </c>
    </row>
    <row r="1671" spans="13:18" x14ac:dyDescent="0.2">
      <c r="M1671" s="20" t="str">
        <f t="shared" si="69"/>
        <v>PUNO LAMPA PALCA</v>
      </c>
      <c r="N1671" s="20">
        <f t="shared" si="70"/>
        <v>0</v>
      </c>
      <c r="O1671" s="16" t="s">
        <v>1542</v>
      </c>
      <c r="P1671" s="16" t="s">
        <v>534</v>
      </c>
      <c r="Q1671" s="16" t="s">
        <v>850</v>
      </c>
      <c r="R1671" s="16" t="s">
        <v>3448</v>
      </c>
    </row>
    <row r="1672" spans="13:18" x14ac:dyDescent="0.2">
      <c r="M1672" s="20" t="str">
        <f t="shared" si="69"/>
        <v>PUNO LAMPA PARATIA</v>
      </c>
      <c r="N1672" s="20">
        <f t="shared" si="70"/>
        <v>0</v>
      </c>
      <c r="O1672" s="16" t="s">
        <v>1542</v>
      </c>
      <c r="P1672" s="16" t="s">
        <v>534</v>
      </c>
      <c r="Q1672" s="16" t="s">
        <v>1592</v>
      </c>
      <c r="R1672" s="16" t="s">
        <v>3449</v>
      </c>
    </row>
    <row r="1673" spans="13:18" x14ac:dyDescent="0.2">
      <c r="M1673" s="20" t="str">
        <f t="shared" si="69"/>
        <v>PUNO LAMPA PUCARA</v>
      </c>
      <c r="N1673" s="20">
        <f t="shared" si="70"/>
        <v>0</v>
      </c>
      <c r="O1673" s="16" t="s">
        <v>1542</v>
      </c>
      <c r="P1673" s="16" t="s">
        <v>534</v>
      </c>
      <c r="Q1673" s="16" t="s">
        <v>646</v>
      </c>
      <c r="R1673" s="16" t="s">
        <v>3450</v>
      </c>
    </row>
    <row r="1674" spans="13:18" x14ac:dyDescent="0.2">
      <c r="M1674" s="20" t="str">
        <f t="shared" si="69"/>
        <v>PUNO LAMPA SANTA LUCIA</v>
      </c>
      <c r="N1674" s="20">
        <f t="shared" si="70"/>
        <v>0</v>
      </c>
      <c r="O1674" s="16" t="s">
        <v>1542</v>
      </c>
      <c r="P1674" s="16" t="s">
        <v>534</v>
      </c>
      <c r="Q1674" s="16" t="s">
        <v>521</v>
      </c>
      <c r="R1674" s="16" t="s">
        <v>3451</v>
      </c>
    </row>
    <row r="1675" spans="13:18" x14ac:dyDescent="0.2">
      <c r="M1675" s="20" t="str">
        <f t="shared" si="69"/>
        <v>PUNO LAMPA VILAVILA</v>
      </c>
      <c r="N1675" s="20">
        <f t="shared" si="70"/>
        <v>0</v>
      </c>
      <c r="O1675" s="16" t="s">
        <v>1542</v>
      </c>
      <c r="P1675" s="16" t="s">
        <v>534</v>
      </c>
      <c r="Q1675" s="16" t="s">
        <v>1593</v>
      </c>
      <c r="R1675" s="16" t="s">
        <v>3452</v>
      </c>
    </row>
    <row r="1676" spans="13:18" x14ac:dyDescent="0.2">
      <c r="M1676" s="20" t="str">
        <f t="shared" si="69"/>
        <v>PUNO MELGAR ANTAUTA</v>
      </c>
      <c r="N1676" s="20">
        <f t="shared" si="70"/>
        <v>0</v>
      </c>
      <c r="O1676" s="16" t="s">
        <v>1542</v>
      </c>
      <c r="P1676" s="16" t="s">
        <v>1594</v>
      </c>
      <c r="Q1676" s="16" t="s">
        <v>1595</v>
      </c>
      <c r="R1676" s="16" t="s">
        <v>3453</v>
      </c>
    </row>
    <row r="1677" spans="13:18" x14ac:dyDescent="0.2">
      <c r="M1677" s="20" t="str">
        <f t="shared" si="69"/>
        <v>PUNO MELGAR AYAVIRI</v>
      </c>
      <c r="N1677" s="20">
        <f t="shared" si="70"/>
        <v>0</v>
      </c>
      <c r="O1677" s="16" t="s">
        <v>1542</v>
      </c>
      <c r="P1677" s="16" t="s">
        <v>1594</v>
      </c>
      <c r="Q1677" s="16" t="s">
        <v>1348</v>
      </c>
      <c r="R1677" s="16" t="s">
        <v>3454</v>
      </c>
    </row>
    <row r="1678" spans="13:18" x14ac:dyDescent="0.2">
      <c r="M1678" s="20" t="str">
        <f t="shared" si="69"/>
        <v>PUNO MELGAR CUPI</v>
      </c>
      <c r="N1678" s="20">
        <f t="shared" si="70"/>
        <v>0</v>
      </c>
      <c r="O1678" s="16" t="s">
        <v>1542</v>
      </c>
      <c r="P1678" s="16" t="s">
        <v>1594</v>
      </c>
      <c r="Q1678" s="16" t="s">
        <v>1596</v>
      </c>
      <c r="R1678" s="16" t="s">
        <v>3455</v>
      </c>
    </row>
    <row r="1679" spans="13:18" x14ac:dyDescent="0.2">
      <c r="M1679" s="20" t="str">
        <f t="shared" si="69"/>
        <v>PUNO MELGAR LLALLI</v>
      </c>
      <c r="N1679" s="20">
        <f t="shared" si="70"/>
        <v>0</v>
      </c>
      <c r="O1679" s="16" t="s">
        <v>1542</v>
      </c>
      <c r="P1679" s="16" t="s">
        <v>1594</v>
      </c>
      <c r="Q1679" s="16" t="s">
        <v>1597</v>
      </c>
      <c r="R1679" s="16" t="s">
        <v>3456</v>
      </c>
    </row>
    <row r="1680" spans="13:18" x14ac:dyDescent="0.2">
      <c r="M1680" s="20" t="str">
        <f t="shared" si="69"/>
        <v>PUNO MELGAR MACARI</v>
      </c>
      <c r="N1680" s="20">
        <f t="shared" si="70"/>
        <v>0</v>
      </c>
      <c r="O1680" s="16" t="s">
        <v>1542</v>
      </c>
      <c r="P1680" s="16" t="s">
        <v>1594</v>
      </c>
      <c r="Q1680" s="16" t="s">
        <v>1598</v>
      </c>
      <c r="R1680" s="16" t="s">
        <v>3457</v>
      </c>
    </row>
    <row r="1681" spans="13:18" x14ac:dyDescent="0.2">
      <c r="M1681" s="20" t="str">
        <f t="shared" si="69"/>
        <v>PUNO MELGAR NUÑOA</v>
      </c>
      <c r="N1681" s="20">
        <f t="shared" si="70"/>
        <v>0</v>
      </c>
      <c r="O1681" s="16" t="s">
        <v>1542</v>
      </c>
      <c r="P1681" s="16" t="s">
        <v>1594</v>
      </c>
      <c r="Q1681" s="16" t="s">
        <v>1599</v>
      </c>
      <c r="R1681" s="16" t="s">
        <v>3458</v>
      </c>
    </row>
    <row r="1682" spans="13:18" x14ac:dyDescent="0.2">
      <c r="M1682" s="20" t="str">
        <f t="shared" si="69"/>
        <v>PUNO MELGAR ORURILLO</v>
      </c>
      <c r="N1682" s="20">
        <f t="shared" si="70"/>
        <v>0</v>
      </c>
      <c r="O1682" s="16" t="s">
        <v>1542</v>
      </c>
      <c r="P1682" s="16" t="s">
        <v>1594</v>
      </c>
      <c r="Q1682" s="16" t="s">
        <v>1600</v>
      </c>
      <c r="R1682" s="16" t="s">
        <v>3459</v>
      </c>
    </row>
    <row r="1683" spans="13:18" x14ac:dyDescent="0.2">
      <c r="M1683" s="20" t="str">
        <f t="shared" si="69"/>
        <v>PUNO MELGAR SANTA ROSA</v>
      </c>
      <c r="N1683" s="20">
        <f t="shared" si="70"/>
        <v>0</v>
      </c>
      <c r="O1683" s="16" t="s">
        <v>1542</v>
      </c>
      <c r="P1683" s="16" t="s">
        <v>1594</v>
      </c>
      <c r="Q1683" s="16" t="s">
        <v>85</v>
      </c>
      <c r="R1683" s="16" t="s">
        <v>3460</v>
      </c>
    </row>
    <row r="1684" spans="13:18" x14ac:dyDescent="0.2">
      <c r="M1684" s="20" t="str">
        <f t="shared" si="69"/>
        <v>PUNO MELGAR UMACHIRI</v>
      </c>
      <c r="N1684" s="20">
        <f t="shared" si="70"/>
        <v>0</v>
      </c>
      <c r="O1684" s="16" t="s">
        <v>1542</v>
      </c>
      <c r="P1684" s="16" t="s">
        <v>1594</v>
      </c>
      <c r="Q1684" s="16" t="s">
        <v>1601</v>
      </c>
      <c r="R1684" s="16" t="s">
        <v>3461</v>
      </c>
    </row>
    <row r="1685" spans="13:18" x14ac:dyDescent="0.2">
      <c r="M1685" s="20" t="str">
        <f t="shared" si="69"/>
        <v>PUNO MOHO CONIMA</v>
      </c>
      <c r="N1685" s="20">
        <f t="shared" si="70"/>
        <v>0</v>
      </c>
      <c r="O1685" s="16" t="s">
        <v>1542</v>
      </c>
      <c r="P1685" s="16" t="s">
        <v>1602</v>
      </c>
      <c r="Q1685" s="16" t="s">
        <v>1603</v>
      </c>
      <c r="R1685" s="16" t="s">
        <v>3462</v>
      </c>
    </row>
    <row r="1686" spans="13:18" x14ac:dyDescent="0.2">
      <c r="M1686" s="20" t="str">
        <f t="shared" si="69"/>
        <v>PUNO MOHO HUAYRAPATA</v>
      </c>
      <c r="N1686" s="20">
        <f t="shared" si="70"/>
        <v>0</v>
      </c>
      <c r="O1686" s="16" t="s">
        <v>1542</v>
      </c>
      <c r="P1686" s="16" t="s">
        <v>1602</v>
      </c>
      <c r="Q1686" s="16" t="s">
        <v>1604</v>
      </c>
      <c r="R1686" s="16" t="s">
        <v>3463</v>
      </c>
    </row>
    <row r="1687" spans="13:18" x14ac:dyDescent="0.2">
      <c r="M1687" s="20" t="str">
        <f t="shared" si="69"/>
        <v>PUNO MOHO MOHO</v>
      </c>
      <c r="N1687" s="20">
        <f t="shared" si="70"/>
        <v>0</v>
      </c>
      <c r="O1687" s="16" t="s">
        <v>1542</v>
      </c>
      <c r="P1687" s="16" t="s">
        <v>1602</v>
      </c>
      <c r="Q1687" s="16" t="s">
        <v>1602</v>
      </c>
      <c r="R1687" s="16" t="s">
        <v>3464</v>
      </c>
    </row>
    <row r="1688" spans="13:18" x14ac:dyDescent="0.2">
      <c r="M1688" s="20" t="str">
        <f t="shared" si="69"/>
        <v>PUNO MOHO TILALI</v>
      </c>
      <c r="N1688" s="20">
        <f t="shared" si="70"/>
        <v>0</v>
      </c>
      <c r="O1688" s="16" t="s">
        <v>1542</v>
      </c>
      <c r="P1688" s="16" t="s">
        <v>1602</v>
      </c>
      <c r="Q1688" s="16" t="s">
        <v>1605</v>
      </c>
      <c r="R1688" s="16" t="s">
        <v>3465</v>
      </c>
    </row>
    <row r="1689" spans="13:18" x14ac:dyDescent="0.2">
      <c r="M1689" s="20" t="str">
        <f t="shared" si="69"/>
        <v>PUNO PUNO ACORA</v>
      </c>
      <c r="N1689" s="20">
        <f t="shared" si="70"/>
        <v>0</v>
      </c>
      <c r="O1689" s="16" t="s">
        <v>1542</v>
      </c>
      <c r="P1689" s="16" t="s">
        <v>1542</v>
      </c>
      <c r="Q1689" s="16" t="s">
        <v>1606</v>
      </c>
      <c r="R1689" s="16" t="s">
        <v>3466</v>
      </c>
    </row>
    <row r="1690" spans="13:18" x14ac:dyDescent="0.2">
      <c r="M1690" s="20" t="str">
        <f t="shared" si="69"/>
        <v>PUNO PUNO AMANTANI</v>
      </c>
      <c r="N1690" s="20">
        <f t="shared" si="70"/>
        <v>0</v>
      </c>
      <c r="O1690" s="16" t="s">
        <v>1542</v>
      </c>
      <c r="P1690" s="16" t="s">
        <v>1542</v>
      </c>
      <c r="Q1690" s="16" t="s">
        <v>1607</v>
      </c>
      <c r="R1690" s="16" t="s">
        <v>3467</v>
      </c>
    </row>
    <row r="1691" spans="13:18" x14ac:dyDescent="0.2">
      <c r="M1691" s="20" t="str">
        <f t="shared" si="69"/>
        <v>PUNO PUNO ATUNCOLLA</v>
      </c>
      <c r="N1691" s="20">
        <f t="shared" si="70"/>
        <v>0</v>
      </c>
      <c r="O1691" s="16" t="s">
        <v>1542</v>
      </c>
      <c r="P1691" s="16" t="s">
        <v>1542</v>
      </c>
      <c r="Q1691" s="16" t="s">
        <v>1608</v>
      </c>
      <c r="R1691" s="16" t="s">
        <v>3468</v>
      </c>
    </row>
    <row r="1692" spans="13:18" x14ac:dyDescent="0.2">
      <c r="M1692" s="20" t="str">
        <f t="shared" si="69"/>
        <v>PUNO PUNO CAPACHICA</v>
      </c>
      <c r="N1692" s="20">
        <f t="shared" si="70"/>
        <v>0</v>
      </c>
      <c r="O1692" s="16" t="s">
        <v>1542</v>
      </c>
      <c r="P1692" s="16" t="s">
        <v>1542</v>
      </c>
      <c r="Q1692" s="16" t="s">
        <v>1609</v>
      </c>
      <c r="R1692" s="16" t="s">
        <v>3469</v>
      </c>
    </row>
    <row r="1693" spans="13:18" x14ac:dyDescent="0.2">
      <c r="M1693" s="20" t="str">
        <f t="shared" si="69"/>
        <v>PUNO PUNO CHUCUITO</v>
      </c>
      <c r="N1693" s="20">
        <f t="shared" si="70"/>
        <v>0</v>
      </c>
      <c r="O1693" s="16" t="s">
        <v>1542</v>
      </c>
      <c r="P1693" s="16" t="s">
        <v>1542</v>
      </c>
      <c r="Q1693" s="16" t="s">
        <v>1567</v>
      </c>
      <c r="R1693" s="16" t="s">
        <v>3470</v>
      </c>
    </row>
    <row r="1694" spans="13:18" x14ac:dyDescent="0.2">
      <c r="M1694" s="20" t="str">
        <f t="shared" si="69"/>
        <v>PUNO PUNO COATA</v>
      </c>
      <c r="N1694" s="20">
        <f t="shared" si="70"/>
        <v>0</v>
      </c>
      <c r="O1694" s="16" t="s">
        <v>1542</v>
      </c>
      <c r="P1694" s="16" t="s">
        <v>1542</v>
      </c>
      <c r="Q1694" s="16" t="s">
        <v>1610</v>
      </c>
      <c r="R1694" s="16" t="s">
        <v>3471</v>
      </c>
    </row>
    <row r="1695" spans="13:18" x14ac:dyDescent="0.2">
      <c r="M1695" s="20" t="str">
        <f t="shared" si="69"/>
        <v>PUNO PUNO HUATA</v>
      </c>
      <c r="N1695" s="20">
        <f t="shared" si="70"/>
        <v>0</v>
      </c>
      <c r="O1695" s="16" t="s">
        <v>1542</v>
      </c>
      <c r="P1695" s="16" t="s">
        <v>1542</v>
      </c>
      <c r="Q1695" s="16" t="s">
        <v>186</v>
      </c>
      <c r="R1695" s="16" t="s">
        <v>3472</v>
      </c>
    </row>
    <row r="1696" spans="13:18" x14ac:dyDescent="0.2">
      <c r="M1696" s="20" t="str">
        <f t="shared" si="69"/>
        <v>PUNO PUNO MAÑAZO</v>
      </c>
      <c r="N1696" s="20">
        <f t="shared" si="70"/>
        <v>0</v>
      </c>
      <c r="O1696" s="16" t="s">
        <v>1542</v>
      </c>
      <c r="P1696" s="16" t="s">
        <v>1542</v>
      </c>
      <c r="Q1696" s="16" t="s">
        <v>1611</v>
      </c>
      <c r="R1696" s="16" t="s">
        <v>3473</v>
      </c>
    </row>
    <row r="1697" spans="13:18" x14ac:dyDescent="0.2">
      <c r="M1697" s="20" t="str">
        <f t="shared" si="69"/>
        <v>PUNO PUNO PAUCARCOLLA</v>
      </c>
      <c r="N1697" s="20">
        <f t="shared" si="70"/>
        <v>0</v>
      </c>
      <c r="O1697" s="16" t="s">
        <v>1542</v>
      </c>
      <c r="P1697" s="16" t="s">
        <v>1542</v>
      </c>
      <c r="Q1697" s="16" t="s">
        <v>1612</v>
      </c>
      <c r="R1697" s="16" t="s">
        <v>3474</v>
      </c>
    </row>
    <row r="1698" spans="13:18" x14ac:dyDescent="0.2">
      <c r="M1698" s="20" t="str">
        <f t="shared" si="69"/>
        <v>PUNO PUNO PICHACANI</v>
      </c>
      <c r="N1698" s="20">
        <f t="shared" si="70"/>
        <v>0</v>
      </c>
      <c r="O1698" s="16" t="s">
        <v>1542</v>
      </c>
      <c r="P1698" s="16" t="s">
        <v>1542</v>
      </c>
      <c r="Q1698" s="16" t="s">
        <v>1613</v>
      </c>
      <c r="R1698" s="16" t="s">
        <v>3475</v>
      </c>
    </row>
    <row r="1699" spans="13:18" x14ac:dyDescent="0.2">
      <c r="M1699" s="20" t="str">
        <f t="shared" si="69"/>
        <v>PUNO PUNO PLATERIA</v>
      </c>
      <c r="N1699" s="20">
        <f t="shared" si="70"/>
        <v>0</v>
      </c>
      <c r="O1699" s="16" t="s">
        <v>1542</v>
      </c>
      <c r="P1699" s="16" t="s">
        <v>1542</v>
      </c>
      <c r="Q1699" s="16" t="s">
        <v>1614</v>
      </c>
      <c r="R1699" s="16" t="s">
        <v>3476</v>
      </c>
    </row>
    <row r="1700" spans="13:18" x14ac:dyDescent="0.2">
      <c r="M1700" s="20" t="str">
        <f t="shared" si="69"/>
        <v>PUNO PUNO PUNO</v>
      </c>
      <c r="N1700" s="20">
        <f t="shared" si="70"/>
        <v>0</v>
      </c>
      <c r="O1700" s="16" t="s">
        <v>1542</v>
      </c>
      <c r="P1700" s="16" t="s">
        <v>1542</v>
      </c>
      <c r="Q1700" s="16" t="s">
        <v>1542</v>
      </c>
      <c r="R1700" s="16" t="s">
        <v>3477</v>
      </c>
    </row>
    <row r="1701" spans="13:18" x14ac:dyDescent="0.2">
      <c r="M1701" s="20" t="str">
        <f t="shared" si="69"/>
        <v>PUNO PUNO SAN ANTONIO</v>
      </c>
      <c r="N1701" s="20">
        <f t="shared" si="70"/>
        <v>0</v>
      </c>
      <c r="O1701" s="16" t="s">
        <v>1542</v>
      </c>
      <c r="P1701" s="16" t="s">
        <v>1542</v>
      </c>
      <c r="Q1701" s="16" t="s">
        <v>345</v>
      </c>
      <c r="R1701" s="16" t="s">
        <v>3478</v>
      </c>
    </row>
    <row r="1702" spans="13:18" x14ac:dyDescent="0.2">
      <c r="M1702" s="20" t="str">
        <f t="shared" si="69"/>
        <v>PUNO PUNO TIQUILLACA</v>
      </c>
      <c r="N1702" s="20">
        <f t="shared" si="70"/>
        <v>0</v>
      </c>
      <c r="O1702" s="16" t="s">
        <v>1542</v>
      </c>
      <c r="P1702" s="16" t="s">
        <v>1542</v>
      </c>
      <c r="Q1702" s="16" t="s">
        <v>1615</v>
      </c>
      <c r="R1702" s="16" t="s">
        <v>3479</v>
      </c>
    </row>
    <row r="1703" spans="13:18" x14ac:dyDescent="0.2">
      <c r="M1703" s="20" t="str">
        <f t="shared" si="69"/>
        <v>PUNO PUNO VILQUE</v>
      </c>
      <c r="N1703" s="20">
        <f t="shared" si="70"/>
        <v>0</v>
      </c>
      <c r="O1703" s="16" t="s">
        <v>1542</v>
      </c>
      <c r="P1703" s="16" t="s">
        <v>1542</v>
      </c>
      <c r="Q1703" s="16" t="s">
        <v>1616</v>
      </c>
      <c r="R1703" s="16" t="s">
        <v>3480</v>
      </c>
    </row>
    <row r="1704" spans="13:18" x14ac:dyDescent="0.2">
      <c r="M1704" s="20" t="str">
        <f t="shared" si="69"/>
        <v>PUNO SAN ANTONIO DE PUTINA ANANEA</v>
      </c>
      <c r="N1704" s="20">
        <f t="shared" si="70"/>
        <v>0</v>
      </c>
      <c r="O1704" s="16" t="s">
        <v>1542</v>
      </c>
      <c r="P1704" s="16" t="s">
        <v>1617</v>
      </c>
      <c r="Q1704" s="16" t="s">
        <v>1618</v>
      </c>
      <c r="R1704" s="16" t="s">
        <v>3481</v>
      </c>
    </row>
    <row r="1705" spans="13:18" x14ac:dyDescent="0.2">
      <c r="M1705" s="20" t="str">
        <f t="shared" si="69"/>
        <v>PUNO SAN ANTONIO DE PUTINA PEDRO VILCA APAZA</v>
      </c>
      <c r="N1705" s="20">
        <f t="shared" si="70"/>
        <v>0</v>
      </c>
      <c r="O1705" s="16" t="s">
        <v>1542</v>
      </c>
      <c r="P1705" s="16" t="s">
        <v>1617</v>
      </c>
      <c r="Q1705" s="16" t="s">
        <v>1619</v>
      </c>
      <c r="R1705" s="16" t="s">
        <v>3482</v>
      </c>
    </row>
    <row r="1706" spans="13:18" x14ac:dyDescent="0.2">
      <c r="M1706" s="20" t="str">
        <f t="shared" si="69"/>
        <v>PUNO SAN ANTONIO DE PUTINA PUTINA</v>
      </c>
      <c r="N1706" s="20">
        <f t="shared" si="70"/>
        <v>0</v>
      </c>
      <c r="O1706" s="16" t="s">
        <v>1542</v>
      </c>
      <c r="P1706" s="16" t="s">
        <v>1617</v>
      </c>
      <c r="Q1706" s="16" t="s">
        <v>1620</v>
      </c>
      <c r="R1706" s="16" t="s">
        <v>3483</v>
      </c>
    </row>
    <row r="1707" spans="13:18" x14ac:dyDescent="0.2">
      <c r="M1707" s="20" t="str">
        <f t="shared" si="69"/>
        <v>PUNO SAN ANTONIO DE PUTINA QUILCAPUNCU</v>
      </c>
      <c r="N1707" s="20">
        <f t="shared" si="70"/>
        <v>0</v>
      </c>
      <c r="O1707" s="16" t="s">
        <v>1542</v>
      </c>
      <c r="P1707" s="16" t="s">
        <v>1617</v>
      </c>
      <c r="Q1707" s="16" t="s">
        <v>1621</v>
      </c>
      <c r="R1707" s="16" t="s">
        <v>3484</v>
      </c>
    </row>
    <row r="1708" spans="13:18" x14ac:dyDescent="0.2">
      <c r="M1708" s="20" t="str">
        <f t="shared" si="69"/>
        <v>PUNO SAN ANTONIO DE PUTINA SINA</v>
      </c>
      <c r="N1708" s="20">
        <f t="shared" si="70"/>
        <v>0</v>
      </c>
      <c r="O1708" s="16" t="s">
        <v>1542</v>
      </c>
      <c r="P1708" s="16" t="s">
        <v>1617</v>
      </c>
      <c r="Q1708" s="16" t="s">
        <v>1622</v>
      </c>
      <c r="R1708" s="16" t="s">
        <v>3485</v>
      </c>
    </row>
    <row r="1709" spans="13:18" x14ac:dyDescent="0.2">
      <c r="M1709" s="20" t="str">
        <f t="shared" si="69"/>
        <v>PUNO SAN ROMAN CABANA</v>
      </c>
      <c r="N1709" s="20">
        <f t="shared" si="70"/>
        <v>0</v>
      </c>
      <c r="O1709" s="16" t="s">
        <v>1542</v>
      </c>
      <c r="P1709" s="16" t="s">
        <v>1623</v>
      </c>
      <c r="Q1709" s="16" t="s">
        <v>215</v>
      </c>
      <c r="R1709" s="16" t="s">
        <v>3486</v>
      </c>
    </row>
    <row r="1710" spans="13:18" x14ac:dyDescent="0.2">
      <c r="M1710" s="20" t="str">
        <f t="shared" si="69"/>
        <v>PUNO SAN ROMAN CABANILLAS</v>
      </c>
      <c r="N1710" s="20">
        <f t="shared" si="70"/>
        <v>0</v>
      </c>
      <c r="O1710" s="16" t="s">
        <v>1542</v>
      </c>
      <c r="P1710" s="16" t="s">
        <v>1623</v>
      </c>
      <c r="Q1710" s="16" t="s">
        <v>1624</v>
      </c>
      <c r="R1710" s="16" t="s">
        <v>3487</v>
      </c>
    </row>
    <row r="1711" spans="13:18" x14ac:dyDescent="0.2">
      <c r="M1711" s="20" t="str">
        <f t="shared" si="69"/>
        <v>PUNO SAN ROMAN CARACOTO</v>
      </c>
      <c r="N1711" s="20">
        <f t="shared" si="70"/>
        <v>0</v>
      </c>
      <c r="O1711" s="16" t="s">
        <v>1542</v>
      </c>
      <c r="P1711" s="16" t="s">
        <v>1623</v>
      </c>
      <c r="Q1711" s="16" t="s">
        <v>1625</v>
      </c>
      <c r="R1711" s="16" t="s">
        <v>3488</v>
      </c>
    </row>
    <row r="1712" spans="13:18" x14ac:dyDescent="0.2">
      <c r="M1712" s="20" t="str">
        <f t="shared" si="69"/>
        <v>PUNO SAN ROMAN JULIACA</v>
      </c>
      <c r="N1712" s="20">
        <f t="shared" si="70"/>
        <v>0</v>
      </c>
      <c r="O1712" s="16" t="s">
        <v>1542</v>
      </c>
      <c r="P1712" s="16" t="s">
        <v>1623</v>
      </c>
      <c r="Q1712" s="16" t="s">
        <v>1626</v>
      </c>
      <c r="R1712" s="16" t="s">
        <v>3489</v>
      </c>
    </row>
    <row r="1713" spans="13:18" x14ac:dyDescent="0.2">
      <c r="M1713" s="20" t="str">
        <f t="shared" si="69"/>
        <v>PUNO SANDIA ALTO INAMBARI</v>
      </c>
      <c r="N1713" s="20">
        <f t="shared" si="70"/>
        <v>0</v>
      </c>
      <c r="O1713" s="16" t="s">
        <v>1542</v>
      </c>
      <c r="P1713" s="16" t="s">
        <v>1627</v>
      </c>
      <c r="Q1713" s="16" t="s">
        <v>1628</v>
      </c>
      <c r="R1713" s="16" t="s">
        <v>3490</v>
      </c>
    </row>
    <row r="1714" spans="13:18" x14ac:dyDescent="0.2">
      <c r="M1714" s="20" t="str">
        <f t="shared" si="69"/>
        <v>PUNO SANDIA CUYOCUYO</v>
      </c>
      <c r="N1714" s="20">
        <f t="shared" si="70"/>
        <v>0</v>
      </c>
      <c r="O1714" s="16" t="s">
        <v>1542</v>
      </c>
      <c r="P1714" s="16" t="s">
        <v>1627</v>
      </c>
      <c r="Q1714" s="16" t="s">
        <v>1629</v>
      </c>
      <c r="R1714" s="16" t="s">
        <v>3491</v>
      </c>
    </row>
    <row r="1715" spans="13:18" x14ac:dyDescent="0.2">
      <c r="M1715" s="20" t="str">
        <f t="shared" si="69"/>
        <v>PUNO SANDIA LIMBANI</v>
      </c>
      <c r="N1715" s="20">
        <f t="shared" si="70"/>
        <v>0</v>
      </c>
      <c r="O1715" s="16" t="s">
        <v>1542</v>
      </c>
      <c r="P1715" s="16" t="s">
        <v>1627</v>
      </c>
      <c r="Q1715" s="16" t="s">
        <v>1630</v>
      </c>
      <c r="R1715" s="16" t="s">
        <v>3492</v>
      </c>
    </row>
    <row r="1716" spans="13:18" x14ac:dyDescent="0.2">
      <c r="M1716" s="20" t="str">
        <f t="shared" si="69"/>
        <v>PUNO SANDIA PATAMBUCO</v>
      </c>
      <c r="N1716" s="20">
        <f t="shared" si="70"/>
        <v>0</v>
      </c>
      <c r="O1716" s="16" t="s">
        <v>1542</v>
      </c>
      <c r="P1716" s="16" t="s">
        <v>1627</v>
      </c>
      <c r="Q1716" s="16" t="s">
        <v>1631</v>
      </c>
      <c r="R1716" s="16" t="s">
        <v>3493</v>
      </c>
    </row>
    <row r="1717" spans="13:18" x14ac:dyDescent="0.2">
      <c r="M1717" s="20" t="str">
        <f t="shared" si="69"/>
        <v>PUNO SANDIA PHARA</v>
      </c>
      <c r="N1717" s="20">
        <f t="shared" si="70"/>
        <v>0</v>
      </c>
      <c r="O1717" s="16" t="s">
        <v>1542</v>
      </c>
      <c r="P1717" s="16" t="s">
        <v>1627</v>
      </c>
      <c r="Q1717" s="16" t="s">
        <v>1632</v>
      </c>
      <c r="R1717" s="16" t="s">
        <v>3494</v>
      </c>
    </row>
    <row r="1718" spans="13:18" x14ac:dyDescent="0.2">
      <c r="M1718" s="20" t="str">
        <f t="shared" si="69"/>
        <v>PUNO SANDIA QUIACA</v>
      </c>
      <c r="N1718" s="20">
        <f t="shared" si="70"/>
        <v>0</v>
      </c>
      <c r="O1718" s="16" t="s">
        <v>1542</v>
      </c>
      <c r="P1718" s="16" t="s">
        <v>1627</v>
      </c>
      <c r="Q1718" s="16" t="s">
        <v>1633</v>
      </c>
      <c r="R1718" s="16" t="s">
        <v>3495</v>
      </c>
    </row>
    <row r="1719" spans="13:18" x14ac:dyDescent="0.2">
      <c r="M1719" s="20" t="str">
        <f t="shared" si="69"/>
        <v>PUNO SANDIA SAN JUAN DEL ORO</v>
      </c>
      <c r="N1719" s="20">
        <f t="shared" si="70"/>
        <v>0</v>
      </c>
      <c r="O1719" s="16" t="s">
        <v>1542</v>
      </c>
      <c r="P1719" s="16" t="s">
        <v>1627</v>
      </c>
      <c r="Q1719" s="16" t="s">
        <v>1634</v>
      </c>
      <c r="R1719" s="16" t="s">
        <v>3496</v>
      </c>
    </row>
    <row r="1720" spans="13:18" x14ac:dyDescent="0.2">
      <c r="M1720" s="20" t="str">
        <f t="shared" si="69"/>
        <v>PUNO SANDIA SAN PEDRO DE PUTINA PUNCO</v>
      </c>
      <c r="N1720" s="20">
        <f t="shared" si="70"/>
        <v>0</v>
      </c>
      <c r="O1720" s="16" t="s">
        <v>1542</v>
      </c>
      <c r="P1720" s="16" t="s">
        <v>1627</v>
      </c>
      <c r="Q1720" s="16" t="s">
        <v>1635</v>
      </c>
      <c r="R1720" s="16" t="s">
        <v>3497</v>
      </c>
    </row>
    <row r="1721" spans="13:18" x14ac:dyDescent="0.2">
      <c r="M1721" s="20" t="str">
        <f t="shared" si="69"/>
        <v>PUNO SANDIA SANDIA</v>
      </c>
      <c r="N1721" s="20">
        <f t="shared" si="70"/>
        <v>0</v>
      </c>
      <c r="O1721" s="16" t="s">
        <v>1542</v>
      </c>
      <c r="P1721" s="16" t="s">
        <v>1627</v>
      </c>
      <c r="Q1721" s="16" t="s">
        <v>1627</v>
      </c>
      <c r="R1721" s="16" t="s">
        <v>3498</v>
      </c>
    </row>
    <row r="1722" spans="13:18" x14ac:dyDescent="0.2">
      <c r="M1722" s="20" t="str">
        <f t="shared" si="69"/>
        <v>PUNO SANDIA YANAHUAYA</v>
      </c>
      <c r="N1722" s="20">
        <f t="shared" si="70"/>
        <v>0</v>
      </c>
      <c r="O1722" s="16" t="s">
        <v>1542</v>
      </c>
      <c r="P1722" s="16" t="s">
        <v>1627</v>
      </c>
      <c r="Q1722" s="16" t="s">
        <v>1636</v>
      </c>
      <c r="R1722" s="16" t="s">
        <v>3499</v>
      </c>
    </row>
    <row r="1723" spans="13:18" x14ac:dyDescent="0.2">
      <c r="M1723" s="20" t="str">
        <f t="shared" si="69"/>
        <v>PUNO YUNGUYO ANAPIA</v>
      </c>
      <c r="N1723" s="20">
        <f t="shared" si="70"/>
        <v>0</v>
      </c>
      <c r="O1723" s="16" t="s">
        <v>1542</v>
      </c>
      <c r="P1723" s="16" t="s">
        <v>1637</v>
      </c>
      <c r="Q1723" s="16" t="s">
        <v>1638</v>
      </c>
      <c r="R1723" s="16" t="s">
        <v>3500</v>
      </c>
    </row>
    <row r="1724" spans="13:18" x14ac:dyDescent="0.2">
      <c r="M1724" s="20" t="str">
        <f t="shared" si="69"/>
        <v>PUNO YUNGUYO COPANI</v>
      </c>
      <c r="N1724" s="20">
        <f t="shared" si="70"/>
        <v>0</v>
      </c>
      <c r="O1724" s="16" t="s">
        <v>1542</v>
      </c>
      <c r="P1724" s="16" t="s">
        <v>1637</v>
      </c>
      <c r="Q1724" s="16" t="s">
        <v>1639</v>
      </c>
      <c r="R1724" s="16" t="s">
        <v>3501</v>
      </c>
    </row>
    <row r="1725" spans="13:18" x14ac:dyDescent="0.2">
      <c r="M1725" s="20" t="str">
        <f t="shared" si="69"/>
        <v>PUNO YUNGUYO CUTURAPI</v>
      </c>
      <c r="N1725" s="20">
        <f t="shared" si="70"/>
        <v>0</v>
      </c>
      <c r="O1725" s="16" t="s">
        <v>1542</v>
      </c>
      <c r="P1725" s="16" t="s">
        <v>1637</v>
      </c>
      <c r="Q1725" s="16" t="s">
        <v>1640</v>
      </c>
      <c r="R1725" s="16" t="s">
        <v>3502</v>
      </c>
    </row>
    <row r="1726" spans="13:18" x14ac:dyDescent="0.2">
      <c r="M1726" s="20" t="str">
        <f t="shared" si="69"/>
        <v>PUNO YUNGUYO OLLARAYA</v>
      </c>
      <c r="N1726" s="20">
        <f t="shared" si="70"/>
        <v>0</v>
      </c>
      <c r="O1726" s="16" t="s">
        <v>1542</v>
      </c>
      <c r="P1726" s="16" t="s">
        <v>1637</v>
      </c>
      <c r="Q1726" s="16" t="s">
        <v>1641</v>
      </c>
      <c r="R1726" s="16" t="s">
        <v>3503</v>
      </c>
    </row>
    <row r="1727" spans="13:18" x14ac:dyDescent="0.2">
      <c r="M1727" s="20" t="str">
        <f t="shared" si="69"/>
        <v>PUNO YUNGUYO TINICACHI</v>
      </c>
      <c r="N1727" s="20">
        <f t="shared" si="70"/>
        <v>0</v>
      </c>
      <c r="O1727" s="16" t="s">
        <v>1542</v>
      </c>
      <c r="P1727" s="16" t="s">
        <v>1637</v>
      </c>
      <c r="Q1727" s="16" t="s">
        <v>1642</v>
      </c>
      <c r="R1727" s="16" t="s">
        <v>3504</v>
      </c>
    </row>
    <row r="1728" spans="13:18" x14ac:dyDescent="0.2">
      <c r="M1728" s="20" t="str">
        <f t="shared" si="69"/>
        <v>PUNO YUNGUYO UNICACHI</v>
      </c>
      <c r="N1728" s="20">
        <f t="shared" si="70"/>
        <v>0</v>
      </c>
      <c r="O1728" s="16" t="s">
        <v>1542</v>
      </c>
      <c r="P1728" s="16" t="s">
        <v>1637</v>
      </c>
      <c r="Q1728" s="16" t="s">
        <v>1643</v>
      </c>
      <c r="R1728" s="16" t="s">
        <v>3505</v>
      </c>
    </row>
    <row r="1729" spans="13:18" x14ac:dyDescent="0.2">
      <c r="M1729" s="20" t="str">
        <f t="shared" si="69"/>
        <v>PUNO YUNGUYO YUNGUYO</v>
      </c>
      <c r="N1729" s="20">
        <f t="shared" si="70"/>
        <v>0</v>
      </c>
      <c r="O1729" s="16" t="s">
        <v>1542</v>
      </c>
      <c r="P1729" s="16" t="s">
        <v>1637</v>
      </c>
      <c r="Q1729" s="16" t="s">
        <v>1637</v>
      </c>
      <c r="R1729" s="16" t="s">
        <v>3506</v>
      </c>
    </row>
    <row r="1730" spans="13:18" x14ac:dyDescent="0.2">
      <c r="M1730" s="20" t="str">
        <f t="shared" si="69"/>
        <v>SAN MARTIN BELLAVISTA ALTO BIAVO</v>
      </c>
      <c r="N1730" s="20">
        <f t="shared" si="70"/>
        <v>0</v>
      </c>
      <c r="O1730" s="16" t="s">
        <v>1644</v>
      </c>
      <c r="P1730" s="16" t="s">
        <v>640</v>
      </c>
      <c r="Q1730" s="16" t="s">
        <v>1645</v>
      </c>
      <c r="R1730" s="16" t="s">
        <v>3507</v>
      </c>
    </row>
    <row r="1731" spans="13:18" x14ac:dyDescent="0.2">
      <c r="M1731" s="20" t="str">
        <f t="shared" ref="M1731:M1794" si="71">O1731&amp;" "&amp;P1731&amp;" "&amp;Q1731</f>
        <v>SAN MARTIN BELLAVISTA BAJO BIAVO</v>
      </c>
      <c r="N1731" s="20">
        <f t="shared" ref="N1731:N1794" si="72">IF(AND($D$9=O1731,$D$10=P1731),N1730+1,0)</f>
        <v>0</v>
      </c>
      <c r="O1731" s="16" t="s">
        <v>1644</v>
      </c>
      <c r="P1731" s="16" t="s">
        <v>640</v>
      </c>
      <c r="Q1731" s="16" t="s">
        <v>1646</v>
      </c>
      <c r="R1731" s="16" t="s">
        <v>3508</v>
      </c>
    </row>
    <row r="1732" spans="13:18" x14ac:dyDescent="0.2">
      <c r="M1732" s="20" t="str">
        <f t="shared" si="71"/>
        <v>SAN MARTIN BELLAVISTA BELLAVISTA</v>
      </c>
      <c r="N1732" s="20">
        <f t="shared" si="72"/>
        <v>0</v>
      </c>
      <c r="O1732" s="16" t="s">
        <v>1644</v>
      </c>
      <c r="P1732" s="16" t="s">
        <v>640</v>
      </c>
      <c r="Q1732" s="16" t="s">
        <v>640</v>
      </c>
      <c r="R1732" s="16" t="s">
        <v>3509</v>
      </c>
    </row>
    <row r="1733" spans="13:18" x14ac:dyDescent="0.2">
      <c r="M1733" s="20" t="str">
        <f t="shared" si="71"/>
        <v>SAN MARTIN BELLAVISTA HUALLAGA</v>
      </c>
      <c r="N1733" s="20">
        <f t="shared" si="72"/>
        <v>0</v>
      </c>
      <c r="O1733" s="16" t="s">
        <v>1644</v>
      </c>
      <c r="P1733" s="16" t="s">
        <v>640</v>
      </c>
      <c r="Q1733" s="16" t="s">
        <v>1647</v>
      </c>
      <c r="R1733" s="16" t="s">
        <v>3510</v>
      </c>
    </row>
    <row r="1734" spans="13:18" x14ac:dyDescent="0.2">
      <c r="M1734" s="20" t="str">
        <f t="shared" si="71"/>
        <v>SAN MARTIN BELLAVISTA SAN PABLO</v>
      </c>
      <c r="N1734" s="20">
        <f t="shared" si="72"/>
        <v>0</v>
      </c>
      <c r="O1734" s="16" t="s">
        <v>1644</v>
      </c>
      <c r="P1734" s="16" t="s">
        <v>640</v>
      </c>
      <c r="Q1734" s="16" t="s">
        <v>677</v>
      </c>
      <c r="R1734" s="16" t="s">
        <v>3511</v>
      </c>
    </row>
    <row r="1735" spans="13:18" x14ac:dyDescent="0.2">
      <c r="M1735" s="20" t="str">
        <f t="shared" si="71"/>
        <v>SAN MARTIN BELLAVISTA SAN RAFAEL</v>
      </c>
      <c r="N1735" s="20">
        <f t="shared" si="72"/>
        <v>0</v>
      </c>
      <c r="O1735" s="16" t="s">
        <v>1644</v>
      </c>
      <c r="P1735" s="16" t="s">
        <v>640</v>
      </c>
      <c r="Q1735" s="16" t="s">
        <v>252</v>
      </c>
      <c r="R1735" s="16" t="s">
        <v>3512</v>
      </c>
    </row>
    <row r="1736" spans="13:18" x14ac:dyDescent="0.2">
      <c r="M1736" s="20" t="str">
        <f t="shared" si="71"/>
        <v>SAN MARTIN EL DORADO AGUA BLANCA</v>
      </c>
      <c r="N1736" s="20">
        <f t="shared" si="72"/>
        <v>0</v>
      </c>
      <c r="O1736" s="16" t="s">
        <v>1644</v>
      </c>
      <c r="P1736" s="16" t="s">
        <v>1648</v>
      </c>
      <c r="Q1736" s="16" t="s">
        <v>1649</v>
      </c>
      <c r="R1736" s="16" t="s">
        <v>3513</v>
      </c>
    </row>
    <row r="1737" spans="13:18" x14ac:dyDescent="0.2">
      <c r="M1737" s="20" t="str">
        <f t="shared" si="71"/>
        <v>SAN MARTIN EL DORADO SAN JOSE DE SISA</v>
      </c>
      <c r="N1737" s="20">
        <f t="shared" si="72"/>
        <v>0</v>
      </c>
      <c r="O1737" s="16" t="s">
        <v>1644</v>
      </c>
      <c r="P1737" s="16" t="s">
        <v>1648</v>
      </c>
      <c r="Q1737" s="16" t="s">
        <v>1650</v>
      </c>
      <c r="R1737" s="16" t="s">
        <v>3514</v>
      </c>
    </row>
    <row r="1738" spans="13:18" x14ac:dyDescent="0.2">
      <c r="M1738" s="20" t="str">
        <f t="shared" si="71"/>
        <v>SAN MARTIN EL DORADO SAN MARTIN</v>
      </c>
      <c r="N1738" s="20">
        <f t="shared" si="72"/>
        <v>0</v>
      </c>
      <c r="O1738" s="16" t="s">
        <v>1644</v>
      </c>
      <c r="P1738" s="16" t="s">
        <v>1648</v>
      </c>
      <c r="Q1738" s="16" t="s">
        <v>1644</v>
      </c>
      <c r="R1738" s="16" t="s">
        <v>3515</v>
      </c>
    </row>
    <row r="1739" spans="13:18" x14ac:dyDescent="0.2">
      <c r="M1739" s="20" t="str">
        <f t="shared" si="71"/>
        <v>SAN MARTIN EL DORADO SANTA ROSA</v>
      </c>
      <c r="N1739" s="20">
        <f t="shared" si="72"/>
        <v>0</v>
      </c>
      <c r="O1739" s="16" t="s">
        <v>1644</v>
      </c>
      <c r="P1739" s="16" t="s">
        <v>1648</v>
      </c>
      <c r="Q1739" s="16" t="s">
        <v>85</v>
      </c>
      <c r="R1739" s="16" t="s">
        <v>3516</v>
      </c>
    </row>
    <row r="1740" spans="13:18" x14ac:dyDescent="0.2">
      <c r="M1740" s="20" t="str">
        <f t="shared" si="71"/>
        <v>SAN MARTIN EL DORADO SHATOJA</v>
      </c>
      <c r="N1740" s="20">
        <f t="shared" si="72"/>
        <v>0</v>
      </c>
      <c r="O1740" s="16" t="s">
        <v>1644</v>
      </c>
      <c r="P1740" s="16" t="s">
        <v>1648</v>
      </c>
      <c r="Q1740" s="16" t="s">
        <v>1651</v>
      </c>
      <c r="R1740" s="16" t="s">
        <v>3517</v>
      </c>
    </row>
    <row r="1741" spans="13:18" x14ac:dyDescent="0.2">
      <c r="M1741" s="20" t="str">
        <f t="shared" si="71"/>
        <v>SAN MARTIN HUALLAGA ALTO SAPOSOA</v>
      </c>
      <c r="N1741" s="20">
        <f t="shared" si="72"/>
        <v>0</v>
      </c>
      <c r="O1741" s="16" t="s">
        <v>1644</v>
      </c>
      <c r="P1741" s="16" t="s">
        <v>1647</v>
      </c>
      <c r="Q1741" s="16" t="s">
        <v>1652</v>
      </c>
      <c r="R1741" s="16" t="s">
        <v>3518</v>
      </c>
    </row>
    <row r="1742" spans="13:18" x14ac:dyDescent="0.2">
      <c r="M1742" s="20" t="str">
        <f t="shared" si="71"/>
        <v>SAN MARTIN HUALLAGA EL ESLABON</v>
      </c>
      <c r="N1742" s="20">
        <f t="shared" si="72"/>
        <v>0</v>
      </c>
      <c r="O1742" s="16" t="s">
        <v>1644</v>
      </c>
      <c r="P1742" s="16" t="s">
        <v>1647</v>
      </c>
      <c r="Q1742" s="16" t="s">
        <v>1653</v>
      </c>
      <c r="R1742" s="16" t="s">
        <v>3519</v>
      </c>
    </row>
    <row r="1743" spans="13:18" x14ac:dyDescent="0.2">
      <c r="M1743" s="20" t="str">
        <f t="shared" si="71"/>
        <v>SAN MARTIN HUALLAGA PISCOYACU</v>
      </c>
      <c r="N1743" s="20">
        <f t="shared" si="72"/>
        <v>0</v>
      </c>
      <c r="O1743" s="16" t="s">
        <v>1644</v>
      </c>
      <c r="P1743" s="16" t="s">
        <v>1647</v>
      </c>
      <c r="Q1743" s="16" t="s">
        <v>1654</v>
      </c>
      <c r="R1743" s="16" t="s">
        <v>3520</v>
      </c>
    </row>
    <row r="1744" spans="13:18" x14ac:dyDescent="0.2">
      <c r="M1744" s="20" t="str">
        <f t="shared" si="71"/>
        <v>SAN MARTIN HUALLAGA SACANCHE</v>
      </c>
      <c r="N1744" s="20">
        <f t="shared" si="72"/>
        <v>0</v>
      </c>
      <c r="O1744" s="16" t="s">
        <v>1644</v>
      </c>
      <c r="P1744" s="16" t="s">
        <v>1647</v>
      </c>
      <c r="Q1744" s="16" t="s">
        <v>1655</v>
      </c>
      <c r="R1744" s="16" t="s">
        <v>3521</v>
      </c>
    </row>
    <row r="1745" spans="13:18" x14ac:dyDescent="0.2">
      <c r="M1745" s="20" t="str">
        <f t="shared" si="71"/>
        <v>SAN MARTIN HUALLAGA SAPOSOA</v>
      </c>
      <c r="N1745" s="20">
        <f t="shared" si="72"/>
        <v>0</v>
      </c>
      <c r="O1745" s="16" t="s">
        <v>1644</v>
      </c>
      <c r="P1745" s="16" t="s">
        <v>1647</v>
      </c>
      <c r="Q1745" s="16" t="s">
        <v>1656</v>
      </c>
      <c r="R1745" s="16" t="s">
        <v>3522</v>
      </c>
    </row>
    <row r="1746" spans="13:18" x14ac:dyDescent="0.2">
      <c r="M1746" s="20" t="str">
        <f t="shared" si="71"/>
        <v>SAN MARTIN HUALLAGA TINGO DE SAPOSOA</v>
      </c>
      <c r="N1746" s="20">
        <f t="shared" si="72"/>
        <v>0</v>
      </c>
      <c r="O1746" s="16" t="s">
        <v>1644</v>
      </c>
      <c r="P1746" s="16" t="s">
        <v>1647</v>
      </c>
      <c r="Q1746" s="16" t="s">
        <v>1657</v>
      </c>
      <c r="R1746" s="16" t="s">
        <v>3523</v>
      </c>
    </row>
    <row r="1747" spans="13:18" x14ac:dyDescent="0.2">
      <c r="M1747" s="20" t="str">
        <f t="shared" si="71"/>
        <v>SAN MARTIN LAMAS ALONSO DE ALVARADO</v>
      </c>
      <c r="N1747" s="20">
        <f t="shared" si="72"/>
        <v>0</v>
      </c>
      <c r="O1747" s="16" t="s">
        <v>1644</v>
      </c>
      <c r="P1747" s="16" t="s">
        <v>1658</v>
      </c>
      <c r="Q1747" s="16" t="s">
        <v>1659</v>
      </c>
      <c r="R1747" s="16" t="s">
        <v>3524</v>
      </c>
    </row>
    <row r="1748" spans="13:18" x14ac:dyDescent="0.2">
      <c r="M1748" s="20" t="str">
        <f t="shared" si="71"/>
        <v>SAN MARTIN LAMAS BARRANQUITA</v>
      </c>
      <c r="N1748" s="20">
        <f t="shared" si="72"/>
        <v>0</v>
      </c>
      <c r="O1748" s="16" t="s">
        <v>1644</v>
      </c>
      <c r="P1748" s="16" t="s">
        <v>1658</v>
      </c>
      <c r="Q1748" s="16" t="s">
        <v>1660</v>
      </c>
      <c r="R1748" s="16" t="s">
        <v>3525</v>
      </c>
    </row>
    <row r="1749" spans="13:18" x14ac:dyDescent="0.2">
      <c r="M1749" s="20" t="str">
        <f t="shared" si="71"/>
        <v>SAN MARTIN LAMAS CAYNARACHI</v>
      </c>
      <c r="N1749" s="20">
        <f t="shared" si="72"/>
        <v>0</v>
      </c>
      <c r="O1749" s="16" t="s">
        <v>1644</v>
      </c>
      <c r="P1749" s="16" t="s">
        <v>1658</v>
      </c>
      <c r="Q1749" s="16" t="s">
        <v>1661</v>
      </c>
      <c r="R1749" s="16" t="s">
        <v>3526</v>
      </c>
    </row>
    <row r="1750" spans="13:18" x14ac:dyDescent="0.2">
      <c r="M1750" s="20" t="str">
        <f t="shared" si="71"/>
        <v>SAN MARTIN LAMAS CUÑUMBUQUI</v>
      </c>
      <c r="N1750" s="20">
        <f t="shared" si="72"/>
        <v>0</v>
      </c>
      <c r="O1750" s="16" t="s">
        <v>1644</v>
      </c>
      <c r="P1750" s="16" t="s">
        <v>1658</v>
      </c>
      <c r="Q1750" s="16" t="s">
        <v>1662</v>
      </c>
      <c r="R1750" s="16" t="s">
        <v>3527</v>
      </c>
    </row>
    <row r="1751" spans="13:18" x14ac:dyDescent="0.2">
      <c r="M1751" s="20" t="str">
        <f t="shared" si="71"/>
        <v>SAN MARTIN LAMAS LAMAS</v>
      </c>
      <c r="N1751" s="20">
        <f t="shared" si="72"/>
        <v>0</v>
      </c>
      <c r="O1751" s="16" t="s">
        <v>1644</v>
      </c>
      <c r="P1751" s="16" t="s">
        <v>1658</v>
      </c>
      <c r="Q1751" s="16" t="s">
        <v>1658</v>
      </c>
      <c r="R1751" s="16" t="s">
        <v>3528</v>
      </c>
    </row>
    <row r="1752" spans="13:18" x14ac:dyDescent="0.2">
      <c r="M1752" s="20" t="str">
        <f t="shared" si="71"/>
        <v>SAN MARTIN LAMAS PINTO RECODO</v>
      </c>
      <c r="N1752" s="20">
        <f t="shared" si="72"/>
        <v>0</v>
      </c>
      <c r="O1752" s="16" t="s">
        <v>1644</v>
      </c>
      <c r="P1752" s="16" t="s">
        <v>1658</v>
      </c>
      <c r="Q1752" s="16" t="s">
        <v>1663</v>
      </c>
      <c r="R1752" s="16" t="s">
        <v>3529</v>
      </c>
    </row>
    <row r="1753" spans="13:18" x14ac:dyDescent="0.2">
      <c r="M1753" s="20" t="str">
        <f t="shared" si="71"/>
        <v>SAN MARTIN LAMAS RUMISAPA</v>
      </c>
      <c r="N1753" s="20">
        <f t="shared" si="72"/>
        <v>0</v>
      </c>
      <c r="O1753" s="16" t="s">
        <v>1644</v>
      </c>
      <c r="P1753" s="16" t="s">
        <v>1658</v>
      </c>
      <c r="Q1753" s="16" t="s">
        <v>1664</v>
      </c>
      <c r="R1753" s="16" t="s">
        <v>3530</v>
      </c>
    </row>
    <row r="1754" spans="13:18" x14ac:dyDescent="0.2">
      <c r="M1754" s="20" t="str">
        <f t="shared" si="71"/>
        <v>SAN MARTIN LAMAS SAN ROQUE DE CUMBAZA</v>
      </c>
      <c r="N1754" s="20">
        <f t="shared" si="72"/>
        <v>0</v>
      </c>
      <c r="O1754" s="16" t="s">
        <v>1644</v>
      </c>
      <c r="P1754" s="16" t="s">
        <v>1658</v>
      </c>
      <c r="Q1754" s="16" t="s">
        <v>1665</v>
      </c>
      <c r="R1754" s="16" t="s">
        <v>3531</v>
      </c>
    </row>
    <row r="1755" spans="13:18" x14ac:dyDescent="0.2">
      <c r="M1755" s="20" t="str">
        <f t="shared" si="71"/>
        <v>SAN MARTIN LAMAS SHANAO</v>
      </c>
      <c r="N1755" s="20">
        <f t="shared" si="72"/>
        <v>0</v>
      </c>
      <c r="O1755" s="16" t="s">
        <v>1644</v>
      </c>
      <c r="P1755" s="16" t="s">
        <v>1658</v>
      </c>
      <c r="Q1755" s="16" t="s">
        <v>1666</v>
      </c>
      <c r="R1755" s="16" t="s">
        <v>3532</v>
      </c>
    </row>
    <row r="1756" spans="13:18" x14ac:dyDescent="0.2">
      <c r="M1756" s="20" t="str">
        <f t="shared" si="71"/>
        <v>SAN MARTIN LAMAS TABALOSOS</v>
      </c>
      <c r="N1756" s="20">
        <f t="shared" si="72"/>
        <v>0</v>
      </c>
      <c r="O1756" s="16" t="s">
        <v>1644</v>
      </c>
      <c r="P1756" s="16" t="s">
        <v>1658</v>
      </c>
      <c r="Q1756" s="16" t="s">
        <v>1667</v>
      </c>
      <c r="R1756" s="16" t="s">
        <v>3533</v>
      </c>
    </row>
    <row r="1757" spans="13:18" x14ac:dyDescent="0.2">
      <c r="M1757" s="20" t="str">
        <f t="shared" si="71"/>
        <v>SAN MARTIN LAMAS ZAPATERO</v>
      </c>
      <c r="N1757" s="20">
        <f t="shared" si="72"/>
        <v>0</v>
      </c>
      <c r="O1757" s="16" t="s">
        <v>1644</v>
      </c>
      <c r="P1757" s="16" t="s">
        <v>1658</v>
      </c>
      <c r="Q1757" s="16" t="s">
        <v>1668</v>
      </c>
      <c r="R1757" s="16" t="s">
        <v>3534</v>
      </c>
    </row>
    <row r="1758" spans="13:18" x14ac:dyDescent="0.2">
      <c r="M1758" s="20" t="str">
        <f t="shared" si="71"/>
        <v>SAN MARTIN MARISCAL CACERES CAMPANILLA</v>
      </c>
      <c r="N1758" s="20">
        <f t="shared" si="72"/>
        <v>0</v>
      </c>
      <c r="O1758" s="16" t="s">
        <v>1644</v>
      </c>
      <c r="P1758" s="16" t="s">
        <v>381</v>
      </c>
      <c r="Q1758" s="16" t="s">
        <v>1669</v>
      </c>
      <c r="R1758" s="16" t="s">
        <v>3535</v>
      </c>
    </row>
    <row r="1759" spans="13:18" x14ac:dyDescent="0.2">
      <c r="M1759" s="20" t="str">
        <f t="shared" si="71"/>
        <v>SAN MARTIN MARISCAL CACERES HUICUNGO</v>
      </c>
      <c r="N1759" s="20">
        <f t="shared" si="72"/>
        <v>0</v>
      </c>
      <c r="O1759" s="16" t="s">
        <v>1644</v>
      </c>
      <c r="P1759" s="16" t="s">
        <v>381</v>
      </c>
      <c r="Q1759" s="16" t="s">
        <v>1670</v>
      </c>
      <c r="R1759" s="16" t="s">
        <v>3536</v>
      </c>
    </row>
    <row r="1760" spans="13:18" x14ac:dyDescent="0.2">
      <c r="M1760" s="20" t="str">
        <f t="shared" si="71"/>
        <v>SAN MARTIN MARISCAL CACERES JUANJUI</v>
      </c>
      <c r="N1760" s="20">
        <f t="shared" si="72"/>
        <v>0</v>
      </c>
      <c r="O1760" s="16" t="s">
        <v>1644</v>
      </c>
      <c r="P1760" s="16" t="s">
        <v>381</v>
      </c>
      <c r="Q1760" s="16" t="s">
        <v>1671</v>
      </c>
      <c r="R1760" s="16" t="s">
        <v>3537</v>
      </c>
    </row>
    <row r="1761" spans="13:18" x14ac:dyDescent="0.2">
      <c r="M1761" s="20" t="str">
        <f t="shared" si="71"/>
        <v>SAN MARTIN MARISCAL CACERES PACHIZA</v>
      </c>
      <c r="N1761" s="20">
        <f t="shared" si="72"/>
        <v>0</v>
      </c>
      <c r="O1761" s="16" t="s">
        <v>1644</v>
      </c>
      <c r="P1761" s="16" t="s">
        <v>381</v>
      </c>
      <c r="Q1761" s="16" t="s">
        <v>1672</v>
      </c>
      <c r="R1761" s="16" t="s">
        <v>3538</v>
      </c>
    </row>
    <row r="1762" spans="13:18" x14ac:dyDescent="0.2">
      <c r="M1762" s="20" t="str">
        <f t="shared" si="71"/>
        <v>SAN MARTIN MARISCAL CACERES PAJARILLO</v>
      </c>
      <c r="N1762" s="20">
        <f t="shared" si="72"/>
        <v>0</v>
      </c>
      <c r="O1762" s="16" t="s">
        <v>1644</v>
      </c>
      <c r="P1762" s="16" t="s">
        <v>381</v>
      </c>
      <c r="Q1762" s="16" t="s">
        <v>1673</v>
      </c>
      <c r="R1762" s="16" t="s">
        <v>3539</v>
      </c>
    </row>
    <row r="1763" spans="13:18" x14ac:dyDescent="0.2">
      <c r="M1763" s="20" t="str">
        <f t="shared" si="71"/>
        <v>SAN MARTIN MOYOBAMBA CALZADA</v>
      </c>
      <c r="N1763" s="20">
        <f t="shared" si="72"/>
        <v>0</v>
      </c>
      <c r="O1763" s="16" t="s">
        <v>1644</v>
      </c>
      <c r="P1763" s="16" t="s">
        <v>1674</v>
      </c>
      <c r="Q1763" s="16" t="s">
        <v>1675</v>
      </c>
      <c r="R1763" s="16" t="s">
        <v>3540</v>
      </c>
    </row>
    <row r="1764" spans="13:18" x14ac:dyDescent="0.2">
      <c r="M1764" s="20" t="str">
        <f t="shared" si="71"/>
        <v>SAN MARTIN MOYOBAMBA HABANA</v>
      </c>
      <c r="N1764" s="20">
        <f t="shared" si="72"/>
        <v>0</v>
      </c>
      <c r="O1764" s="16" t="s">
        <v>1644</v>
      </c>
      <c r="P1764" s="16" t="s">
        <v>1674</v>
      </c>
      <c r="Q1764" s="16" t="s">
        <v>1676</v>
      </c>
      <c r="R1764" s="16" t="s">
        <v>3541</v>
      </c>
    </row>
    <row r="1765" spans="13:18" x14ac:dyDescent="0.2">
      <c r="M1765" s="20" t="str">
        <f t="shared" si="71"/>
        <v>SAN MARTIN MOYOBAMBA JEPELACIO</v>
      </c>
      <c r="N1765" s="20">
        <f t="shared" si="72"/>
        <v>0</v>
      </c>
      <c r="O1765" s="16" t="s">
        <v>1644</v>
      </c>
      <c r="P1765" s="16" t="s">
        <v>1674</v>
      </c>
      <c r="Q1765" s="16" t="s">
        <v>1677</v>
      </c>
      <c r="R1765" s="16" t="s">
        <v>3542</v>
      </c>
    </row>
    <row r="1766" spans="13:18" x14ac:dyDescent="0.2">
      <c r="M1766" s="20" t="str">
        <f t="shared" si="71"/>
        <v>SAN MARTIN MOYOBAMBA MOYOBAMBA</v>
      </c>
      <c r="N1766" s="20">
        <f t="shared" si="72"/>
        <v>0</v>
      </c>
      <c r="O1766" s="16" t="s">
        <v>1644</v>
      </c>
      <c r="P1766" s="16" t="s">
        <v>1674</v>
      </c>
      <c r="Q1766" s="16" t="s">
        <v>1674</v>
      </c>
      <c r="R1766" s="16" t="s">
        <v>3543</v>
      </c>
    </row>
    <row r="1767" spans="13:18" x14ac:dyDescent="0.2">
      <c r="M1767" s="20" t="str">
        <f t="shared" si="71"/>
        <v>SAN MARTIN MOYOBAMBA SORITOR</v>
      </c>
      <c r="N1767" s="20">
        <f t="shared" si="72"/>
        <v>0</v>
      </c>
      <c r="O1767" s="16" t="s">
        <v>1644</v>
      </c>
      <c r="P1767" s="16" t="s">
        <v>1674</v>
      </c>
      <c r="Q1767" s="16" t="s">
        <v>1678</v>
      </c>
      <c r="R1767" s="16" t="s">
        <v>3544</v>
      </c>
    </row>
    <row r="1768" spans="13:18" x14ac:dyDescent="0.2">
      <c r="M1768" s="20" t="str">
        <f t="shared" si="71"/>
        <v>SAN MARTIN MOYOBAMBA YANTALO</v>
      </c>
      <c r="N1768" s="20">
        <f t="shared" si="72"/>
        <v>0</v>
      </c>
      <c r="O1768" s="16" t="s">
        <v>1644</v>
      </c>
      <c r="P1768" s="16" t="s">
        <v>1674</v>
      </c>
      <c r="Q1768" s="16" t="s">
        <v>1679</v>
      </c>
      <c r="R1768" s="16" t="s">
        <v>3545</v>
      </c>
    </row>
    <row r="1769" spans="13:18" x14ac:dyDescent="0.2">
      <c r="M1769" s="20" t="str">
        <f t="shared" si="71"/>
        <v>SAN MARTIN PICOTA BUENOS AIRES</v>
      </c>
      <c r="N1769" s="20">
        <f t="shared" si="72"/>
        <v>0</v>
      </c>
      <c r="O1769" s="16" t="s">
        <v>1644</v>
      </c>
      <c r="P1769" s="16" t="s">
        <v>1680</v>
      </c>
      <c r="Q1769" s="16" t="s">
        <v>1501</v>
      </c>
      <c r="R1769" s="16" t="s">
        <v>3546</v>
      </c>
    </row>
    <row r="1770" spans="13:18" x14ac:dyDescent="0.2">
      <c r="M1770" s="20" t="str">
        <f t="shared" si="71"/>
        <v>SAN MARTIN PICOTA CASPISAPA</v>
      </c>
      <c r="N1770" s="20">
        <f t="shared" si="72"/>
        <v>0</v>
      </c>
      <c r="O1770" s="16" t="s">
        <v>1644</v>
      </c>
      <c r="P1770" s="16" t="s">
        <v>1680</v>
      </c>
      <c r="Q1770" s="16" t="s">
        <v>1681</v>
      </c>
      <c r="R1770" s="16" t="s">
        <v>3547</v>
      </c>
    </row>
    <row r="1771" spans="13:18" x14ac:dyDescent="0.2">
      <c r="M1771" s="20" t="str">
        <f t="shared" si="71"/>
        <v>SAN MARTIN PICOTA PICOTA</v>
      </c>
      <c r="N1771" s="20">
        <f t="shared" si="72"/>
        <v>0</v>
      </c>
      <c r="O1771" s="16" t="s">
        <v>1644</v>
      </c>
      <c r="P1771" s="16" t="s">
        <v>1680</v>
      </c>
      <c r="Q1771" s="16" t="s">
        <v>1680</v>
      </c>
      <c r="R1771" s="16" t="s">
        <v>3548</v>
      </c>
    </row>
    <row r="1772" spans="13:18" x14ac:dyDescent="0.2">
      <c r="M1772" s="20" t="str">
        <f t="shared" si="71"/>
        <v>SAN MARTIN PICOTA PILLUANA</v>
      </c>
      <c r="N1772" s="20">
        <f t="shared" si="72"/>
        <v>0</v>
      </c>
      <c r="O1772" s="16" t="s">
        <v>1644</v>
      </c>
      <c r="P1772" s="16" t="s">
        <v>1680</v>
      </c>
      <c r="Q1772" s="16" t="s">
        <v>1682</v>
      </c>
      <c r="R1772" s="16" t="s">
        <v>3549</v>
      </c>
    </row>
    <row r="1773" spans="13:18" x14ac:dyDescent="0.2">
      <c r="M1773" s="20" t="str">
        <f t="shared" si="71"/>
        <v>SAN MARTIN PICOTA PUCACACA</v>
      </c>
      <c r="N1773" s="20">
        <f t="shared" si="72"/>
        <v>0</v>
      </c>
      <c r="O1773" s="16" t="s">
        <v>1644</v>
      </c>
      <c r="P1773" s="16" t="s">
        <v>1680</v>
      </c>
      <c r="Q1773" s="16" t="s">
        <v>1683</v>
      </c>
      <c r="R1773" s="16" t="s">
        <v>3550</v>
      </c>
    </row>
    <row r="1774" spans="13:18" x14ac:dyDescent="0.2">
      <c r="M1774" s="20" t="str">
        <f t="shared" si="71"/>
        <v>SAN MARTIN PICOTA SAN CRISTOBAL</v>
      </c>
      <c r="N1774" s="20">
        <f t="shared" si="72"/>
        <v>0</v>
      </c>
      <c r="O1774" s="16" t="s">
        <v>1644</v>
      </c>
      <c r="P1774" s="16" t="s">
        <v>1680</v>
      </c>
      <c r="Q1774" s="16" t="s">
        <v>67</v>
      </c>
      <c r="R1774" s="16" t="s">
        <v>3551</v>
      </c>
    </row>
    <row r="1775" spans="13:18" x14ac:dyDescent="0.2">
      <c r="M1775" s="20" t="str">
        <f t="shared" si="71"/>
        <v>SAN MARTIN PICOTA SAN HILARION</v>
      </c>
      <c r="N1775" s="20">
        <f t="shared" si="72"/>
        <v>0</v>
      </c>
      <c r="O1775" s="16" t="s">
        <v>1644</v>
      </c>
      <c r="P1775" s="16" t="s">
        <v>1680</v>
      </c>
      <c r="Q1775" s="16" t="s">
        <v>912</v>
      </c>
      <c r="R1775" s="16" t="s">
        <v>3552</v>
      </c>
    </row>
    <row r="1776" spans="13:18" x14ac:dyDescent="0.2">
      <c r="M1776" s="20" t="str">
        <f t="shared" si="71"/>
        <v>SAN MARTIN PICOTA SHAMBOYACU</v>
      </c>
      <c r="N1776" s="20">
        <f t="shared" si="72"/>
        <v>0</v>
      </c>
      <c r="O1776" s="16" t="s">
        <v>1644</v>
      </c>
      <c r="P1776" s="16" t="s">
        <v>1680</v>
      </c>
      <c r="Q1776" s="16" t="s">
        <v>1684</v>
      </c>
      <c r="R1776" s="16" t="s">
        <v>3553</v>
      </c>
    </row>
    <row r="1777" spans="13:18" x14ac:dyDescent="0.2">
      <c r="M1777" s="20" t="str">
        <f t="shared" si="71"/>
        <v>SAN MARTIN PICOTA TINGO DE PONASA</v>
      </c>
      <c r="N1777" s="20">
        <f t="shared" si="72"/>
        <v>0</v>
      </c>
      <c r="O1777" s="16" t="s">
        <v>1644</v>
      </c>
      <c r="P1777" s="16" t="s">
        <v>1680</v>
      </c>
      <c r="Q1777" s="16" t="s">
        <v>1685</v>
      </c>
      <c r="R1777" s="16" t="s">
        <v>3554</v>
      </c>
    </row>
    <row r="1778" spans="13:18" x14ac:dyDescent="0.2">
      <c r="M1778" s="20" t="str">
        <f t="shared" si="71"/>
        <v>SAN MARTIN PICOTA TRES UNIDOS</v>
      </c>
      <c r="N1778" s="20">
        <f t="shared" si="72"/>
        <v>0</v>
      </c>
      <c r="O1778" s="16" t="s">
        <v>1644</v>
      </c>
      <c r="P1778" s="16" t="s">
        <v>1680</v>
      </c>
      <c r="Q1778" s="16" t="s">
        <v>1686</v>
      </c>
      <c r="R1778" s="16" t="s">
        <v>3555</v>
      </c>
    </row>
    <row r="1779" spans="13:18" x14ac:dyDescent="0.2">
      <c r="M1779" s="20" t="str">
        <f t="shared" si="71"/>
        <v>SAN MARTIN RIOJA AWAJUN</v>
      </c>
      <c r="N1779" s="20">
        <f t="shared" si="72"/>
        <v>0</v>
      </c>
      <c r="O1779" s="16" t="s">
        <v>1644</v>
      </c>
      <c r="P1779" s="16" t="s">
        <v>1687</v>
      </c>
      <c r="Q1779" s="16" t="s">
        <v>1688</v>
      </c>
      <c r="R1779" s="16" t="s">
        <v>3556</v>
      </c>
    </row>
    <row r="1780" spans="13:18" x14ac:dyDescent="0.2">
      <c r="M1780" s="20" t="str">
        <f t="shared" si="71"/>
        <v>SAN MARTIN RIOJA ELIAS SOPLIN VARGAS</v>
      </c>
      <c r="N1780" s="20">
        <f t="shared" si="72"/>
        <v>0</v>
      </c>
      <c r="O1780" s="16" t="s">
        <v>1644</v>
      </c>
      <c r="P1780" s="16" t="s">
        <v>1687</v>
      </c>
      <c r="Q1780" s="16" t="s">
        <v>1689</v>
      </c>
      <c r="R1780" s="16" t="s">
        <v>3557</v>
      </c>
    </row>
    <row r="1781" spans="13:18" x14ac:dyDescent="0.2">
      <c r="M1781" s="20" t="str">
        <f t="shared" si="71"/>
        <v>SAN MARTIN RIOJA NUEVA CAJAMARCA</v>
      </c>
      <c r="N1781" s="20">
        <f t="shared" si="72"/>
        <v>0</v>
      </c>
      <c r="O1781" s="16" t="s">
        <v>1644</v>
      </c>
      <c r="P1781" s="16" t="s">
        <v>1687</v>
      </c>
      <c r="Q1781" s="16" t="s">
        <v>1690</v>
      </c>
      <c r="R1781" s="16" t="s">
        <v>3558</v>
      </c>
    </row>
    <row r="1782" spans="13:18" x14ac:dyDescent="0.2">
      <c r="M1782" s="20" t="str">
        <f t="shared" si="71"/>
        <v>SAN MARTIN RIOJA PARDO MIGUEL</v>
      </c>
      <c r="N1782" s="20">
        <f t="shared" si="72"/>
        <v>0</v>
      </c>
      <c r="O1782" s="16" t="s">
        <v>1644</v>
      </c>
      <c r="P1782" s="16" t="s">
        <v>1687</v>
      </c>
      <c r="Q1782" s="16" t="s">
        <v>1691</v>
      </c>
      <c r="R1782" s="16" t="s">
        <v>3559</v>
      </c>
    </row>
    <row r="1783" spans="13:18" x14ac:dyDescent="0.2">
      <c r="M1783" s="20" t="str">
        <f t="shared" si="71"/>
        <v>SAN MARTIN RIOJA POSIC</v>
      </c>
      <c r="N1783" s="20">
        <f t="shared" si="72"/>
        <v>0</v>
      </c>
      <c r="O1783" s="16" t="s">
        <v>1644</v>
      </c>
      <c r="P1783" s="16" t="s">
        <v>1687</v>
      </c>
      <c r="Q1783" s="16" t="s">
        <v>1692</v>
      </c>
      <c r="R1783" s="16" t="s">
        <v>3560</v>
      </c>
    </row>
    <row r="1784" spans="13:18" x14ac:dyDescent="0.2">
      <c r="M1784" s="20" t="str">
        <f t="shared" si="71"/>
        <v>SAN MARTIN RIOJA RIOJA</v>
      </c>
      <c r="N1784" s="20">
        <f t="shared" si="72"/>
        <v>0</v>
      </c>
      <c r="O1784" s="16" t="s">
        <v>1644</v>
      </c>
      <c r="P1784" s="16" t="s">
        <v>1687</v>
      </c>
      <c r="Q1784" s="16" t="s">
        <v>1687</v>
      </c>
      <c r="R1784" s="16" t="s">
        <v>3561</v>
      </c>
    </row>
    <row r="1785" spans="13:18" x14ac:dyDescent="0.2">
      <c r="M1785" s="20" t="str">
        <f t="shared" si="71"/>
        <v>SAN MARTIN RIOJA SAN FERNANDO</v>
      </c>
      <c r="N1785" s="20">
        <f t="shared" si="72"/>
        <v>0</v>
      </c>
      <c r="O1785" s="16" t="s">
        <v>1644</v>
      </c>
      <c r="P1785" s="16" t="s">
        <v>1687</v>
      </c>
      <c r="Q1785" s="16" t="s">
        <v>1693</v>
      </c>
      <c r="R1785" s="16" t="s">
        <v>3562</v>
      </c>
    </row>
    <row r="1786" spans="13:18" x14ac:dyDescent="0.2">
      <c r="M1786" s="20" t="str">
        <f t="shared" si="71"/>
        <v>SAN MARTIN RIOJA YORONGOS</v>
      </c>
      <c r="N1786" s="20">
        <f t="shared" si="72"/>
        <v>0</v>
      </c>
      <c r="O1786" s="16" t="s">
        <v>1644</v>
      </c>
      <c r="P1786" s="16" t="s">
        <v>1687</v>
      </c>
      <c r="Q1786" s="16" t="s">
        <v>1694</v>
      </c>
      <c r="R1786" s="16" t="s">
        <v>3563</v>
      </c>
    </row>
    <row r="1787" spans="13:18" x14ac:dyDescent="0.2">
      <c r="M1787" s="20" t="str">
        <f t="shared" si="71"/>
        <v>SAN MARTIN RIOJA YURACYACU</v>
      </c>
      <c r="N1787" s="20">
        <f t="shared" si="72"/>
        <v>0</v>
      </c>
      <c r="O1787" s="16" t="s">
        <v>1644</v>
      </c>
      <c r="P1787" s="16" t="s">
        <v>1687</v>
      </c>
      <c r="Q1787" s="16" t="s">
        <v>1695</v>
      </c>
      <c r="R1787" s="16" t="s">
        <v>3564</v>
      </c>
    </row>
    <row r="1788" spans="13:18" x14ac:dyDescent="0.2">
      <c r="M1788" s="20" t="str">
        <f t="shared" si="71"/>
        <v>SAN MARTIN SAN MARTIN ALBERTO LEVEAU</v>
      </c>
      <c r="N1788" s="20">
        <f t="shared" si="72"/>
        <v>0</v>
      </c>
      <c r="O1788" s="16" t="s">
        <v>1644</v>
      </c>
      <c r="P1788" s="16" t="s">
        <v>1644</v>
      </c>
      <c r="Q1788" s="16" t="s">
        <v>1696</v>
      </c>
      <c r="R1788" s="16" t="s">
        <v>3565</v>
      </c>
    </row>
    <row r="1789" spans="13:18" x14ac:dyDescent="0.2">
      <c r="M1789" s="20" t="str">
        <f t="shared" si="71"/>
        <v>SAN MARTIN SAN MARTIN CACATACHI</v>
      </c>
      <c r="N1789" s="20">
        <f t="shared" si="72"/>
        <v>0</v>
      </c>
      <c r="O1789" s="16" t="s">
        <v>1644</v>
      </c>
      <c r="P1789" s="16" t="s">
        <v>1644</v>
      </c>
      <c r="Q1789" s="16" t="s">
        <v>1697</v>
      </c>
      <c r="R1789" s="16" t="s">
        <v>3566</v>
      </c>
    </row>
    <row r="1790" spans="13:18" x14ac:dyDescent="0.2">
      <c r="M1790" s="20" t="str">
        <f t="shared" si="71"/>
        <v>SAN MARTIN SAN MARTIN CHAZUTA</v>
      </c>
      <c r="N1790" s="20">
        <f t="shared" si="72"/>
        <v>0</v>
      </c>
      <c r="O1790" s="16" t="s">
        <v>1644</v>
      </c>
      <c r="P1790" s="16" t="s">
        <v>1644</v>
      </c>
      <c r="Q1790" s="16" t="s">
        <v>1698</v>
      </c>
      <c r="R1790" s="16" t="s">
        <v>3567</v>
      </c>
    </row>
    <row r="1791" spans="13:18" x14ac:dyDescent="0.2">
      <c r="M1791" s="20" t="str">
        <f t="shared" si="71"/>
        <v>SAN MARTIN SAN MARTIN CHIPURANA</v>
      </c>
      <c r="N1791" s="20">
        <f t="shared" si="72"/>
        <v>0</v>
      </c>
      <c r="O1791" s="16" t="s">
        <v>1644</v>
      </c>
      <c r="P1791" s="16" t="s">
        <v>1644</v>
      </c>
      <c r="Q1791" s="16" t="s">
        <v>1699</v>
      </c>
      <c r="R1791" s="16" t="s">
        <v>3568</v>
      </c>
    </row>
    <row r="1792" spans="13:18" x14ac:dyDescent="0.2">
      <c r="M1792" s="20" t="str">
        <f t="shared" si="71"/>
        <v>SAN MARTIN SAN MARTIN EL PORVENIR</v>
      </c>
      <c r="N1792" s="20">
        <f t="shared" si="72"/>
        <v>0</v>
      </c>
      <c r="O1792" s="16" t="s">
        <v>1644</v>
      </c>
      <c r="P1792" s="16" t="s">
        <v>1644</v>
      </c>
      <c r="Q1792" s="16" t="s">
        <v>322</v>
      </c>
      <c r="R1792" s="16" t="s">
        <v>3569</v>
      </c>
    </row>
    <row r="1793" spans="13:18" x14ac:dyDescent="0.2">
      <c r="M1793" s="20" t="str">
        <f t="shared" si="71"/>
        <v>SAN MARTIN SAN MARTIN HUIMBAYOC</v>
      </c>
      <c r="N1793" s="20">
        <f t="shared" si="72"/>
        <v>0</v>
      </c>
      <c r="O1793" s="16" t="s">
        <v>1644</v>
      </c>
      <c r="P1793" s="16" t="s">
        <v>1644</v>
      </c>
      <c r="Q1793" s="16" t="s">
        <v>1700</v>
      </c>
      <c r="R1793" s="16" t="s">
        <v>3570</v>
      </c>
    </row>
    <row r="1794" spans="13:18" x14ac:dyDescent="0.2">
      <c r="M1794" s="20" t="str">
        <f t="shared" si="71"/>
        <v>SAN MARTIN SAN MARTIN JUAN GUERRA</v>
      </c>
      <c r="N1794" s="20">
        <f t="shared" si="72"/>
        <v>0</v>
      </c>
      <c r="O1794" s="16" t="s">
        <v>1644</v>
      </c>
      <c r="P1794" s="16" t="s">
        <v>1644</v>
      </c>
      <c r="Q1794" s="16" t="s">
        <v>1701</v>
      </c>
      <c r="R1794" s="16" t="s">
        <v>3571</v>
      </c>
    </row>
    <row r="1795" spans="13:18" x14ac:dyDescent="0.2">
      <c r="M1795" s="20" t="str">
        <f t="shared" ref="M1795:M1858" si="73">O1795&amp;" "&amp;P1795&amp;" "&amp;Q1795</f>
        <v>SAN MARTIN SAN MARTIN LA BANDA DE SHILCAYO</v>
      </c>
      <c r="N1795" s="20">
        <f t="shared" ref="N1795:N1858" si="74">IF(AND($D$9=O1795,$D$10=P1795),N1794+1,0)</f>
        <v>0</v>
      </c>
      <c r="O1795" s="16" t="s">
        <v>1644</v>
      </c>
      <c r="P1795" s="16" t="s">
        <v>1644</v>
      </c>
      <c r="Q1795" s="16" t="s">
        <v>1702</v>
      </c>
      <c r="R1795" s="16" t="s">
        <v>3572</v>
      </c>
    </row>
    <row r="1796" spans="13:18" x14ac:dyDescent="0.2">
      <c r="M1796" s="20" t="str">
        <f t="shared" si="73"/>
        <v>SAN MARTIN SAN MARTIN MORALES</v>
      </c>
      <c r="N1796" s="20">
        <f t="shared" si="74"/>
        <v>0</v>
      </c>
      <c r="O1796" s="16" t="s">
        <v>1644</v>
      </c>
      <c r="P1796" s="16" t="s">
        <v>1644</v>
      </c>
      <c r="Q1796" s="16" t="s">
        <v>1703</v>
      </c>
      <c r="R1796" s="16" t="s">
        <v>3573</v>
      </c>
    </row>
    <row r="1797" spans="13:18" x14ac:dyDescent="0.2">
      <c r="M1797" s="20" t="str">
        <f t="shared" si="73"/>
        <v>SAN MARTIN SAN MARTIN PAPAPLAYA</v>
      </c>
      <c r="N1797" s="20">
        <f t="shared" si="74"/>
        <v>0</v>
      </c>
      <c r="O1797" s="16" t="s">
        <v>1644</v>
      </c>
      <c r="P1797" s="16" t="s">
        <v>1644</v>
      </c>
      <c r="Q1797" s="16" t="s">
        <v>1704</v>
      </c>
      <c r="R1797" s="16" t="s">
        <v>3574</v>
      </c>
    </row>
    <row r="1798" spans="13:18" x14ac:dyDescent="0.2">
      <c r="M1798" s="20" t="str">
        <f t="shared" si="73"/>
        <v>SAN MARTIN SAN MARTIN SAN ANTONIO</v>
      </c>
      <c r="N1798" s="20">
        <f t="shared" si="74"/>
        <v>0</v>
      </c>
      <c r="O1798" s="16" t="s">
        <v>1644</v>
      </c>
      <c r="P1798" s="16" t="s">
        <v>1644</v>
      </c>
      <c r="Q1798" s="16" t="s">
        <v>345</v>
      </c>
      <c r="R1798" s="16" t="s">
        <v>3575</v>
      </c>
    </row>
    <row r="1799" spans="13:18" x14ac:dyDescent="0.2">
      <c r="M1799" s="20" t="str">
        <f t="shared" si="73"/>
        <v>SAN MARTIN SAN MARTIN SAUCE</v>
      </c>
      <c r="N1799" s="20">
        <f t="shared" si="74"/>
        <v>0</v>
      </c>
      <c r="O1799" s="16" t="s">
        <v>1644</v>
      </c>
      <c r="P1799" s="16" t="s">
        <v>1644</v>
      </c>
      <c r="Q1799" s="16" t="s">
        <v>1705</v>
      </c>
      <c r="R1799" s="16" t="s">
        <v>3576</v>
      </c>
    </row>
    <row r="1800" spans="13:18" x14ac:dyDescent="0.2">
      <c r="M1800" s="20" t="str">
        <f t="shared" si="73"/>
        <v>SAN MARTIN SAN MARTIN SHAPAJA</v>
      </c>
      <c r="N1800" s="20">
        <f t="shared" si="74"/>
        <v>0</v>
      </c>
      <c r="O1800" s="16" t="s">
        <v>1644</v>
      </c>
      <c r="P1800" s="16" t="s">
        <v>1644</v>
      </c>
      <c r="Q1800" s="16" t="s">
        <v>1706</v>
      </c>
      <c r="R1800" s="16" t="s">
        <v>3577</v>
      </c>
    </row>
    <row r="1801" spans="13:18" x14ac:dyDescent="0.2">
      <c r="M1801" s="20" t="str">
        <f t="shared" si="73"/>
        <v>SAN MARTIN SAN MARTIN TARAPOTO</v>
      </c>
      <c r="N1801" s="20">
        <f t="shared" si="74"/>
        <v>0</v>
      </c>
      <c r="O1801" s="16" t="s">
        <v>1644</v>
      </c>
      <c r="P1801" s="16" t="s">
        <v>1644</v>
      </c>
      <c r="Q1801" s="16" t="s">
        <v>1707</v>
      </c>
      <c r="R1801" s="16" t="s">
        <v>3578</v>
      </c>
    </row>
    <row r="1802" spans="13:18" x14ac:dyDescent="0.2">
      <c r="M1802" s="20" t="str">
        <f t="shared" si="73"/>
        <v>SAN MARTIN TOCACHE NUEVO PROGRESO</v>
      </c>
      <c r="N1802" s="20">
        <f t="shared" si="74"/>
        <v>0</v>
      </c>
      <c r="O1802" s="16" t="s">
        <v>1644</v>
      </c>
      <c r="P1802" s="16" t="s">
        <v>1708</v>
      </c>
      <c r="Q1802" s="16" t="s">
        <v>1709</v>
      </c>
      <c r="R1802" s="16" t="s">
        <v>3579</v>
      </c>
    </row>
    <row r="1803" spans="13:18" x14ac:dyDescent="0.2">
      <c r="M1803" s="20" t="str">
        <f t="shared" si="73"/>
        <v>SAN MARTIN TOCACHE POLVORA</v>
      </c>
      <c r="N1803" s="20">
        <f t="shared" si="74"/>
        <v>0</v>
      </c>
      <c r="O1803" s="16" t="s">
        <v>1644</v>
      </c>
      <c r="P1803" s="16" t="s">
        <v>1708</v>
      </c>
      <c r="Q1803" s="16" t="s">
        <v>1710</v>
      </c>
      <c r="R1803" s="16" t="s">
        <v>3580</v>
      </c>
    </row>
    <row r="1804" spans="13:18" x14ac:dyDescent="0.2">
      <c r="M1804" s="20" t="str">
        <f t="shared" si="73"/>
        <v>SAN MARTIN TOCACHE SHUNTE</v>
      </c>
      <c r="N1804" s="20">
        <f t="shared" si="74"/>
        <v>0</v>
      </c>
      <c r="O1804" s="16" t="s">
        <v>1644</v>
      </c>
      <c r="P1804" s="16" t="s">
        <v>1708</v>
      </c>
      <c r="Q1804" s="16" t="s">
        <v>1711</v>
      </c>
      <c r="R1804" s="16" t="s">
        <v>3581</v>
      </c>
    </row>
    <row r="1805" spans="13:18" x14ac:dyDescent="0.2">
      <c r="M1805" s="20" t="str">
        <f t="shared" si="73"/>
        <v>SAN MARTIN TOCACHE TOCACHE</v>
      </c>
      <c r="N1805" s="20">
        <f t="shared" si="74"/>
        <v>0</v>
      </c>
      <c r="O1805" s="16" t="s">
        <v>1644</v>
      </c>
      <c r="P1805" s="16" t="s">
        <v>1708</v>
      </c>
      <c r="Q1805" s="16" t="s">
        <v>1708</v>
      </c>
      <c r="R1805" s="16" t="s">
        <v>3582</v>
      </c>
    </row>
    <row r="1806" spans="13:18" x14ac:dyDescent="0.2">
      <c r="M1806" s="20" t="str">
        <f t="shared" si="73"/>
        <v>SAN MARTIN TOCACHE UCHIZA</v>
      </c>
      <c r="N1806" s="20">
        <f t="shared" si="74"/>
        <v>0</v>
      </c>
      <c r="O1806" s="16" t="s">
        <v>1644</v>
      </c>
      <c r="P1806" s="16" t="s">
        <v>1708</v>
      </c>
      <c r="Q1806" s="16" t="s">
        <v>1712</v>
      </c>
      <c r="R1806" s="16" t="s">
        <v>3583</v>
      </c>
    </row>
    <row r="1807" spans="13:18" x14ac:dyDescent="0.2">
      <c r="M1807" s="20" t="str">
        <f t="shared" si="73"/>
        <v>TACNA CANDARAVE CAIRANI</v>
      </c>
      <c r="N1807" s="20">
        <f t="shared" si="74"/>
        <v>0</v>
      </c>
      <c r="O1807" s="16" t="s">
        <v>1713</v>
      </c>
      <c r="P1807" s="16" t="s">
        <v>1714</v>
      </c>
      <c r="Q1807" s="16" t="s">
        <v>1715</v>
      </c>
      <c r="R1807" s="16" t="s">
        <v>3584</v>
      </c>
    </row>
    <row r="1808" spans="13:18" x14ac:dyDescent="0.2">
      <c r="M1808" s="20" t="str">
        <f t="shared" si="73"/>
        <v>TACNA CANDARAVE CAMILACA</v>
      </c>
      <c r="N1808" s="20">
        <f t="shared" si="74"/>
        <v>0</v>
      </c>
      <c r="O1808" s="16" t="s">
        <v>1713</v>
      </c>
      <c r="P1808" s="16" t="s">
        <v>1714</v>
      </c>
      <c r="Q1808" s="16" t="s">
        <v>1716</v>
      </c>
      <c r="R1808" s="16" t="s">
        <v>3585</v>
      </c>
    </row>
    <row r="1809" spans="13:18" x14ac:dyDescent="0.2">
      <c r="M1809" s="20" t="str">
        <f t="shared" si="73"/>
        <v>TACNA CANDARAVE CANDARAVE</v>
      </c>
      <c r="N1809" s="20">
        <f t="shared" si="74"/>
        <v>0</v>
      </c>
      <c r="O1809" s="16" t="s">
        <v>1713</v>
      </c>
      <c r="P1809" s="16" t="s">
        <v>1714</v>
      </c>
      <c r="Q1809" s="16" t="s">
        <v>1714</v>
      </c>
      <c r="R1809" s="16" t="s">
        <v>3586</v>
      </c>
    </row>
    <row r="1810" spans="13:18" x14ac:dyDescent="0.2">
      <c r="M1810" s="20" t="str">
        <f t="shared" si="73"/>
        <v>TACNA CANDARAVE CURIBAYA</v>
      </c>
      <c r="N1810" s="20">
        <f t="shared" si="74"/>
        <v>0</v>
      </c>
      <c r="O1810" s="16" t="s">
        <v>1713</v>
      </c>
      <c r="P1810" s="16" t="s">
        <v>1714</v>
      </c>
      <c r="Q1810" s="16" t="s">
        <v>1717</v>
      </c>
      <c r="R1810" s="16" t="s">
        <v>3587</v>
      </c>
    </row>
    <row r="1811" spans="13:18" x14ac:dyDescent="0.2">
      <c r="M1811" s="20" t="str">
        <f t="shared" si="73"/>
        <v>TACNA CANDARAVE HUANUARA</v>
      </c>
      <c r="N1811" s="20">
        <f t="shared" si="74"/>
        <v>0</v>
      </c>
      <c r="O1811" s="16" t="s">
        <v>1713</v>
      </c>
      <c r="P1811" s="16" t="s">
        <v>1714</v>
      </c>
      <c r="Q1811" s="16" t="s">
        <v>1718</v>
      </c>
      <c r="R1811" s="16" t="s">
        <v>3588</v>
      </c>
    </row>
    <row r="1812" spans="13:18" x14ac:dyDescent="0.2">
      <c r="M1812" s="20" t="str">
        <f t="shared" si="73"/>
        <v>TACNA CANDARAVE QUILAHUANI</v>
      </c>
      <c r="N1812" s="20">
        <f t="shared" si="74"/>
        <v>0</v>
      </c>
      <c r="O1812" s="16" t="s">
        <v>1713</v>
      </c>
      <c r="P1812" s="16" t="s">
        <v>1714</v>
      </c>
      <c r="Q1812" s="16" t="s">
        <v>1719</v>
      </c>
      <c r="R1812" s="16" t="s">
        <v>3589</v>
      </c>
    </row>
    <row r="1813" spans="13:18" x14ac:dyDescent="0.2">
      <c r="M1813" s="20" t="str">
        <f t="shared" si="73"/>
        <v>TACNA JORGE BASADRE ILABAYA</v>
      </c>
      <c r="N1813" s="20">
        <f t="shared" si="74"/>
        <v>0</v>
      </c>
      <c r="O1813" s="16" t="s">
        <v>1713</v>
      </c>
      <c r="P1813" s="16" t="s">
        <v>1720</v>
      </c>
      <c r="Q1813" s="16" t="s">
        <v>1721</v>
      </c>
      <c r="R1813" s="16" t="s">
        <v>3590</v>
      </c>
    </row>
    <row r="1814" spans="13:18" x14ac:dyDescent="0.2">
      <c r="M1814" s="20" t="str">
        <f t="shared" si="73"/>
        <v>TACNA JORGE BASADRE ITE</v>
      </c>
      <c r="N1814" s="20">
        <f t="shared" si="74"/>
        <v>0</v>
      </c>
      <c r="O1814" s="16" t="s">
        <v>1713</v>
      </c>
      <c r="P1814" s="16" t="s">
        <v>1720</v>
      </c>
      <c r="Q1814" s="16" t="s">
        <v>1722</v>
      </c>
      <c r="R1814" s="16" t="s">
        <v>3591</v>
      </c>
    </row>
    <row r="1815" spans="13:18" x14ac:dyDescent="0.2">
      <c r="M1815" s="20" t="str">
        <f t="shared" si="73"/>
        <v>TACNA JORGE BASADRE LOCUMBA</v>
      </c>
      <c r="N1815" s="20">
        <f t="shared" si="74"/>
        <v>0</v>
      </c>
      <c r="O1815" s="16" t="s">
        <v>1713</v>
      </c>
      <c r="P1815" s="16" t="s">
        <v>1720</v>
      </c>
      <c r="Q1815" s="16" t="s">
        <v>1723</v>
      </c>
      <c r="R1815" s="16" t="s">
        <v>3592</v>
      </c>
    </row>
    <row r="1816" spans="13:18" x14ac:dyDescent="0.2">
      <c r="M1816" s="20" t="str">
        <f t="shared" si="73"/>
        <v>TACNA TACNA ALTO DE LA ALIANZA</v>
      </c>
      <c r="N1816" s="20">
        <f t="shared" si="74"/>
        <v>0</v>
      </c>
      <c r="O1816" s="16" t="s">
        <v>1713</v>
      </c>
      <c r="P1816" s="16" t="s">
        <v>1713</v>
      </c>
      <c r="Q1816" s="16" t="s">
        <v>1724</v>
      </c>
      <c r="R1816" s="16" t="s">
        <v>3593</v>
      </c>
    </row>
    <row r="1817" spans="13:18" x14ac:dyDescent="0.2">
      <c r="M1817" s="20" t="str">
        <f t="shared" si="73"/>
        <v>TACNA TACNA CALANA</v>
      </c>
      <c r="N1817" s="20">
        <f t="shared" si="74"/>
        <v>0</v>
      </c>
      <c r="O1817" s="16" t="s">
        <v>1713</v>
      </c>
      <c r="P1817" s="16" t="s">
        <v>1713</v>
      </c>
      <c r="Q1817" s="16" t="s">
        <v>1725</v>
      </c>
      <c r="R1817" s="16" t="s">
        <v>3594</v>
      </c>
    </row>
    <row r="1818" spans="13:18" x14ac:dyDescent="0.2">
      <c r="M1818" s="20" t="str">
        <f t="shared" si="73"/>
        <v>TACNA TACNA CIUDAD NUEVA</v>
      </c>
      <c r="N1818" s="20">
        <f t="shared" si="74"/>
        <v>0</v>
      </c>
      <c r="O1818" s="16" t="s">
        <v>1713</v>
      </c>
      <c r="P1818" s="16" t="s">
        <v>1713</v>
      </c>
      <c r="Q1818" s="16" t="s">
        <v>1726</v>
      </c>
      <c r="R1818" s="16" t="s">
        <v>3595</v>
      </c>
    </row>
    <row r="1819" spans="13:18" x14ac:dyDescent="0.2">
      <c r="M1819" s="20" t="str">
        <f t="shared" si="73"/>
        <v>TACNA TACNA CORONEL GREGORIO ALBARRACIN LANCHIPA</v>
      </c>
      <c r="N1819" s="20">
        <f t="shared" si="74"/>
        <v>0</v>
      </c>
      <c r="O1819" s="16" t="s">
        <v>1713</v>
      </c>
      <c r="P1819" s="16" t="s">
        <v>1713</v>
      </c>
      <c r="Q1819" s="16" t="s">
        <v>1727</v>
      </c>
      <c r="R1819" s="16" t="s">
        <v>3596</v>
      </c>
    </row>
    <row r="1820" spans="13:18" x14ac:dyDescent="0.2">
      <c r="M1820" s="20" t="str">
        <f t="shared" si="73"/>
        <v>TACNA TACNA INCLAN</v>
      </c>
      <c r="N1820" s="20">
        <f t="shared" si="74"/>
        <v>0</v>
      </c>
      <c r="O1820" s="16" t="s">
        <v>1713</v>
      </c>
      <c r="P1820" s="16" t="s">
        <v>1713</v>
      </c>
      <c r="Q1820" s="16" t="s">
        <v>1728</v>
      </c>
      <c r="R1820" s="16" t="s">
        <v>3597</v>
      </c>
    </row>
    <row r="1821" spans="13:18" x14ac:dyDescent="0.2">
      <c r="M1821" s="20" t="str">
        <f t="shared" si="73"/>
        <v>TACNA TACNA LA YARADA LOS PALOS</v>
      </c>
      <c r="N1821" s="20">
        <f t="shared" si="74"/>
        <v>0</v>
      </c>
      <c r="O1821" s="16" t="s">
        <v>1713</v>
      </c>
      <c r="P1821" s="16" t="s">
        <v>1713</v>
      </c>
      <c r="Q1821" s="16" t="s">
        <v>1729</v>
      </c>
      <c r="R1821" s="16" t="s">
        <v>3598</v>
      </c>
    </row>
    <row r="1822" spans="13:18" x14ac:dyDescent="0.2">
      <c r="M1822" s="20" t="str">
        <f t="shared" si="73"/>
        <v>TACNA TACNA PACHIA</v>
      </c>
      <c r="N1822" s="20">
        <f t="shared" si="74"/>
        <v>0</v>
      </c>
      <c r="O1822" s="16" t="s">
        <v>1713</v>
      </c>
      <c r="P1822" s="16" t="s">
        <v>1713</v>
      </c>
      <c r="Q1822" s="16" t="s">
        <v>1730</v>
      </c>
      <c r="R1822" s="16" t="s">
        <v>3599</v>
      </c>
    </row>
    <row r="1823" spans="13:18" x14ac:dyDescent="0.2">
      <c r="M1823" s="20" t="str">
        <f t="shared" si="73"/>
        <v>TACNA TACNA PALCA</v>
      </c>
      <c r="N1823" s="20">
        <f t="shared" si="74"/>
        <v>0</v>
      </c>
      <c r="O1823" s="16" t="s">
        <v>1713</v>
      </c>
      <c r="P1823" s="16" t="s">
        <v>1713</v>
      </c>
      <c r="Q1823" s="16" t="s">
        <v>850</v>
      </c>
      <c r="R1823" s="16" t="s">
        <v>3600</v>
      </c>
    </row>
    <row r="1824" spans="13:18" x14ac:dyDescent="0.2">
      <c r="M1824" s="20" t="str">
        <f t="shared" si="73"/>
        <v>TACNA TACNA POCOLLAY</v>
      </c>
      <c r="N1824" s="20">
        <f t="shared" si="74"/>
        <v>0</v>
      </c>
      <c r="O1824" s="16" t="s">
        <v>1713</v>
      </c>
      <c r="P1824" s="16" t="s">
        <v>1713</v>
      </c>
      <c r="Q1824" s="16" t="s">
        <v>1731</v>
      </c>
      <c r="R1824" s="16" t="s">
        <v>3601</v>
      </c>
    </row>
    <row r="1825" spans="13:18" x14ac:dyDescent="0.2">
      <c r="M1825" s="20" t="str">
        <f t="shared" si="73"/>
        <v>TACNA TACNA SAMA</v>
      </c>
      <c r="N1825" s="20">
        <f t="shared" si="74"/>
        <v>0</v>
      </c>
      <c r="O1825" s="16" t="s">
        <v>1713</v>
      </c>
      <c r="P1825" s="16" t="s">
        <v>1713</v>
      </c>
      <c r="Q1825" s="16" t="s">
        <v>1732</v>
      </c>
      <c r="R1825" s="16" t="s">
        <v>3602</v>
      </c>
    </row>
    <row r="1826" spans="13:18" x14ac:dyDescent="0.2">
      <c r="M1826" s="20" t="str">
        <f t="shared" si="73"/>
        <v>TACNA TACNA TACNA</v>
      </c>
      <c r="N1826" s="20">
        <f t="shared" si="74"/>
        <v>0</v>
      </c>
      <c r="O1826" s="16" t="s">
        <v>1713</v>
      </c>
      <c r="P1826" s="16" t="s">
        <v>1713</v>
      </c>
      <c r="Q1826" s="16" t="s">
        <v>1713</v>
      </c>
      <c r="R1826" s="16" t="s">
        <v>3603</v>
      </c>
    </row>
    <row r="1827" spans="13:18" x14ac:dyDescent="0.2">
      <c r="M1827" s="20" t="str">
        <f t="shared" si="73"/>
        <v>TACNA TARATA ESTIQUE</v>
      </c>
      <c r="N1827" s="20">
        <f t="shared" si="74"/>
        <v>0</v>
      </c>
      <c r="O1827" s="16" t="s">
        <v>1713</v>
      </c>
      <c r="P1827" s="16" t="s">
        <v>1733</v>
      </c>
      <c r="Q1827" s="16" t="s">
        <v>1734</v>
      </c>
      <c r="R1827" s="16" t="s">
        <v>3604</v>
      </c>
    </row>
    <row r="1828" spans="13:18" x14ac:dyDescent="0.2">
      <c r="M1828" s="20" t="str">
        <f t="shared" si="73"/>
        <v>TACNA TARATA ESTIQUE-PAMPA</v>
      </c>
      <c r="N1828" s="20">
        <f t="shared" si="74"/>
        <v>0</v>
      </c>
      <c r="O1828" s="16" t="s">
        <v>1713</v>
      </c>
      <c r="P1828" s="16" t="s">
        <v>1733</v>
      </c>
      <c r="Q1828" s="16" t="s">
        <v>1735</v>
      </c>
      <c r="R1828" s="16" t="s">
        <v>3605</v>
      </c>
    </row>
    <row r="1829" spans="13:18" x14ac:dyDescent="0.2">
      <c r="M1829" s="20" t="str">
        <f t="shared" si="73"/>
        <v>TACNA TARATA HEROES ALBARRACIN</v>
      </c>
      <c r="N1829" s="20">
        <f t="shared" si="74"/>
        <v>0</v>
      </c>
      <c r="O1829" s="16" t="s">
        <v>1713</v>
      </c>
      <c r="P1829" s="16" t="s">
        <v>1733</v>
      </c>
      <c r="Q1829" s="16" t="s">
        <v>1736</v>
      </c>
      <c r="R1829" s="16" t="s">
        <v>3606</v>
      </c>
    </row>
    <row r="1830" spans="13:18" x14ac:dyDescent="0.2">
      <c r="M1830" s="20" t="str">
        <f t="shared" si="73"/>
        <v>TACNA TARATA SITAJARA</v>
      </c>
      <c r="N1830" s="20">
        <f t="shared" si="74"/>
        <v>0</v>
      </c>
      <c r="O1830" s="16" t="s">
        <v>1713</v>
      </c>
      <c r="P1830" s="16" t="s">
        <v>1733</v>
      </c>
      <c r="Q1830" s="16" t="s">
        <v>1737</v>
      </c>
      <c r="R1830" s="16" t="s">
        <v>3607</v>
      </c>
    </row>
    <row r="1831" spans="13:18" x14ac:dyDescent="0.2">
      <c r="M1831" s="20" t="str">
        <f t="shared" si="73"/>
        <v>TACNA TARATA SUSAPAYA</v>
      </c>
      <c r="N1831" s="20">
        <f t="shared" si="74"/>
        <v>0</v>
      </c>
      <c r="O1831" s="16" t="s">
        <v>1713</v>
      </c>
      <c r="P1831" s="16" t="s">
        <v>1733</v>
      </c>
      <c r="Q1831" s="16" t="s">
        <v>1738</v>
      </c>
      <c r="R1831" s="16" t="s">
        <v>3608</v>
      </c>
    </row>
    <row r="1832" spans="13:18" x14ac:dyDescent="0.2">
      <c r="M1832" s="20" t="str">
        <f t="shared" si="73"/>
        <v>TACNA TARATA TARATA</v>
      </c>
      <c r="N1832" s="20">
        <f t="shared" si="74"/>
        <v>0</v>
      </c>
      <c r="O1832" s="16" t="s">
        <v>1713</v>
      </c>
      <c r="P1832" s="16" t="s">
        <v>1733</v>
      </c>
      <c r="Q1832" s="16" t="s">
        <v>1733</v>
      </c>
      <c r="R1832" s="16" t="s">
        <v>3609</v>
      </c>
    </row>
    <row r="1833" spans="13:18" x14ac:dyDescent="0.2">
      <c r="M1833" s="20" t="str">
        <f t="shared" si="73"/>
        <v>TACNA TARATA TARUCACHI</v>
      </c>
      <c r="N1833" s="20">
        <f t="shared" si="74"/>
        <v>0</v>
      </c>
      <c r="O1833" s="16" t="s">
        <v>1713</v>
      </c>
      <c r="P1833" s="16" t="s">
        <v>1733</v>
      </c>
      <c r="Q1833" s="16" t="s">
        <v>1739</v>
      </c>
      <c r="R1833" s="16" t="s">
        <v>3610</v>
      </c>
    </row>
    <row r="1834" spans="13:18" x14ac:dyDescent="0.2">
      <c r="M1834" s="20" t="str">
        <f t="shared" si="73"/>
        <v>TACNA TARATA TICACO</v>
      </c>
      <c r="N1834" s="20">
        <f t="shared" si="74"/>
        <v>0</v>
      </c>
      <c r="O1834" s="16" t="s">
        <v>1713</v>
      </c>
      <c r="P1834" s="16" t="s">
        <v>1733</v>
      </c>
      <c r="Q1834" s="16" t="s">
        <v>1740</v>
      </c>
      <c r="R1834" s="16" t="s">
        <v>3611</v>
      </c>
    </row>
    <row r="1835" spans="13:18" x14ac:dyDescent="0.2">
      <c r="M1835" s="20" t="str">
        <f t="shared" si="73"/>
        <v>TUMBES CONTRALMIRANTE VILLAR CANOAS DE PUNTA SAL</v>
      </c>
      <c r="N1835" s="20">
        <f t="shared" si="74"/>
        <v>0</v>
      </c>
      <c r="O1835" s="16" t="s">
        <v>1741</v>
      </c>
      <c r="P1835" s="16" t="s">
        <v>1742</v>
      </c>
      <c r="Q1835" s="16" t="s">
        <v>1743</v>
      </c>
      <c r="R1835" s="16" t="s">
        <v>3612</v>
      </c>
    </row>
    <row r="1836" spans="13:18" x14ac:dyDescent="0.2">
      <c r="M1836" s="20" t="str">
        <f t="shared" si="73"/>
        <v>TUMBES CONTRALMIRANTE VILLAR CASITAS</v>
      </c>
      <c r="N1836" s="20">
        <f t="shared" si="74"/>
        <v>0</v>
      </c>
      <c r="O1836" s="16" t="s">
        <v>1741</v>
      </c>
      <c r="P1836" s="16" t="s">
        <v>1742</v>
      </c>
      <c r="Q1836" s="16" t="s">
        <v>1744</v>
      </c>
      <c r="R1836" s="16" t="s">
        <v>3613</v>
      </c>
    </row>
    <row r="1837" spans="13:18" x14ac:dyDescent="0.2">
      <c r="M1837" s="20" t="str">
        <f t="shared" si="73"/>
        <v>TUMBES CONTRALMIRANTE VILLAR ZORRITOS</v>
      </c>
      <c r="N1837" s="20">
        <f t="shared" si="74"/>
        <v>0</v>
      </c>
      <c r="O1837" s="16" t="s">
        <v>1741</v>
      </c>
      <c r="P1837" s="16" t="s">
        <v>1742</v>
      </c>
      <c r="Q1837" s="16" t="s">
        <v>1745</v>
      </c>
      <c r="R1837" s="16" t="s">
        <v>3614</v>
      </c>
    </row>
    <row r="1838" spans="13:18" x14ac:dyDescent="0.2">
      <c r="M1838" s="20" t="str">
        <f t="shared" si="73"/>
        <v>TUMBES TUMBES CORRALES</v>
      </c>
      <c r="N1838" s="20">
        <f t="shared" si="74"/>
        <v>0</v>
      </c>
      <c r="O1838" s="16" t="s">
        <v>1741</v>
      </c>
      <c r="P1838" s="16" t="s">
        <v>1741</v>
      </c>
      <c r="Q1838" s="16" t="s">
        <v>1746</v>
      </c>
      <c r="R1838" s="16" t="s">
        <v>3615</v>
      </c>
    </row>
    <row r="1839" spans="13:18" x14ac:dyDescent="0.2">
      <c r="M1839" s="20" t="str">
        <f t="shared" si="73"/>
        <v>TUMBES TUMBES LA CRUZ</v>
      </c>
      <c r="N1839" s="20">
        <f t="shared" si="74"/>
        <v>0</v>
      </c>
      <c r="O1839" s="16" t="s">
        <v>1741</v>
      </c>
      <c r="P1839" s="16" t="s">
        <v>1741</v>
      </c>
      <c r="Q1839" s="16" t="s">
        <v>1747</v>
      </c>
      <c r="R1839" s="16" t="s">
        <v>3616</v>
      </c>
    </row>
    <row r="1840" spans="13:18" x14ac:dyDescent="0.2">
      <c r="M1840" s="20" t="str">
        <f t="shared" si="73"/>
        <v>TUMBES TUMBES PAMPAS DE HOSPITAL</v>
      </c>
      <c r="N1840" s="20">
        <f t="shared" si="74"/>
        <v>0</v>
      </c>
      <c r="O1840" s="16" t="s">
        <v>1741</v>
      </c>
      <c r="P1840" s="16" t="s">
        <v>1741</v>
      </c>
      <c r="Q1840" s="16" t="s">
        <v>1748</v>
      </c>
      <c r="R1840" s="16" t="s">
        <v>3617</v>
      </c>
    </row>
    <row r="1841" spans="13:18" x14ac:dyDescent="0.2">
      <c r="M1841" s="20" t="str">
        <f t="shared" si="73"/>
        <v>TUMBES TUMBES SAN JACINTO</v>
      </c>
      <c r="N1841" s="20">
        <f t="shared" si="74"/>
        <v>0</v>
      </c>
      <c r="O1841" s="16" t="s">
        <v>1741</v>
      </c>
      <c r="P1841" s="16" t="s">
        <v>1741</v>
      </c>
      <c r="Q1841" s="16" t="s">
        <v>1749</v>
      </c>
      <c r="R1841" s="16" t="s">
        <v>3618</v>
      </c>
    </row>
    <row r="1842" spans="13:18" x14ac:dyDescent="0.2">
      <c r="M1842" s="20" t="str">
        <f t="shared" si="73"/>
        <v>TUMBES TUMBES SAN JUAN DE LA VIRGEN</v>
      </c>
      <c r="N1842" s="20">
        <f t="shared" si="74"/>
        <v>0</v>
      </c>
      <c r="O1842" s="16" t="s">
        <v>1741</v>
      </c>
      <c r="P1842" s="16" t="s">
        <v>1741</v>
      </c>
      <c r="Q1842" s="16" t="s">
        <v>1750</v>
      </c>
      <c r="R1842" s="16" t="s">
        <v>3619</v>
      </c>
    </row>
    <row r="1843" spans="13:18" x14ac:dyDescent="0.2">
      <c r="M1843" s="20" t="str">
        <f t="shared" si="73"/>
        <v>TUMBES TUMBES TUMBES</v>
      </c>
      <c r="N1843" s="20">
        <f t="shared" si="74"/>
        <v>0</v>
      </c>
      <c r="O1843" s="16" t="s">
        <v>1741</v>
      </c>
      <c r="P1843" s="16" t="s">
        <v>1741</v>
      </c>
      <c r="Q1843" s="16" t="s">
        <v>1741</v>
      </c>
      <c r="R1843" s="16" t="s">
        <v>3620</v>
      </c>
    </row>
    <row r="1844" spans="13:18" x14ac:dyDescent="0.2">
      <c r="M1844" s="20" t="str">
        <f t="shared" si="73"/>
        <v>TUMBES ZARUMILLA AGUAS VERDES</v>
      </c>
      <c r="N1844" s="20">
        <f t="shared" si="74"/>
        <v>0</v>
      </c>
      <c r="O1844" s="16" t="s">
        <v>1741</v>
      </c>
      <c r="P1844" s="16" t="s">
        <v>1751</v>
      </c>
      <c r="Q1844" s="16" t="s">
        <v>1752</v>
      </c>
      <c r="R1844" s="16" t="s">
        <v>3621</v>
      </c>
    </row>
    <row r="1845" spans="13:18" x14ac:dyDescent="0.2">
      <c r="M1845" s="20" t="str">
        <f t="shared" si="73"/>
        <v>TUMBES ZARUMILLA MATAPALO</v>
      </c>
      <c r="N1845" s="20">
        <f t="shared" si="74"/>
        <v>0</v>
      </c>
      <c r="O1845" s="16" t="s">
        <v>1741</v>
      </c>
      <c r="P1845" s="16" t="s">
        <v>1751</v>
      </c>
      <c r="Q1845" s="16" t="s">
        <v>1753</v>
      </c>
      <c r="R1845" s="16" t="s">
        <v>3622</v>
      </c>
    </row>
    <row r="1846" spans="13:18" x14ac:dyDescent="0.2">
      <c r="M1846" s="20" t="str">
        <f t="shared" si="73"/>
        <v>TUMBES ZARUMILLA PAPAYAL</v>
      </c>
      <c r="N1846" s="20">
        <f t="shared" si="74"/>
        <v>0</v>
      </c>
      <c r="O1846" s="16" t="s">
        <v>1741</v>
      </c>
      <c r="P1846" s="16" t="s">
        <v>1751</v>
      </c>
      <c r="Q1846" s="16" t="s">
        <v>1754</v>
      </c>
      <c r="R1846" s="16" t="s">
        <v>3623</v>
      </c>
    </row>
    <row r="1847" spans="13:18" x14ac:dyDescent="0.2">
      <c r="M1847" s="20" t="str">
        <f t="shared" si="73"/>
        <v>TUMBES ZARUMILLA ZARUMILLA</v>
      </c>
      <c r="N1847" s="20">
        <f t="shared" si="74"/>
        <v>0</v>
      </c>
      <c r="O1847" s="16" t="s">
        <v>1741</v>
      </c>
      <c r="P1847" s="16" t="s">
        <v>1751</v>
      </c>
      <c r="Q1847" s="16" t="s">
        <v>1751</v>
      </c>
      <c r="R1847" s="16" t="s">
        <v>3624</v>
      </c>
    </row>
    <row r="1848" spans="13:18" x14ac:dyDescent="0.2">
      <c r="M1848" s="20" t="str">
        <f t="shared" si="73"/>
        <v>UCAYALI ATALAYA RAYMONDI</v>
      </c>
      <c r="N1848" s="20">
        <f t="shared" si="74"/>
        <v>0</v>
      </c>
      <c r="O1848" s="16" t="s">
        <v>1419</v>
      </c>
      <c r="P1848" s="16" t="s">
        <v>1755</v>
      </c>
      <c r="Q1848" s="16" t="s">
        <v>1756</v>
      </c>
      <c r="R1848" s="16" t="s">
        <v>3625</v>
      </c>
    </row>
    <row r="1849" spans="13:18" x14ac:dyDescent="0.2">
      <c r="M1849" s="20" t="str">
        <f t="shared" si="73"/>
        <v>UCAYALI ATALAYA SEPAHUA</v>
      </c>
      <c r="N1849" s="20">
        <f t="shared" si="74"/>
        <v>0</v>
      </c>
      <c r="O1849" s="16" t="s">
        <v>1419</v>
      </c>
      <c r="P1849" s="16" t="s">
        <v>1755</v>
      </c>
      <c r="Q1849" s="16" t="s">
        <v>1757</v>
      </c>
      <c r="R1849" s="16" t="s">
        <v>3626</v>
      </c>
    </row>
    <row r="1850" spans="13:18" x14ac:dyDescent="0.2">
      <c r="M1850" s="20" t="str">
        <f t="shared" si="73"/>
        <v>UCAYALI ATALAYA TAHUANIA</v>
      </c>
      <c r="N1850" s="20">
        <f t="shared" si="74"/>
        <v>0</v>
      </c>
      <c r="O1850" s="16" t="s">
        <v>1419</v>
      </c>
      <c r="P1850" s="16" t="s">
        <v>1755</v>
      </c>
      <c r="Q1850" s="16" t="s">
        <v>1758</v>
      </c>
      <c r="R1850" s="16" t="s">
        <v>3627</v>
      </c>
    </row>
    <row r="1851" spans="13:18" x14ac:dyDescent="0.2">
      <c r="M1851" s="20" t="str">
        <f t="shared" si="73"/>
        <v>UCAYALI ATALAYA YURUA</v>
      </c>
      <c r="N1851" s="20">
        <f t="shared" si="74"/>
        <v>0</v>
      </c>
      <c r="O1851" s="16" t="s">
        <v>1419</v>
      </c>
      <c r="P1851" s="16" t="s">
        <v>1755</v>
      </c>
      <c r="Q1851" s="16" t="s">
        <v>1759</v>
      </c>
      <c r="R1851" s="16" t="s">
        <v>3628</v>
      </c>
    </row>
    <row r="1852" spans="13:18" x14ac:dyDescent="0.2">
      <c r="M1852" s="20" t="str">
        <f t="shared" si="73"/>
        <v>UCAYALI CORONEL PORTILLO CALLERIA</v>
      </c>
      <c r="N1852" s="20">
        <f t="shared" si="74"/>
        <v>0</v>
      </c>
      <c r="O1852" s="16" t="s">
        <v>1419</v>
      </c>
      <c r="P1852" s="16" t="s">
        <v>1760</v>
      </c>
      <c r="Q1852" s="16" t="s">
        <v>1761</v>
      </c>
      <c r="R1852" s="16" t="s">
        <v>3629</v>
      </c>
    </row>
    <row r="1853" spans="13:18" x14ac:dyDescent="0.2">
      <c r="M1853" s="20" t="str">
        <f t="shared" si="73"/>
        <v>UCAYALI CORONEL PORTILLO CAMPOVERDE</v>
      </c>
      <c r="N1853" s="20">
        <f t="shared" si="74"/>
        <v>0</v>
      </c>
      <c r="O1853" s="16" t="s">
        <v>1419</v>
      </c>
      <c r="P1853" s="16" t="s">
        <v>1760</v>
      </c>
      <c r="Q1853" s="16" t="s">
        <v>1762</v>
      </c>
      <c r="R1853" s="16" t="s">
        <v>3630</v>
      </c>
    </row>
    <row r="1854" spans="13:18" x14ac:dyDescent="0.2">
      <c r="M1854" s="20" t="str">
        <f t="shared" si="73"/>
        <v>UCAYALI CORONEL PORTILLO IPARIA</v>
      </c>
      <c r="N1854" s="20">
        <f t="shared" si="74"/>
        <v>0</v>
      </c>
      <c r="O1854" s="16" t="s">
        <v>1419</v>
      </c>
      <c r="P1854" s="16" t="s">
        <v>1760</v>
      </c>
      <c r="Q1854" s="16" t="s">
        <v>1763</v>
      </c>
      <c r="R1854" s="16" t="s">
        <v>3631</v>
      </c>
    </row>
    <row r="1855" spans="13:18" x14ac:dyDescent="0.2">
      <c r="M1855" s="20" t="str">
        <f t="shared" si="73"/>
        <v>UCAYALI CORONEL PORTILLO MANANTAY</v>
      </c>
      <c r="N1855" s="20">
        <f t="shared" si="74"/>
        <v>0</v>
      </c>
      <c r="O1855" s="16" t="s">
        <v>1419</v>
      </c>
      <c r="P1855" s="16" t="s">
        <v>1760</v>
      </c>
      <c r="Q1855" s="16" t="s">
        <v>1764</v>
      </c>
      <c r="R1855" s="16" t="s">
        <v>3632</v>
      </c>
    </row>
    <row r="1856" spans="13:18" x14ac:dyDescent="0.2">
      <c r="M1856" s="20" t="str">
        <f t="shared" si="73"/>
        <v>UCAYALI CORONEL PORTILLO MASISEA</v>
      </c>
      <c r="N1856" s="20">
        <f t="shared" si="74"/>
        <v>0</v>
      </c>
      <c r="O1856" s="16" t="s">
        <v>1419</v>
      </c>
      <c r="P1856" s="16" t="s">
        <v>1760</v>
      </c>
      <c r="Q1856" s="16" t="s">
        <v>1765</v>
      </c>
      <c r="R1856" s="16" t="s">
        <v>3633</v>
      </c>
    </row>
    <row r="1857" spans="13:18" x14ac:dyDescent="0.2">
      <c r="M1857" s="20" t="str">
        <f t="shared" si="73"/>
        <v>UCAYALI CORONEL PORTILLO NUEVA REQUENA</v>
      </c>
      <c r="N1857" s="20">
        <f t="shared" si="74"/>
        <v>0</v>
      </c>
      <c r="O1857" s="16" t="s">
        <v>1419</v>
      </c>
      <c r="P1857" s="16" t="s">
        <v>1760</v>
      </c>
      <c r="Q1857" s="16" t="s">
        <v>1766</v>
      </c>
      <c r="R1857" s="16" t="s">
        <v>3634</v>
      </c>
    </row>
    <row r="1858" spans="13:18" x14ac:dyDescent="0.2">
      <c r="M1858" s="20" t="str">
        <f t="shared" si="73"/>
        <v>UCAYALI CORONEL PORTILLO YARINACOCHA</v>
      </c>
      <c r="N1858" s="20">
        <f t="shared" si="74"/>
        <v>0</v>
      </c>
      <c r="O1858" s="16" t="s">
        <v>1419</v>
      </c>
      <c r="P1858" s="16" t="s">
        <v>1760</v>
      </c>
      <c r="Q1858" s="16" t="s">
        <v>1767</v>
      </c>
      <c r="R1858" s="16" t="s">
        <v>3635</v>
      </c>
    </row>
    <row r="1859" spans="13:18" x14ac:dyDescent="0.2">
      <c r="M1859" s="20" t="str">
        <f t="shared" ref="M1859:M1864" si="75">O1859&amp;" "&amp;P1859&amp;" "&amp;Q1859</f>
        <v>UCAYALI PADRE ABAD ALEXANDER VON HUMBOLDT</v>
      </c>
      <c r="N1859" s="20">
        <f t="shared" ref="N1859:N1864" si="76">IF(AND($D$9=O1859,$D$10=P1859),N1858+1,0)</f>
        <v>0</v>
      </c>
      <c r="O1859" s="16" t="s">
        <v>1419</v>
      </c>
      <c r="P1859" s="16" t="s">
        <v>1768</v>
      </c>
      <c r="Q1859" s="16" t="s">
        <v>670</v>
      </c>
      <c r="R1859" s="16" t="s">
        <v>3636</v>
      </c>
    </row>
    <row r="1860" spans="13:18" x14ac:dyDescent="0.2">
      <c r="M1860" s="20" t="str">
        <f t="shared" si="75"/>
        <v>UCAYALI PADRE ABAD CURIMANA</v>
      </c>
      <c r="N1860" s="20">
        <f t="shared" si="76"/>
        <v>0</v>
      </c>
      <c r="O1860" s="16" t="s">
        <v>1419</v>
      </c>
      <c r="P1860" s="16" t="s">
        <v>1768</v>
      </c>
      <c r="Q1860" s="16" t="s">
        <v>1769</v>
      </c>
      <c r="R1860" s="16" t="s">
        <v>3637</v>
      </c>
    </row>
    <row r="1861" spans="13:18" x14ac:dyDescent="0.2">
      <c r="M1861" s="20" t="str">
        <f t="shared" si="75"/>
        <v>UCAYALI PADRE ABAD IRAZOLA</v>
      </c>
      <c r="N1861" s="20">
        <f t="shared" si="76"/>
        <v>0</v>
      </c>
      <c r="O1861" s="16" t="s">
        <v>1419</v>
      </c>
      <c r="P1861" s="16" t="s">
        <v>1768</v>
      </c>
      <c r="Q1861" s="16" t="s">
        <v>1770</v>
      </c>
      <c r="R1861" s="16" t="s">
        <v>3638</v>
      </c>
    </row>
    <row r="1862" spans="13:18" x14ac:dyDescent="0.2">
      <c r="M1862" s="20" t="str">
        <f t="shared" si="75"/>
        <v>UCAYALI PADRE ABAD NESHUYA</v>
      </c>
      <c r="N1862" s="20">
        <f t="shared" si="76"/>
        <v>0</v>
      </c>
      <c r="O1862" s="16" t="s">
        <v>1419</v>
      </c>
      <c r="P1862" s="16" t="s">
        <v>1768</v>
      </c>
      <c r="Q1862" s="16" t="s">
        <v>1771</v>
      </c>
      <c r="R1862" s="16" t="s">
        <v>3639</v>
      </c>
    </row>
    <row r="1863" spans="13:18" x14ac:dyDescent="0.2">
      <c r="M1863" s="20" t="str">
        <f t="shared" si="75"/>
        <v>UCAYALI PADRE ABAD PADRE ABAD</v>
      </c>
      <c r="N1863" s="20">
        <f t="shared" si="76"/>
        <v>0</v>
      </c>
      <c r="O1863" s="16" t="s">
        <v>1419</v>
      </c>
      <c r="P1863" s="16" t="s">
        <v>1768</v>
      </c>
      <c r="Q1863" s="16" t="s">
        <v>1768</v>
      </c>
      <c r="R1863" s="16" t="s">
        <v>3640</v>
      </c>
    </row>
    <row r="1864" spans="13:18" x14ac:dyDescent="0.2">
      <c r="M1864" s="20" t="str">
        <f t="shared" si="75"/>
        <v>UCAYALI PURUS PURUS</v>
      </c>
      <c r="N1864" s="20">
        <f t="shared" si="76"/>
        <v>0</v>
      </c>
      <c r="O1864" s="16" t="s">
        <v>1419</v>
      </c>
      <c r="P1864" s="16" t="s">
        <v>1772</v>
      </c>
      <c r="Q1864" s="16" t="s">
        <v>1772</v>
      </c>
      <c r="R1864" s="16" t="s">
        <v>3641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3</vt:i4>
      </vt:variant>
    </vt:vector>
  </HeadingPairs>
  <TitlesOfParts>
    <vt:vector size="24" baseType="lpstr">
      <vt:lpstr>MOD1</vt:lpstr>
      <vt:lpstr>MOD2</vt:lpstr>
      <vt:lpstr>MOD3</vt:lpstr>
      <vt:lpstr>MOD4_1</vt:lpstr>
      <vt:lpstr>MOD4_2</vt:lpstr>
      <vt:lpstr>MOD4_3</vt:lpstr>
      <vt:lpstr>MOD4_4</vt:lpstr>
      <vt:lpstr>MOD4_5</vt:lpstr>
      <vt:lpstr>MOD4_6</vt:lpstr>
      <vt:lpstr>MOD6</vt:lpstr>
      <vt:lpstr>MOD7</vt:lpstr>
      <vt:lpstr>MOD8</vt:lpstr>
      <vt:lpstr>MOD4_6_1</vt:lpstr>
      <vt:lpstr>MOD4_6_2</vt:lpstr>
      <vt:lpstr>MOD4_6_3</vt:lpstr>
      <vt:lpstr>MOD4_6_4</vt:lpstr>
      <vt:lpstr>MOD4_6_5</vt:lpstr>
      <vt:lpstr>MOD4_6_6</vt:lpstr>
      <vt:lpstr>MOD4_6_7</vt:lpstr>
      <vt:lpstr>MOD4_6_8</vt:lpstr>
      <vt:lpstr>LISTAS</vt:lpstr>
      <vt:lpstr>'MOD7'!Área_de_impresión</vt:lpstr>
      <vt:lpstr>'MOD8'!Área_de_impresión</vt:lpstr>
      <vt:lpstr>'MOD8'!Títulos_a_imprimir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Abraham Carballido</dc:creator>
  <cp:lastModifiedBy>Kevin</cp:lastModifiedBy>
  <cp:lastPrinted>2016-09-24T00:31:36Z</cp:lastPrinted>
  <dcterms:created xsi:type="dcterms:W3CDTF">2016-08-10T01:58:29Z</dcterms:created>
  <dcterms:modified xsi:type="dcterms:W3CDTF">2016-11-17T12:43:13Z</dcterms:modified>
</cp:coreProperties>
</file>